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defaultThemeVersion="202300"/>
  <mc:AlternateContent xmlns:mc="http://schemas.openxmlformats.org/markup-compatibility/2006">
    <mc:Choice Requires="x15">
      <x15ac:absPath xmlns:x15ac="http://schemas.microsoft.com/office/spreadsheetml/2010/11/ac" url="D:\LPU FOLDER\2nd Year  Personal Data\4TH SEM\Excel Project\"/>
    </mc:Choice>
  </mc:AlternateContent>
  <xr:revisionPtr revIDLastSave="0" documentId="13_ncr:1_{E803EC85-3EF4-4DC4-99FB-8B0BD9EBFD9A}" xr6:coauthVersionLast="47" xr6:coauthVersionMax="47" xr10:uidLastSave="{00000000-0000-0000-0000-000000000000}"/>
  <bookViews>
    <workbookView xWindow="-110" yWindow="-110" windowWidth="19420" windowHeight="11020" firstSheet="1" activeTab="1" xr2:uid="{00000000-000D-0000-FFFF-FFFF00000000}"/>
  </bookViews>
  <sheets>
    <sheet name="healthcare_dataset" sheetId="1" r:id="rId1"/>
    <sheet name="Dashboard" sheetId="8" r:id="rId2"/>
    <sheet name="Sheet8" sheetId="9" r:id="rId3"/>
    <sheet name="Sheet5" sheetId="6" r:id="rId4"/>
    <sheet name="Sheet1" sheetId="2" r:id="rId5"/>
    <sheet name="Sheet4" sheetId="5" r:id="rId6"/>
    <sheet name="Sheet3" sheetId="4" r:id="rId7"/>
    <sheet name="Sheet6" sheetId="7" r:id="rId8"/>
  </sheets>
  <externalReferences>
    <externalReference r:id="rId9"/>
  </externalReferences>
  <definedNames>
    <definedName name="_xlchart.v1.0" hidden="1">healthcare_dataset!$AC$53</definedName>
    <definedName name="_xlchart.v1.1" hidden="1">healthcare_dataset!$AC$54:$AI$54</definedName>
    <definedName name="_xlchart.v1.10" hidden="1">healthcare_dataset!$S$59</definedName>
    <definedName name="_xlchart.v1.11" hidden="1">healthcare_dataset!$T$53:$AA$53</definedName>
    <definedName name="_xlchart.v1.12" hidden="1">healthcare_dataset!$T$54:$AA$54</definedName>
    <definedName name="_xlchart.v1.13" hidden="1">healthcare_dataset!$T$55:$AA$55</definedName>
    <definedName name="_xlchart.v1.14" hidden="1">healthcare_dataset!$T$56:$AA$56</definedName>
    <definedName name="_xlchart.v1.15" hidden="1">healthcare_dataset!$T$57:$AA$57</definedName>
    <definedName name="_xlchart.v1.16" hidden="1">healthcare_dataset!$T$58:$AA$58</definedName>
    <definedName name="_xlchart.v1.17" hidden="1">healthcare_dataset!$T$59:$AA$59</definedName>
    <definedName name="_xlchart.v1.18" hidden="1">Sheet6!$B$22</definedName>
    <definedName name="_xlchart.v1.19" hidden="1">Sheet6!$B$23</definedName>
    <definedName name="_xlchart.v1.2" hidden="1">healthcare_dataset!$AC$55:$AJ$55</definedName>
    <definedName name="_xlchart.v1.20" hidden="1">Sheet6!$B$24</definedName>
    <definedName name="_xlchart.v1.21" hidden="1">Sheet6!$B$25</definedName>
    <definedName name="_xlchart.v1.22" hidden="1">Sheet6!$B$26</definedName>
    <definedName name="_xlchart.v1.23" hidden="1">Sheet6!$B$27</definedName>
    <definedName name="_xlchart.v1.24" hidden="1">Sheet6!$C$21:$H$21</definedName>
    <definedName name="_xlchart.v1.25" hidden="1">Sheet6!$C$22:$H$22</definedName>
    <definedName name="_xlchart.v1.26" hidden="1">Sheet6!$C$23:$H$23</definedName>
    <definedName name="_xlchart.v1.27" hidden="1">Sheet6!$C$24:$H$24</definedName>
    <definedName name="_xlchart.v1.28" hidden="1">Sheet6!$C$25:$H$25</definedName>
    <definedName name="_xlchart.v1.29" hidden="1">Sheet6!$C$26:$H$26</definedName>
    <definedName name="_xlchart.v1.3" hidden="1">healthcare_dataset!$AC$56:$AJ$56</definedName>
    <definedName name="_xlchart.v1.30" hidden="1">Sheet6!$C$27:$H$27</definedName>
    <definedName name="_xlchart.v1.4" hidden="1">healthcare_dataset!$AD$53</definedName>
    <definedName name="_xlchart.v1.5" hidden="1">healthcare_dataset!$S$54</definedName>
    <definedName name="_xlchart.v1.6" hidden="1">healthcare_dataset!$S$55</definedName>
    <definedName name="_xlchart.v1.7" hidden="1">healthcare_dataset!$S$56</definedName>
    <definedName name="_xlchart.v1.8" hidden="1">healthcare_dataset!$S$57</definedName>
    <definedName name="_xlchart.v1.9" hidden="1">healthcare_dataset!$S$58</definedName>
    <definedName name="Slicer_Admission_Type">#N/A</definedName>
    <definedName name="Slicer_Age_Category">#N/A</definedName>
    <definedName name="Slicer_Gender">#N/A</definedName>
    <definedName name="Slicer_Medical_Condition1">#N/A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4" i="1" l="1" a="1"/>
  <c r="Y54" i="1" s="1"/>
  <c r="Z54" i="1" a="1"/>
  <c r="Z54" i="1" s="1"/>
  <c r="AA54" i="1" a="1"/>
  <c r="AA54" i="1" s="1"/>
  <c r="AJ56" i="1"/>
  <c r="U39" i="1" a="1"/>
  <c r="U39" i="1" s="1"/>
  <c r="U40" i="1" a="1"/>
  <c r="U40" i="1" s="1"/>
  <c r="U41" i="1" a="1"/>
  <c r="U41" i="1" s="1"/>
  <c r="U42" i="1" a="1"/>
  <c r="U42" i="1" s="1"/>
  <c r="U43" i="1" a="1"/>
  <c r="U43" i="1" s="1"/>
  <c r="U44" i="1" a="1"/>
  <c r="U44" i="1" s="1"/>
  <c r="U45" i="1" a="1"/>
  <c r="U45" i="1" s="1"/>
  <c r="U46" i="1" a="1"/>
  <c r="U46" i="1" s="1"/>
  <c r="I1001" i="1"/>
  <c r="C1001" i="1"/>
  <c r="A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X54" i="1" a="1"/>
  <c r="X54" i="1" s="1"/>
  <c r="W54" i="1" a="1"/>
  <c r="W54" i="1" s="1"/>
  <c r="V54" i="1" a="1"/>
  <c r="V54" i="1" s="1"/>
  <c r="U54" i="1" a="1"/>
  <c r="U54" i="1" s="1"/>
  <c r="T54" i="1" a="1"/>
  <c r="T54" i="1" s="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AA20" i="1"/>
  <c r="Z20" i="1"/>
  <c r="Y20" i="1"/>
  <c r="X20" i="1"/>
  <c r="W20" i="1"/>
  <c r="V20" i="1"/>
  <c r="B20" i="1"/>
  <c r="AA19" i="1"/>
  <c r="Z19" i="1"/>
  <c r="Y19" i="1"/>
  <c r="X19" i="1"/>
  <c r="W19" i="1"/>
  <c r="V19" i="1"/>
  <c r="B19" i="1"/>
  <c r="AA18" i="1"/>
  <c r="Z18" i="1"/>
  <c r="Y18" i="1"/>
  <c r="X18" i="1"/>
  <c r="W18" i="1"/>
  <c r="V18" i="1"/>
  <c r="B18" i="1"/>
  <c r="AA17" i="1"/>
  <c r="Z17" i="1"/>
  <c r="Y17" i="1"/>
  <c r="X17" i="1"/>
  <c r="W17" i="1"/>
  <c r="V17" i="1"/>
  <c r="B17" i="1"/>
  <c r="AA16" i="1"/>
  <c r="Z16" i="1"/>
  <c r="Y16" i="1"/>
  <c r="X16" i="1"/>
  <c r="W16" i="1"/>
  <c r="V16" i="1"/>
  <c r="B16" i="1"/>
  <c r="AA15" i="1"/>
  <c r="Z15" i="1"/>
  <c r="Y15" i="1"/>
  <c r="X15" i="1"/>
  <c r="W15" i="1"/>
  <c r="V15" i="1"/>
  <c r="B15" i="1"/>
  <c r="AA14" i="1"/>
  <c r="Z14" i="1"/>
  <c r="Y14" i="1"/>
  <c r="X14" i="1"/>
  <c r="W14" i="1"/>
  <c r="V14" i="1"/>
  <c r="B14" i="1"/>
  <c r="B13" i="1"/>
  <c r="B12" i="1"/>
  <c r="B11" i="1"/>
  <c r="B10" i="1"/>
  <c r="V9" i="1"/>
  <c r="B9" i="1"/>
  <c r="W8" i="1"/>
  <c r="V8" i="1"/>
  <c r="B8" i="1"/>
  <c r="W7" i="1"/>
  <c r="V7" i="1"/>
  <c r="B7" i="1"/>
  <c r="W6" i="1"/>
  <c r="V6" i="1"/>
  <c r="B6" i="1"/>
  <c r="W5" i="1"/>
  <c r="V5" i="1"/>
  <c r="B5" i="1"/>
  <c r="W4" i="1"/>
  <c r="V4" i="1"/>
  <c r="B4" i="1"/>
  <c r="W3" i="1"/>
  <c r="V3" i="1"/>
  <c r="Q3" i="1" a="1"/>
  <c r="Q3" i="1" s="1"/>
  <c r="B3" i="1"/>
  <c r="Y3" i="1" s="1" a="1"/>
  <c r="Y3" i="1" s="1"/>
  <c r="Q2" i="1"/>
  <c r="B2" i="1"/>
  <c r="AH55" i="1" l="1"/>
  <c r="AH56" i="1"/>
  <c r="AC55" i="1"/>
  <c r="AH57" i="1"/>
  <c r="AG58" i="1"/>
  <c r="AF59" i="1"/>
  <c r="AG55" i="1"/>
  <c r="AG56" i="1"/>
  <c r="AI57" i="1"/>
  <c r="AH58" i="1"/>
  <c r="AG59" i="1"/>
  <c r="AF55" i="1"/>
  <c r="AF56" i="1"/>
  <c r="AE59" i="1"/>
  <c r="AE56" i="1"/>
  <c r="AJ58" i="1"/>
  <c r="AD56" i="1"/>
  <c r="AF58" i="1"/>
  <c r="AJ57" i="1"/>
  <c r="AI58" i="1"/>
  <c r="AE55" i="1"/>
  <c r="AC57" i="1"/>
  <c r="AI59" i="1"/>
  <c r="AD55" i="1"/>
  <c r="AD57" i="1"/>
  <c r="AC58" i="1"/>
  <c r="AJ59" i="1"/>
  <c r="AC56" i="1"/>
  <c r="AG57" i="1"/>
  <c r="AH59" i="1"/>
  <c r="AE57" i="1"/>
  <c r="AD58" i="1"/>
  <c r="AC59" i="1"/>
  <c r="AJ55" i="1"/>
  <c r="AF57" i="1"/>
  <c r="AE58" i="1"/>
  <c r="AD59" i="1"/>
  <c r="AI55" i="1"/>
  <c r="AI56" i="1"/>
  <c r="AE54" i="1"/>
  <c r="AD54" i="1"/>
  <c r="AG54" i="1"/>
  <c r="AC54" i="1"/>
  <c r="AJ54" i="1"/>
  <c r="AH54" i="1"/>
  <c r="AI54" i="1"/>
  <c r="AF54" i="1"/>
  <c r="AA46" i="1"/>
  <c r="AB46" i="1"/>
  <c r="AB45" i="1"/>
  <c r="AA45" i="1"/>
  <c r="AA44" i="1"/>
  <c r="AB44" i="1"/>
  <c r="AB43" i="1"/>
  <c r="AA43" i="1"/>
  <c r="AA42" i="1"/>
  <c r="AB42" i="1"/>
  <c r="AB41" i="1"/>
  <c r="AA41" i="1"/>
  <c r="AA40" i="1"/>
  <c r="AB40" i="1"/>
  <c r="G6" i="6"/>
  <c r="E5" i="6"/>
  <c r="I4" i="6"/>
  <c r="H6" i="6"/>
  <c r="C5" i="6"/>
  <c r="C9" i="6"/>
  <c r="H4" i="6"/>
  <c r="F5" i="6"/>
  <c r="E9" i="6"/>
  <c r="F8" i="6"/>
  <c r="D6" i="6"/>
  <c r="I8" i="6"/>
  <c r="C7" i="6"/>
  <c r="E4" i="6"/>
  <c r="D5" i="6"/>
  <c r="G5" i="6"/>
  <c r="D4" i="6"/>
  <c r="F7" i="6"/>
  <c r="G7" i="6"/>
  <c r="F6" i="6"/>
  <c r="F4" i="6"/>
  <c r="I6" i="6"/>
  <c r="E7" i="6"/>
  <c r="I5" i="6"/>
  <c r="E8" i="6"/>
  <c r="H9" i="6"/>
  <c r="C6" i="6"/>
  <c r="G8" i="6"/>
  <c r="D8" i="6"/>
  <c r="D9" i="6"/>
  <c r="H5" i="6"/>
  <c r="C8" i="6"/>
  <c r="I9" i="6"/>
  <c r="F9" i="6"/>
  <c r="D7" i="6"/>
  <c r="G4" i="6"/>
  <c r="H8" i="6"/>
  <c r="E6" i="6"/>
  <c r="H7" i="6"/>
  <c r="G9" i="6"/>
  <c r="C4" i="6"/>
  <c r="I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<sst xmlns="http://schemas.openxmlformats.org/spreadsheetml/2006/main" count="10263" uniqueCount="3038">
  <si>
    <t>Name</t>
  </si>
  <si>
    <t>Age</t>
  </si>
  <si>
    <t>Gender</t>
  </si>
  <si>
    <t>Blood Type</t>
  </si>
  <si>
    <t>Medical Condition</t>
  </si>
  <si>
    <t>Date of Admission</t>
  </si>
  <si>
    <t>Doctor</t>
  </si>
  <si>
    <t>Hospital</t>
  </si>
  <si>
    <t>Insurance Provider</t>
  </si>
  <si>
    <t>Billing Amount</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</si>
  <si>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</si>
  <si>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</si>
  <si>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</si>
  <si>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</si>
  <si>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</si>
  <si>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</si>
  <si>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</si>
  <si>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</si>
  <si>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</si>
  <si>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</si>
  <si>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</si>
  <si>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</si>
  <si>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</si>
  <si>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</si>
  <si>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</si>
  <si>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</si>
  <si>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</si>
  <si>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</si>
  <si>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</si>
  <si>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</si>
  <si>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</si>
  <si>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</si>
  <si>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Emergency</t>
  </si>
  <si>
    <t>Lipitor</t>
  </si>
  <si>
    <t>Normal</t>
  </si>
  <si>
    <t>Chad Byrd</t>
  </si>
  <si>
    <t>B-</t>
  </si>
  <si>
    <t>Obesity</t>
  </si>
  <si>
    <t>Paul Baker</t>
  </si>
  <si>
    <t>Walton LLC</t>
  </si>
  <si>
    <t>Antonio Frederick</t>
  </si>
  <si>
    <t>Brian Chandler</t>
  </si>
  <si>
    <t>Garcia Ltd</t>
  </si>
  <si>
    <t>Urgent</t>
  </si>
  <si>
    <t>Penicillin</t>
  </si>
  <si>
    <t>Abnormal</t>
  </si>
  <si>
    <t>Mrs. Brandy Flowers</t>
  </si>
  <si>
    <t>Arthritis</t>
  </si>
  <si>
    <t>Dustin Griffin</t>
  </si>
  <si>
    <t>Jones, Brown and Murray</t>
  </si>
  <si>
    <t>Paracetamol</t>
  </si>
  <si>
    <t>AB+</t>
  </si>
  <si>
    <t>Robin Green</t>
  </si>
  <si>
    <t>Boyd PLC</t>
  </si>
  <si>
    <t>Aetna</t>
  </si>
  <si>
    <t>Charles Horton</t>
  </si>
  <si>
    <t>Hypertension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</si>
  <si>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</si>
  <si>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</si>
  <si>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</si>
  <si>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</si>
  <si>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</si>
  <si>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</si>
  <si>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</si>
  <si>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</si>
  <si>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</si>
  <si>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</si>
  <si>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</si>
  <si>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</si>
  <si>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</si>
  <si>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</si>
  <si>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</si>
  <si>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</si>
  <si>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</si>
  <si>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</si>
  <si>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</si>
  <si>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</si>
  <si>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</si>
  <si>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</si>
  <si>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</si>
  <si>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</si>
  <si>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</si>
  <si>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</si>
  <si>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</si>
  <si>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</si>
  <si>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</si>
  <si>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</si>
  <si>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</si>
  <si>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</si>
  <si>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</si>
  <si>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</si>
  <si>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</si>
  <si>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</si>
  <si>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</si>
  <si>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</si>
  <si>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</si>
  <si>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</si>
  <si>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</si>
  <si>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</si>
  <si>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</si>
  <si>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</si>
  <si>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</si>
  <si>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</si>
  <si>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</si>
  <si>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</si>
  <si>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</si>
  <si>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</si>
  <si>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</si>
  <si>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</si>
  <si>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</si>
  <si>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</si>
  <si>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</si>
  <si>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</si>
  <si>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</si>
  <si>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</si>
  <si>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</si>
  <si>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</si>
  <si>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</si>
  <si>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</si>
  <si>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</si>
  <si>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</si>
  <si>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</si>
  <si>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</si>
  <si>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</si>
  <si>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</si>
  <si>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</si>
  <si>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</si>
  <si>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</si>
  <si>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</si>
  <si>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</si>
  <si>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</si>
  <si>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</si>
  <si>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</si>
  <si>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</si>
  <si>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</si>
  <si>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</si>
  <si>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</si>
  <si>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</si>
  <si>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</si>
  <si>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</si>
  <si>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</si>
  <si>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</si>
  <si>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</si>
  <si>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</si>
  <si>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</si>
  <si>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</si>
  <si>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</si>
  <si>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</si>
  <si>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</si>
  <si>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</si>
  <si>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</si>
  <si>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</si>
  <si>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</si>
  <si>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</si>
  <si>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</si>
  <si>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</si>
  <si>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</si>
  <si>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</si>
  <si>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</si>
  <si>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</si>
  <si>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</si>
  <si>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</si>
  <si>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</si>
  <si>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</si>
  <si>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</si>
  <si>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</si>
  <si>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</si>
  <si>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</si>
  <si>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</si>
  <si>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</si>
  <si>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</si>
  <si>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</si>
  <si>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</si>
  <si>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</si>
  <si>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</si>
  <si>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</si>
  <si>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</si>
  <si>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</si>
  <si>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</si>
  <si>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</si>
  <si>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</si>
  <si>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</si>
  <si>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</si>
  <si>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</si>
  <si>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</si>
  <si>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</si>
  <si>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</si>
  <si>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</si>
  <si>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</si>
  <si>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</si>
  <si>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</si>
  <si>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</si>
  <si>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</si>
  <si>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</si>
  <si>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</si>
  <si>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</si>
  <si>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</si>
  <si>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</si>
  <si>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</si>
  <si>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</si>
  <si>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</si>
  <si>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</si>
  <si>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</si>
  <si>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</si>
  <si>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</si>
  <si>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</si>
  <si>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</si>
  <si>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</si>
  <si>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</si>
  <si>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</si>
  <si>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</si>
  <si>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</si>
  <si>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</si>
  <si>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</si>
  <si>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</si>
  <si>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</si>
  <si>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</si>
  <si>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</si>
  <si>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</si>
  <si>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</si>
  <si>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</si>
  <si>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</si>
  <si>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</si>
  <si>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</si>
  <si>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</si>
  <si>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</si>
  <si>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</si>
  <si>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</si>
  <si>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</si>
  <si>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</si>
  <si>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</si>
  <si>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</si>
  <si>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</si>
  <si>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</si>
  <si>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</si>
  <si>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</si>
  <si>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</si>
  <si>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</si>
  <si>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</si>
  <si>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</si>
  <si>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</si>
  <si>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</si>
  <si>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</si>
  <si>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</si>
  <si>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</si>
  <si>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</si>
  <si>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</si>
  <si>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</si>
  <si>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</si>
  <si>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</si>
  <si>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</si>
  <si>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</si>
  <si>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</si>
  <si>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</si>
  <si>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</si>
  <si>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</si>
  <si>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</si>
  <si>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</si>
  <si>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</si>
  <si>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</si>
  <si>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</si>
  <si>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</si>
  <si>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</si>
  <si>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</si>
  <si>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</si>
  <si>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</si>
  <si>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</si>
  <si>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</si>
  <si>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</si>
  <si>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</si>
  <si>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</si>
  <si>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</si>
  <si>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</si>
  <si>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</si>
  <si>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</si>
  <si>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</si>
  <si>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</si>
  <si>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</si>
  <si>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</si>
  <si>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</si>
  <si>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</si>
  <si>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</si>
  <si>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</si>
  <si>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</si>
  <si>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</si>
  <si>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</si>
  <si>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</si>
  <si>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</si>
  <si>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</si>
  <si>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</si>
  <si>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</si>
  <si>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</si>
  <si>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</si>
  <si>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</si>
  <si>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</si>
  <si>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</si>
  <si>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</si>
  <si>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</si>
  <si>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</si>
  <si>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</si>
  <si>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</si>
  <si>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</si>
  <si>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</si>
  <si>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</si>
  <si>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</si>
  <si>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</si>
  <si>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</si>
  <si>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</si>
  <si>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</si>
  <si>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</si>
  <si>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</si>
  <si>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</si>
  <si>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</si>
  <si>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</si>
  <si>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</si>
  <si>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</si>
  <si>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</si>
  <si>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</si>
  <si>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</si>
  <si>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</si>
  <si>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</si>
  <si>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</si>
  <si>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</si>
  <si>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</si>
  <si>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</si>
  <si>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</si>
  <si>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</si>
  <si>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</si>
  <si>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</si>
  <si>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</si>
  <si>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</si>
  <si>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</si>
  <si>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</si>
  <si>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</si>
  <si>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</si>
  <si>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</si>
  <si>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</si>
  <si>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</si>
  <si>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</si>
  <si>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</si>
  <si>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</si>
  <si>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</si>
  <si>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</si>
  <si>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</si>
  <si>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</si>
  <si>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</si>
  <si>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</si>
  <si>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</si>
  <si>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</si>
  <si>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</si>
  <si>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</si>
  <si>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</si>
  <si>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</si>
  <si>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</si>
  <si>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</si>
  <si>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</si>
  <si>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</si>
  <si>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</si>
  <si>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</si>
  <si>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</si>
  <si>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</si>
  <si>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</si>
  <si>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</si>
  <si>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</si>
  <si>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</si>
  <si>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</si>
  <si>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</si>
  <si>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</si>
  <si>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</si>
  <si>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</si>
  <si>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</si>
  <si>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</si>
  <si>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</si>
  <si>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</si>
  <si>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</si>
  <si>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</si>
  <si>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</si>
  <si>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</si>
  <si>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</si>
  <si>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</si>
  <si>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</si>
  <si>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</si>
  <si>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</si>
  <si>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</si>
  <si>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</si>
  <si>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</si>
  <si>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</si>
  <si>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</si>
  <si>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</si>
  <si>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</si>
  <si>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</si>
  <si>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</si>
  <si>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</si>
  <si>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</si>
  <si>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</si>
  <si>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</si>
  <si>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</si>
  <si>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</si>
  <si>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</si>
  <si>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</si>
  <si>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</si>
  <si>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</si>
  <si>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</si>
  <si>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</si>
  <si>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</si>
  <si>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</si>
  <si>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</si>
  <si>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</si>
  <si>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</si>
  <si>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</si>
  <si>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</si>
  <si>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</si>
  <si>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</si>
  <si>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</si>
  <si>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</si>
  <si>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</si>
  <si>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</si>
  <si>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</si>
  <si>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</si>
  <si>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</si>
  <si>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</si>
  <si>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</si>
  <si>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</si>
  <si>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</si>
  <si>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</si>
  <si>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</si>
  <si>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</si>
  <si>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</si>
  <si>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</si>
  <si>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</si>
  <si>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</si>
  <si>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</si>
  <si>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</si>
  <si>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</si>
  <si>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</si>
  <si>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</si>
  <si>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</si>
  <si>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</si>
  <si>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</si>
  <si>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</si>
  <si>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</si>
  <si>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</si>
  <si>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</si>
  <si>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</si>
  <si>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</si>
  <si>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</si>
  <si>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</si>
  <si>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</si>
  <si>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</si>
  <si>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</si>
  <si>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</si>
  <si>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</si>
  <si>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</si>
  <si>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</si>
  <si>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</si>
  <si>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</si>
  <si>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</si>
  <si>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</si>
  <si>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</si>
  <si>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</si>
  <si>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</si>
  <si>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</si>
  <si>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</si>
  <si>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</si>
  <si>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</si>
  <si>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</si>
  <si>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</si>
  <si>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</si>
  <si>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</si>
  <si>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</si>
  <si>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</si>
  <si>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</si>
  <si>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</si>
  <si>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</si>
  <si>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</si>
  <si>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</si>
  <si>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</si>
  <si>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</si>
  <si>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</si>
  <si>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</si>
  <si>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</si>
  <si>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</si>
  <si>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</si>
  <si>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</si>
  <si>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</si>
  <si>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</si>
  <si>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</si>
  <si>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</si>
  <si>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</si>
  <si>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</si>
  <si>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</si>
  <si>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</si>
  <si>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</si>
  <si>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</si>
  <si>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</si>
  <si>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</si>
  <si>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</si>
  <si>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</si>
  <si>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</si>
  <si>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</si>
  <si>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</si>
  <si>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</si>
  <si>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</si>
  <si>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</si>
  <si>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</si>
  <si>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</si>
  <si>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</si>
  <si>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</si>
  <si>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</si>
  <si>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</si>
  <si>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</si>
  <si>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</si>
  <si>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</si>
  <si>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</si>
  <si>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</si>
  <si>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</si>
  <si>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</si>
  <si>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</si>
  <si>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</si>
  <si>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</si>
  <si>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</si>
  <si>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</si>
  <si>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</si>
  <si>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</si>
  <si>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</si>
  <si>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</si>
  <si>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</si>
  <si>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</si>
  <si>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</si>
  <si>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</si>
  <si>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</si>
  <si>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</si>
  <si>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</si>
  <si>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</si>
  <si>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</si>
  <si>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</si>
  <si>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</si>
  <si>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</si>
  <si>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</si>
  <si>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</si>
  <si>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</si>
  <si>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</si>
  <si>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</si>
  <si>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</si>
  <si>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</si>
  <si>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</si>
  <si>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</si>
  <si>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</si>
  <si>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</si>
  <si>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</si>
  <si>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</si>
  <si>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</si>
  <si>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</si>
  <si>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</si>
  <si>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</si>
  <si>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</si>
  <si>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</si>
  <si>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</si>
  <si>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</si>
  <si>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</si>
  <si>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</si>
  <si>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</si>
  <si>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</si>
  <si>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</si>
  <si>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</si>
  <si>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</si>
  <si>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</si>
  <si>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</si>
  <si>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</si>
  <si>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</si>
  <si>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</si>
  <si>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</si>
  <si>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</si>
  <si>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</si>
  <si>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</si>
  <si>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</si>
  <si>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</si>
  <si>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</si>
  <si>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</si>
  <si>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</si>
  <si>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</si>
  <si>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</si>
  <si>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</si>
  <si>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</si>
  <si>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</si>
  <si>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</si>
  <si>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</si>
  <si>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</si>
  <si>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</si>
  <si>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</si>
  <si>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</si>
  <si>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</si>
  <si>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</si>
  <si>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</si>
  <si>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</si>
  <si>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</si>
  <si>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</si>
  <si>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</si>
  <si>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</si>
  <si>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</si>
  <si>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</si>
  <si>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</si>
  <si>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</si>
  <si>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</si>
  <si>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</si>
  <si>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</si>
  <si>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</si>
  <si>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</si>
  <si>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</si>
  <si>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</si>
  <si>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</si>
  <si>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</si>
  <si>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</si>
  <si>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</si>
  <si>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</si>
  <si>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</si>
  <si>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</si>
  <si>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</si>
  <si>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</si>
  <si>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</si>
  <si>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</si>
  <si>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</si>
  <si>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</si>
  <si>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</si>
  <si>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</si>
  <si>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</si>
  <si>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</si>
  <si>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</si>
  <si>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</si>
  <si>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</si>
  <si>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</si>
  <si>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</si>
  <si>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</si>
  <si>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</si>
  <si>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</si>
  <si>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</si>
  <si>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</si>
  <si>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</si>
  <si>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</si>
  <si>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</si>
  <si>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</si>
  <si>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</si>
  <si>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</si>
  <si>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</si>
  <si>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</si>
  <si>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</si>
  <si>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</si>
  <si>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</si>
  <si>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</si>
  <si>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</si>
  <si>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</si>
  <si>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</si>
  <si>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</si>
  <si>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</si>
  <si>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</si>
  <si>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</si>
  <si>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</si>
  <si>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</si>
  <si>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</si>
  <si>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</si>
  <si>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</si>
  <si>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</si>
  <si>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</si>
  <si>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</si>
  <si>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</si>
  <si>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</si>
  <si>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</si>
  <si>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</si>
  <si>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</si>
  <si>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</si>
  <si>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</si>
  <si>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</si>
  <si>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</si>
  <si>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</si>
  <si>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</si>
  <si>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</si>
  <si>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</si>
  <si>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</si>
  <si>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</si>
  <si>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</si>
  <si>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</si>
  <si>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</si>
  <si>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</si>
  <si>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</si>
  <si>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</si>
  <si>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</si>
  <si>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</si>
  <si>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</si>
  <si>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</si>
  <si>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</si>
  <si>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</si>
  <si>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</si>
  <si>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</si>
  <si>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</si>
  <si>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</si>
  <si>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</si>
  <si>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</si>
  <si>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</si>
  <si>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</si>
  <si>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</si>
  <si>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</si>
  <si>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</si>
  <si>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</si>
  <si>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</si>
  <si>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</si>
  <si>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</si>
  <si>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</si>
  <si>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</si>
  <si>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</si>
  <si>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</si>
  <si>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</si>
  <si>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</si>
  <si>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</si>
  <si>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</si>
  <si>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</si>
  <si>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</si>
  <si>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</si>
  <si>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</si>
  <si>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</si>
  <si>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</si>
  <si>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</si>
  <si>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</si>
  <si>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</si>
  <si>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</si>
  <si>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</si>
  <si>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</si>
  <si>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</si>
  <si>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</si>
  <si>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</si>
  <si>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</si>
  <si>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</si>
  <si>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</si>
  <si>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</si>
  <si>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</si>
  <si>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</si>
  <si>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</si>
  <si>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</si>
  <si>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</si>
  <si>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</si>
  <si>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</si>
  <si>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</si>
  <si>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</si>
  <si>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</si>
  <si>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</si>
  <si>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</si>
  <si>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</si>
  <si>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</si>
  <si>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</si>
  <si>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</si>
  <si>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</si>
  <si>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</si>
  <si>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</si>
  <si>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</si>
  <si>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</si>
  <si>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</si>
  <si>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</si>
  <si>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</si>
  <si>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</si>
  <si>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</si>
  <si>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</si>
  <si>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</si>
  <si>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</si>
  <si>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</si>
  <si>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</si>
  <si>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</si>
  <si>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</si>
  <si>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</si>
  <si>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</si>
  <si>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</si>
  <si>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</si>
  <si>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</si>
  <si>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</si>
  <si>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</si>
  <si>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</si>
  <si>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</si>
  <si>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</si>
  <si>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</si>
  <si>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</si>
  <si>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</si>
  <si>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</si>
  <si>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</si>
  <si>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</si>
  <si>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</si>
  <si>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</si>
  <si>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</si>
  <si>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</si>
  <si>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</si>
  <si>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</si>
  <si>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</si>
  <si>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</si>
  <si>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</si>
  <si>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</si>
  <si>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</si>
  <si>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</si>
  <si>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</si>
  <si>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</si>
  <si>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</si>
  <si>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</si>
  <si>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</si>
  <si>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</si>
  <si>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</si>
  <si>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</si>
  <si>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</si>
  <si>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</si>
  <si>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</si>
  <si>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</si>
  <si>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</si>
  <si>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</si>
  <si>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</si>
  <si>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</si>
  <si>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</si>
  <si>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</si>
  <si>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</si>
  <si>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</si>
  <si>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</si>
  <si>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</si>
  <si>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</si>
  <si>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</si>
  <si>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</si>
  <si>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</si>
  <si>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</si>
  <si>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</si>
  <si>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</si>
  <si>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</si>
  <si>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</si>
  <si>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</si>
  <si>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</si>
  <si>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</si>
  <si>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</si>
  <si>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</si>
  <si>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</si>
  <si>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</si>
  <si>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</si>
  <si>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</si>
  <si>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</si>
  <si>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</si>
  <si>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</si>
  <si>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</si>
  <si>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</si>
  <si>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</si>
  <si>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</si>
  <si>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</si>
  <si>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</si>
  <si>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</si>
  <si>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</si>
  <si>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</si>
  <si>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</si>
  <si>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</si>
  <si>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</si>
  <si>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</si>
  <si>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</si>
  <si>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</si>
  <si>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</si>
  <si>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</si>
  <si>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</si>
  <si>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</si>
  <si>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</si>
  <si>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</si>
  <si>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</si>
  <si>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</si>
  <si>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</si>
  <si>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</si>
  <si>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</si>
  <si>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</si>
  <si>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</si>
  <si>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</si>
  <si>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</si>
  <si>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</si>
  <si>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</si>
  <si>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</si>
  <si>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</si>
  <si>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</si>
  <si>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</si>
  <si>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</si>
  <si>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</si>
  <si>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</si>
  <si>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</si>
  <si>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</si>
  <si>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</si>
  <si>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</si>
  <si>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</si>
  <si>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</si>
  <si>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</si>
  <si>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</si>
  <si>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</si>
  <si>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</si>
  <si>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</si>
  <si>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</si>
  <si>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</si>
  <si>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</si>
  <si>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</si>
  <si>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</si>
  <si>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</si>
  <si>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</si>
  <si>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</si>
  <si>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</si>
  <si>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</si>
  <si>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</si>
  <si>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</si>
  <si>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</si>
  <si>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</si>
  <si>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</si>
  <si>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</si>
  <si>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</si>
  <si>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</si>
  <si>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</si>
  <si>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</si>
  <si>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</si>
  <si>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</si>
  <si>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</si>
  <si>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</si>
  <si>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</si>
  <si>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</si>
  <si>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</si>
  <si>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</si>
  <si>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</si>
  <si>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</si>
  <si>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</si>
  <si>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</si>
  <si>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</si>
  <si>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</si>
  <si>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</si>
  <si>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</si>
  <si>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</si>
  <si>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</si>
  <si>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</si>
  <si>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</si>
  <si>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</si>
  <si>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</si>
  <si>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</si>
  <si>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</si>
  <si>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</si>
  <si>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</si>
  <si>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</si>
  <si>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</si>
  <si>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</si>
  <si>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</si>
  <si>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</si>
  <si>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</si>
  <si>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</si>
  <si>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</si>
  <si>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</si>
  <si>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</si>
  <si>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</si>
  <si>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</si>
  <si>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</si>
  <si>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</si>
  <si>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</si>
  <si>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</si>
  <si>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</si>
  <si>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</si>
  <si>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</si>
  <si>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</si>
  <si>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</si>
  <si>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</si>
  <si>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</si>
  <si>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</si>
  <si>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</si>
  <si>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</si>
  <si>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</si>
  <si>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</si>
  <si>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</si>
  <si>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</si>
  <si>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</si>
  <si>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</si>
  <si>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</si>
  <si>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</si>
  <si>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</si>
  <si>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</si>
  <si>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</si>
  <si>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</si>
  <si>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</si>
  <si>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</si>
  <si>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</si>
  <si>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</si>
  <si>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</si>
  <si>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</si>
  <si>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</si>
  <si>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</si>
  <si>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</si>
  <si>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</si>
  <si>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</si>
  <si>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</si>
  <si>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</si>
  <si>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</si>
  <si>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</si>
  <si>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</si>
  <si>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</si>
  <si>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</si>
  <si>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</si>
  <si>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</si>
  <si>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</si>
  <si>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</si>
  <si>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</si>
  <si>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</si>
  <si>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</si>
  <si>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</si>
  <si>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</si>
  <si>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</si>
  <si>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</si>
  <si>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</si>
  <si>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</si>
  <si>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</si>
  <si>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</si>
  <si>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</si>
  <si>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</si>
  <si>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</si>
  <si>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</si>
  <si>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</si>
  <si>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</si>
  <si>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</si>
  <si>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</si>
  <si>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</si>
  <si>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</si>
  <si>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</si>
  <si>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</si>
  <si>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</si>
  <si>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</si>
  <si>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</si>
  <si>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</si>
  <si>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</si>
  <si>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</si>
  <si>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</si>
  <si>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</si>
  <si>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</si>
  <si>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</si>
  <si>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</si>
  <si>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</si>
  <si>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</si>
  <si>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</si>
  <si>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</si>
  <si>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</si>
  <si>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</si>
  <si>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</si>
  <si>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</si>
  <si>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</si>
  <si>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</si>
  <si>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</si>
  <si>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</si>
  <si>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</si>
  <si>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</si>
  <si>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</si>
  <si>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</si>
  <si>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</si>
  <si>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</si>
  <si>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</si>
  <si>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</si>
  <si>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</si>
  <si>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</si>
  <si>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</si>
  <si>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</si>
  <si>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</si>
  <si>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</si>
  <si>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</si>
  <si>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</si>
  <si>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</si>
  <si>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</si>
  <si>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</si>
  <si>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</si>
  <si>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</si>
  <si>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</si>
  <si>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</si>
  <si>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</si>
  <si>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</si>
  <si>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</si>
  <si>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</si>
  <si>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</si>
  <si>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</si>
  <si>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</si>
  <si>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</si>
  <si>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</si>
  <si>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</si>
  <si>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</si>
  <si>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</si>
  <si>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</si>
  <si>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</si>
  <si>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</si>
  <si>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</si>
  <si>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</si>
  <si>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</si>
  <si>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</si>
  <si>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</si>
  <si>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</si>
  <si>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</si>
  <si>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</si>
  <si>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</si>
  <si>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</si>
  <si>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</si>
  <si>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</si>
  <si>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</si>
  <si>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</si>
  <si>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</si>
  <si>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</si>
  <si>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</si>
  <si>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</si>
  <si>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</si>
  <si>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</si>
  <si>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</si>
  <si>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</si>
  <si>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</si>
  <si>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</si>
  <si>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</si>
  <si>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</si>
  <si>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</si>
  <si>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</si>
  <si>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</si>
  <si>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</si>
  <si>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</si>
  <si>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</si>
  <si>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</si>
  <si>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</si>
  <si>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</si>
  <si>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</si>
  <si>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</si>
  <si>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</si>
  <si>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</si>
  <si>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</si>
  <si>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</si>
  <si>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</si>
  <si>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</si>
  <si>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</si>
  <si>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</si>
  <si>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</si>
  <si>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</si>
  <si>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</si>
  <si>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</si>
  <si>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</si>
  <si>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</si>
  <si>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</si>
  <si>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</si>
  <si>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</si>
  <si>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</si>
  <si>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</si>
  <si>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</si>
  <si>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</si>
  <si>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</si>
  <si>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</si>
  <si>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</si>
  <si>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</si>
  <si>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</si>
  <si>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</si>
  <si>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</si>
  <si>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</si>
  <si>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</si>
  <si>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</si>
  <si>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</si>
  <si>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</si>
  <si>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</si>
  <si>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</si>
  <si>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</si>
  <si>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</si>
  <si>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</si>
  <si>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</si>
  <si>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</si>
  <si>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</si>
  <si>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</si>
  <si>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</si>
  <si>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</si>
  <si>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</si>
  <si>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</si>
  <si>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</si>
  <si>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</si>
  <si>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</si>
  <si>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</si>
  <si>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</si>
  <si>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</si>
  <si>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</si>
  <si>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</si>
  <si>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</si>
  <si>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</si>
  <si>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</si>
  <si>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</si>
  <si>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</si>
  <si>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</si>
  <si>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</si>
  <si>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</si>
  <si>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</si>
  <si>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</si>
  <si>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</si>
  <si>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</si>
  <si>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</si>
  <si>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</si>
  <si>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</si>
  <si>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</si>
  <si>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</si>
  <si>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</si>
  <si>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</si>
  <si>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</si>
  <si>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</si>
  <si>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</si>
  <si>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</si>
  <si>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</si>
  <si>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</si>
  <si>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</si>
  <si>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</si>
  <si>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</si>
  <si>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</si>
  <si>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</si>
  <si>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</si>
  <si>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</si>
  <si>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</si>
  <si>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</si>
  <si>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</si>
  <si>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</si>
  <si>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</si>
  <si>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</si>
  <si>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</si>
  <si>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</si>
  <si>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</si>
  <si>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</si>
  <si>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</si>
  <si>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</si>
  <si>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</si>
  <si>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</si>
  <si>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</si>
  <si>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</si>
  <si>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</si>
  <si>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</si>
  <si>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</si>
  <si>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</si>
  <si>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</si>
  <si>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</si>
  <si>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</si>
  <si>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</si>
  <si>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</si>
  <si>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</si>
  <si>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</si>
  <si>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</si>
  <si>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</si>
  <si>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</si>
  <si>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</si>
  <si>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</si>
  <si>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</si>
  <si>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</si>
  <si>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</si>
  <si>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</si>
  <si>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</si>
  <si>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</si>
  <si>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</si>
  <si>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</si>
  <si>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</si>
  <si>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</si>
  <si>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</si>
  <si>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</si>
  <si>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</si>
  <si>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</si>
  <si>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</si>
  <si>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</si>
  <si>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</si>
  <si>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</si>
  <si>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</si>
  <si>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</si>
  <si>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</si>
  <si>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</si>
  <si>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</si>
  <si>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</si>
  <si>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</si>
  <si>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</si>
  <si>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</si>
  <si>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</si>
  <si>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</si>
  <si>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</si>
  <si>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</si>
  <si>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</si>
  <si>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</si>
  <si>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</si>
  <si>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</si>
  <si>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</si>
  <si>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</si>
  <si>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</si>
  <si>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</si>
  <si>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</si>
  <si>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</si>
  <si>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</si>
  <si>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</si>
  <si>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</si>
  <si>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</si>
  <si>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</si>
  <si>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</si>
  <si>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</si>
  <si>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</si>
  <si>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</si>
  <si>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</si>
  <si>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</si>
  <si>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</si>
  <si>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</si>
  <si>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</si>
  <si>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</si>
  <si>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</si>
  <si>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</si>
  <si>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</si>
  <si>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</si>
  <si>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</si>
  <si>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</si>
  <si>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</si>
  <si>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</si>
  <si>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</si>
  <si>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</si>
  <si>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</si>
  <si>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</si>
  <si>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</si>
  <si>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</si>
  <si>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</si>
  <si>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</si>
  <si>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</si>
  <si>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</si>
  <si>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</si>
  <si>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</si>
  <si>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</si>
  <si>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</si>
  <si>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</si>
  <si>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</si>
  <si>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</si>
  <si>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</si>
  <si>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</si>
  <si>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</si>
  <si>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</si>
  <si>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</si>
  <si>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</si>
  <si>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</si>
  <si>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</si>
  <si>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</si>
  <si>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</si>
  <si>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</si>
  <si>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</si>
  <si>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</si>
  <si>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</si>
  <si>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</si>
  <si>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</si>
  <si>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</si>
  <si>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</si>
  <si>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</si>
  <si>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</si>
  <si>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</si>
  <si>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</si>
  <si>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</si>
  <si>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</si>
  <si>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</si>
  <si>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</si>
  <si>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</si>
  <si>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</si>
  <si>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</si>
  <si>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</si>
  <si>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</si>
  <si>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</si>
  <si>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</si>
  <si>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</si>
  <si>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</si>
  <si>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</si>
  <si>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</si>
  <si>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</si>
  <si>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</si>
  <si>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</si>
  <si>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</si>
  <si>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</si>
  <si>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</si>
  <si>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</si>
  <si>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</si>
  <si>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</si>
  <si>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</si>
  <si>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</si>
  <si>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</si>
  <si>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</si>
  <si>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</si>
  <si>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</si>
  <si>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</si>
  <si>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</si>
  <si>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</si>
  <si>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</si>
  <si>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</si>
  <si>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</si>
  <si>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</si>
  <si>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</si>
  <si>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</si>
  <si>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</si>
  <si>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</si>
  <si>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</si>
  <si>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</si>
  <si>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</si>
  <si>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</si>
  <si>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</si>
  <si>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</si>
  <si>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</si>
  <si>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</si>
  <si>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</si>
  <si>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</si>
  <si>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</si>
  <si>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</si>
  <si>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</si>
  <si>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</si>
  <si>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</si>
  <si>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</si>
  <si>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</si>
  <si>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</si>
  <si>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</si>
  <si>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</si>
  <si>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</si>
  <si>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</si>
  <si>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</si>
  <si>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</si>
  <si>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</si>
  <si>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</si>
  <si>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</si>
  <si>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</si>
  <si>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</si>
  <si>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</si>
  <si>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</si>
  <si>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</si>
  <si>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</si>
  <si>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</si>
  <si>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</si>
  <si>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</si>
  <si>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</si>
  <si>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</si>
  <si>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</si>
  <si>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</si>
  <si>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</si>
  <si>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</si>
  <si>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</si>
  <si>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</si>
  <si>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</si>
  <si>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</si>
  <si>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</si>
  <si>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</si>
  <si>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</si>
  <si>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</si>
  <si>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</si>
  <si>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</si>
  <si>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</si>
  <si>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</si>
  <si>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</si>
  <si>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</si>
  <si>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</si>
  <si>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</si>
  <si>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</si>
  <si>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</si>
  <si>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</si>
  <si>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</si>
  <si>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</si>
  <si>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</si>
  <si>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</si>
  <si>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</si>
  <si>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</si>
  <si>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</si>
  <si>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</si>
  <si>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</si>
  <si>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</si>
  <si>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</si>
  <si>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</si>
  <si>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</si>
  <si>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</si>
  <si>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</si>
  <si>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</si>
  <si>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</si>
  <si>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</si>
  <si>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</si>
  <si>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</si>
  <si>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</si>
  <si>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</si>
  <si>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</si>
  <si>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</si>
  <si>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</si>
  <si>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</si>
  <si>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</si>
  <si>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</si>
  <si>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</si>
  <si>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</si>
  <si>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</si>
  <si>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</si>
  <si>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</si>
  <si>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</si>
  <si>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</si>
  <si>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</si>
  <si>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</si>
  <si>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</si>
  <si>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</si>
  <si>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</si>
  <si>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</si>
  <si>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</si>
  <si>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</si>
  <si>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</si>
  <si>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</si>
  <si>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</si>
  <si>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</si>
  <si>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</si>
  <si>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</si>
  <si>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</si>
  <si>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</si>
  <si>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</si>
  <si>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</si>
  <si>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</si>
  <si>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</si>
  <si>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</si>
  <si>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</si>
  <si>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</si>
  <si>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</si>
  <si>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</si>
  <si>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</si>
  <si>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</si>
  <si>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</si>
  <si>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</si>
  <si>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</si>
  <si>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</si>
  <si>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</si>
  <si>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</si>
  <si>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</si>
  <si>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</si>
  <si>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</si>
  <si>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</si>
  <si>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</si>
  <si>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</si>
  <si>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</si>
  <si>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</si>
  <si>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</si>
  <si>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</si>
  <si>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</si>
  <si>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</si>
  <si>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</si>
  <si>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</si>
  <si>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</si>
  <si>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</si>
  <si>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</si>
  <si>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</si>
  <si>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</si>
  <si>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</si>
  <si>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</si>
  <si>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</si>
  <si>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</si>
  <si>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</si>
  <si>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</si>
  <si>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</si>
  <si>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</si>
  <si>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</si>
  <si>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</si>
  <si>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</si>
  <si>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</si>
  <si>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</si>
  <si>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</si>
  <si>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</si>
  <si>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</si>
  <si>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</si>
  <si>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</si>
  <si>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</si>
  <si>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</si>
  <si>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</si>
  <si>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</si>
  <si>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</si>
  <si>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</si>
  <si>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</si>
  <si>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</si>
  <si>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</si>
  <si>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</si>
  <si>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</si>
  <si>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</si>
  <si>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</si>
  <si>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</si>
  <si>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</si>
  <si>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</si>
  <si>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</si>
  <si>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</si>
  <si>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</si>
  <si>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</si>
  <si>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</si>
  <si>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</si>
  <si>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</si>
  <si>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</si>
  <si>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</si>
  <si>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</si>
  <si>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</si>
  <si>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</si>
  <si>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</si>
  <si>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</si>
  <si>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</si>
  <si>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</si>
  <si>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</si>
  <si>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</si>
  <si>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</si>
  <si>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</si>
  <si>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</si>
  <si>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</si>
  <si>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</si>
  <si>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</si>
  <si>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</si>
  <si>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</si>
  <si>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</si>
  <si>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</si>
  <si>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</si>
  <si>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</si>
  <si>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</si>
  <si>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</si>
  <si>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</si>
  <si>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</si>
  <si>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</si>
  <si>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</si>
  <si>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</si>
  <si>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</si>
  <si>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</si>
  <si>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</si>
  <si>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</si>
  <si>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</si>
  <si>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</si>
  <si>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</si>
  <si>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</si>
  <si>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</si>
  <si>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</si>
  <si>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</si>
  <si>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</si>
  <si>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</si>
  <si>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</si>
  <si>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</si>
  <si>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</si>
  <si>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</si>
  <si>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</si>
  <si>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</si>
  <si>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</si>
  <si>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</si>
  <si>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</si>
  <si>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</si>
  <si>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</si>
  <si>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</si>
  <si>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</si>
  <si>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</si>
  <si>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</si>
  <si>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</si>
  <si>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</si>
  <si>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</si>
  <si>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</si>
  <si>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</si>
  <si>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</si>
  <si>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</si>
  <si>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</si>
  <si>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</si>
  <si>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</si>
  <si>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</si>
  <si>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</si>
  <si>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</si>
  <si>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</si>
  <si>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</si>
  <si>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</si>
  <si>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</si>
  <si>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</si>
  <si>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</si>
  <si>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</si>
  <si>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</si>
  <si>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</si>
  <si>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</si>
  <si>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</si>
  <si>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</si>
  <si>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</si>
  <si>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</si>
  <si>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</si>
  <si>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</si>
  <si>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</si>
  <si>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</si>
  <si>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</si>
  <si>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</si>
  <si>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</si>
  <si>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</si>
  <si>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</si>
  <si>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</si>
  <si>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</si>
  <si>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</si>
  <si>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</si>
  <si>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</si>
  <si>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</si>
  <si>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</si>
  <si>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</si>
  <si>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</si>
  <si>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</si>
  <si>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</si>
  <si>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</si>
  <si>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</si>
  <si>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</si>
  <si>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</si>
  <si>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</si>
  <si>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</si>
  <si>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</si>
  <si>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</si>
  <si>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</si>
  <si>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</si>
  <si>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</si>
  <si>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</si>
  <si>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</si>
  <si>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</si>
  <si>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</si>
  <si>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</si>
  <si>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</si>
  <si>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</si>
  <si>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</si>
  <si>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</si>
  <si>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</si>
  <si>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</si>
  <si>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</si>
  <si>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</si>
  <si>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</si>
  <si>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</si>
  <si>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</si>
  <si>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</si>
  <si>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</si>
  <si>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</si>
  <si>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</si>
  <si>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</si>
  <si>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</si>
  <si>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</si>
  <si>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</si>
  <si>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</si>
  <si>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</si>
  <si>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</si>
  <si>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</si>
  <si>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</si>
  <si>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</si>
  <si>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</si>
  <si>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</si>
  <si>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</si>
  <si>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</si>
  <si>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</si>
  <si>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</si>
  <si>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</si>
  <si>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</si>
  <si>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</si>
  <si>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</si>
  <si>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</si>
  <si>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</si>
  <si>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</si>
  <si>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</si>
  <si>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</si>
  <si>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</si>
  <si>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</si>
  <si>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</si>
  <si>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</si>
  <si>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</si>
  <si>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</si>
  <si>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</si>
  <si>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</si>
  <si>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</si>
  <si>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</si>
  <si>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</si>
  <si>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</si>
  <si>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</si>
  <si>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</si>
  <si>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</si>
  <si>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</si>
  <si>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</si>
  <si>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</si>
  <si>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</si>
  <si>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</si>
  <si>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</si>
  <si>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</si>
  <si>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</si>
  <si>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</si>
  <si>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</si>
  <si>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</si>
  <si>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</si>
  <si>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</si>
  <si>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</si>
  <si>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</si>
  <si>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</si>
  <si>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</si>
  <si>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</si>
  <si>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</si>
  <si>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</si>
  <si>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</si>
  <si>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</si>
  <si>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</si>
  <si>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</si>
  <si>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</si>
  <si>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</si>
  <si>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</si>
  <si>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</si>
  <si>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</si>
  <si>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</si>
  <si>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</si>
  <si>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</si>
  <si>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</si>
  <si>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</si>
  <si>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</si>
  <si>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</si>
  <si>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</si>
  <si>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</si>
  <si>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</si>
  <si>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</si>
  <si>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</si>
  <si>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</si>
  <si>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</si>
  <si>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</si>
  <si>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</si>
  <si>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</si>
  <si>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</si>
  <si>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</si>
  <si>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</si>
  <si>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</si>
  <si>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</si>
  <si>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</si>
  <si>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</si>
  <si>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</si>
  <si>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</si>
  <si>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</si>
  <si>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</si>
  <si>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</si>
  <si>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</si>
  <si>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</si>
  <si>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</si>
  <si>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</si>
  <si>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</si>
  <si>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</si>
  <si>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</si>
  <si>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</si>
  <si>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</si>
  <si>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</si>
  <si>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</si>
  <si>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</si>
  <si>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</si>
  <si>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</si>
  <si>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</si>
  <si>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</si>
  <si>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</si>
  <si>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</si>
  <si>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</si>
  <si>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</si>
  <si>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</si>
  <si>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</si>
  <si>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</si>
  <si>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</si>
  <si>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</si>
  <si>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</si>
  <si>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</si>
  <si>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</si>
  <si>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</si>
  <si>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</si>
  <si>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</si>
  <si>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</si>
  <si>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</si>
  <si>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</si>
  <si>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</si>
  <si>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</si>
  <si>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</si>
  <si>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</si>
  <si>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</si>
  <si>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</si>
  <si>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</si>
  <si>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</si>
  <si>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</si>
  <si>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</si>
  <si>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</si>
  <si>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</si>
  <si>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</si>
  <si>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</si>
  <si>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</si>
  <si>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</si>
  <si>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</si>
  <si>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</si>
  <si>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</si>
  <si>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</si>
  <si>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</si>
  <si>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</si>
  <si>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</si>
  <si>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</si>
  <si>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</si>
  <si>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</si>
  <si>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</si>
  <si>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</si>
  <si>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</si>
  <si>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</si>
  <si>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</si>
  <si>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</si>
  <si>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</si>
  <si>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</si>
  <si>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</si>
  <si>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</si>
  <si>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</si>
  <si>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</si>
  <si>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</si>
  <si>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</si>
  <si>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</si>
  <si>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</si>
  <si>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</si>
  <si>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</si>
  <si>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</si>
  <si>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</si>
  <si>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</si>
  <si>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</si>
  <si>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</si>
  <si>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</si>
  <si>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</si>
  <si>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</si>
  <si>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</si>
  <si>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</si>
  <si>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</si>
  <si>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</si>
  <si>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</si>
  <si>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</si>
  <si>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</si>
  <si>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</si>
  <si>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</si>
  <si>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</si>
  <si>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</si>
  <si>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</si>
  <si>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</si>
  <si>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</si>
  <si>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</si>
  <si>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</si>
  <si>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</si>
  <si>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</si>
  <si>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</si>
  <si>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</si>
  <si>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</si>
  <si>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</si>
  <si>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</si>
  <si>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</si>
  <si>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</si>
  <si>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</si>
  <si>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</si>
  <si>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</si>
  <si>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</si>
  <si>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</si>
  <si>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</si>
  <si>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</si>
  <si>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</si>
  <si>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</si>
  <si>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</si>
  <si>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</si>
  <si>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</si>
  <si>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</si>
  <si>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</si>
  <si>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</si>
  <si>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</si>
  <si>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</si>
  <si>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</si>
  <si>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</si>
  <si>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</si>
  <si>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</si>
  <si>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</si>
  <si>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</si>
  <si>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</si>
  <si>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</si>
  <si>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</si>
  <si>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</si>
  <si>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</si>
  <si>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</si>
  <si>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</si>
  <si>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</si>
  <si>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</si>
  <si>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</si>
  <si>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</si>
  <si>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</si>
  <si>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</si>
  <si>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</si>
  <si>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</si>
  <si>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</si>
  <si>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</si>
  <si>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</si>
  <si>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</si>
  <si>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</si>
  <si>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</si>
  <si>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</si>
  <si>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</si>
  <si>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</si>
  <si>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</si>
  <si>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</si>
  <si>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</si>
  <si>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</si>
  <si>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</si>
  <si>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</si>
  <si>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</si>
  <si>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</si>
  <si>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</si>
  <si>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</si>
  <si>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</si>
  <si>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</si>
  <si>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</si>
  <si>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</si>
  <si>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</si>
  <si>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</si>
  <si>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</si>
  <si>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</si>
  <si>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</si>
  <si>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</si>
  <si>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</si>
  <si>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</si>
  <si>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</si>
  <si>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</si>
  <si>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</si>
  <si>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</si>
  <si>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</si>
  <si>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</si>
  <si>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</si>
  <si>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</si>
  <si>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</si>
  <si>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</si>
  <si>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</si>
  <si>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</si>
  <si>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</si>
  <si>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</si>
  <si>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</si>
  <si>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</si>
  <si>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</si>
  <si>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</si>
  <si>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</si>
  <si>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</si>
  <si>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</si>
  <si>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</si>
  <si>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</si>
  <si>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</si>
  <si>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</si>
  <si>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</si>
  <si>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</si>
  <si>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</si>
  <si>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</si>
  <si>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</si>
  <si>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</si>
  <si>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</si>
  <si>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</si>
  <si>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</si>
  <si>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</si>
  <si>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</si>
  <si>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</si>
  <si>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</si>
  <si>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</si>
  <si>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</si>
  <si>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</si>
  <si>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</si>
  <si>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</si>
  <si>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</si>
  <si>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</si>
  <si>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</si>
  <si>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</si>
  <si>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</si>
  <si>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</si>
  <si>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</si>
  <si>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</si>
  <si>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</si>
  <si>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</si>
  <si>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</si>
  <si>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</si>
  <si>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</si>
  <si>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</si>
  <si>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</si>
  <si>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</si>
  <si>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</si>
  <si>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</si>
  <si>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</si>
  <si>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</si>
  <si>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</si>
  <si>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</si>
  <si>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</si>
  <si>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</si>
  <si>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</si>
  <si>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</si>
  <si>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</si>
  <si>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</si>
  <si>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</si>
  <si>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</si>
  <si>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</si>
  <si>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</si>
  <si>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</si>
  <si>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</si>
  <si>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</si>
  <si>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</si>
  <si>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</si>
  <si>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</si>
  <si>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</si>
  <si>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</si>
  <si>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</si>
  <si>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</si>
  <si>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</si>
  <si>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</si>
  <si>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</si>
  <si>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</si>
  <si>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</si>
  <si>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</si>
  <si>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</si>
  <si>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</si>
  <si>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</si>
  <si>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</si>
  <si>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</si>
  <si>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</si>
  <si>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</si>
  <si>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</si>
  <si>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</si>
  <si>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</si>
  <si>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</si>
  <si>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</si>
  <si>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</si>
  <si>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</si>
  <si>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</si>
  <si>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</si>
  <si>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</si>
  <si>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</si>
  <si>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</si>
  <si>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</si>
  <si>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</si>
  <si>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</si>
  <si>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</si>
  <si>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</si>
  <si>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</si>
  <si>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</si>
  <si>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</si>
  <si>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</si>
  <si>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</si>
  <si>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</si>
  <si>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</si>
  <si>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</si>
  <si>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</si>
  <si>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</si>
  <si>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</si>
  <si>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</si>
  <si>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</si>
  <si>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</si>
  <si>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</si>
  <si>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</si>
  <si>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</si>
  <si>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</si>
  <si>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</si>
  <si>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</si>
  <si>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</si>
  <si>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</si>
  <si>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</si>
  <si>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</si>
  <si>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</si>
  <si>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</si>
  <si>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</si>
  <si>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</si>
  <si>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</si>
  <si>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</si>
  <si>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</si>
  <si>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</si>
  <si>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</si>
  <si>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</si>
  <si>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</si>
  <si>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</si>
  <si>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</si>
  <si>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</si>
  <si>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</si>
  <si>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</si>
  <si>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</si>
  <si>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</si>
  <si>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</si>
  <si>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</si>
  <si>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</si>
  <si>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</si>
  <si>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</si>
  <si>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</si>
  <si>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</si>
  <si>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</si>
  <si>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</si>
  <si>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</si>
  <si>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</si>
  <si>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</si>
  <si>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</si>
  <si>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</si>
  <si>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</si>
  <si>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</si>
  <si>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</si>
  <si>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</si>
  <si>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</si>
  <si>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</si>
  <si>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</si>
  <si>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</si>
  <si>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</si>
  <si>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</si>
  <si>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</si>
  <si>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</si>
  <si>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</si>
  <si>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</si>
  <si>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</si>
  <si>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</si>
  <si>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</si>
  <si>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</si>
  <si>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</si>
  <si>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</si>
  <si>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</si>
  <si>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</si>
  <si>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</si>
  <si>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</si>
  <si>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</si>
  <si>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</si>
  <si>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</si>
  <si>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</si>
  <si>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</si>
  <si>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</si>
  <si>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</si>
  <si>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</si>
  <si>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</si>
  <si>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</si>
  <si>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</si>
  <si>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</si>
  <si>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</si>
  <si>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</si>
  <si>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</si>
  <si>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</si>
  <si>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</si>
  <si>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</si>
  <si>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</si>
  <si>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</si>
  <si>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</si>
  <si>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</si>
  <si>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</si>
  <si>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</si>
  <si>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</si>
  <si>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</si>
  <si>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</si>
  <si>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</si>
  <si>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</si>
  <si>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</si>
  <si>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</si>
  <si>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</si>
  <si>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</si>
  <si>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</si>
  <si>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</si>
  <si>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</si>
  <si>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</si>
  <si>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</si>
  <si>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</si>
  <si>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</si>
  <si>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</si>
  <si>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</si>
  <si>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</si>
  <si>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</si>
  <si>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</si>
  <si>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</si>
  <si>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</si>
  <si>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</si>
  <si>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</si>
  <si>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</si>
  <si>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</si>
  <si>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</si>
  <si>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</si>
  <si>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</si>
  <si>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</si>
  <si>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</si>
  <si>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</si>
  <si>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</si>
  <si>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</si>
  <si>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</si>
  <si>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</si>
  <si>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</si>
  <si>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</si>
  <si>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</si>
  <si>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</si>
  <si>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</si>
  <si>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</si>
  <si>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</si>
  <si>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</si>
  <si>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</si>
  <si>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</si>
  <si>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</si>
  <si>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</si>
  <si>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</si>
  <si>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</si>
  <si>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</si>
  <si>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</si>
  <si>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</si>
  <si>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</si>
  <si>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</si>
  <si>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</si>
  <si>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</si>
  <si>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</si>
  <si>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</si>
  <si>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</si>
  <si>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</si>
  <si>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</si>
  <si>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</si>
  <si>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</si>
  <si>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</si>
  <si>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</si>
  <si>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</si>
  <si>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</si>
  <si>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</si>
  <si>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</si>
  <si>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</si>
  <si>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</si>
  <si>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</si>
  <si>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</si>
  <si>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</si>
  <si>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</si>
  <si>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</si>
  <si>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</si>
  <si>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</si>
  <si>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</si>
  <si>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</si>
  <si>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</si>
  <si>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</si>
  <si>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</si>
  <si>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</si>
  <si>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</si>
  <si>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</si>
  <si>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</si>
  <si>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</si>
  <si>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</si>
  <si>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</si>
  <si>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</si>
  <si>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</si>
  <si>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</si>
  <si>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</si>
  <si>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</si>
  <si>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</si>
  <si>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</si>
  <si>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</si>
  <si>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</si>
  <si>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</si>
  <si>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</si>
  <si>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</si>
  <si>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</si>
  <si>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</si>
  <si>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</si>
  <si>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</si>
  <si>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</si>
  <si>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</si>
  <si>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</si>
  <si>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</si>
  <si>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</si>
  <si>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</si>
  <si>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</si>
  <si>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</si>
  <si>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</si>
  <si>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</si>
  <si>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</si>
  <si>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</si>
  <si>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</si>
  <si>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</si>
  <si>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</si>
  <si>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</si>
  <si>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</si>
  <si>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</si>
  <si>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</si>
  <si>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</si>
  <si>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</si>
  <si>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</si>
  <si>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</si>
  <si>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</si>
  <si>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</si>
  <si>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</si>
  <si>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</si>
  <si>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</si>
  <si>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</si>
  <si>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</si>
  <si>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</si>
  <si>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</si>
  <si>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</si>
  <si>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</si>
  <si>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</si>
  <si>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</si>
  <si>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</si>
  <si>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</si>
  <si>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</si>
  <si>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</si>
  <si>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</si>
  <si>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</si>
  <si>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</si>
  <si>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</si>
  <si>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</si>
  <si>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</si>
  <si>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</si>
  <si>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</si>
  <si>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</si>
  <si>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</si>
  <si>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</si>
  <si>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</si>
  <si>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</si>
  <si>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</si>
  <si>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</si>
  <si>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</si>
  <si>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</si>
  <si>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</si>
  <si>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</si>
  <si>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</si>
  <si>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</si>
  <si>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</si>
  <si>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</si>
  <si>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</si>
  <si>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</si>
  <si>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</si>
  <si>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</si>
  <si>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</si>
  <si>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</si>
  <si>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</si>
  <si>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</si>
  <si>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</si>
  <si>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</si>
  <si>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</si>
  <si>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</si>
  <si>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</si>
  <si>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</si>
  <si>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</si>
  <si>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</si>
  <si>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</si>
  <si>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</si>
  <si>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</si>
  <si>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</si>
  <si>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</si>
  <si>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</si>
  <si>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</si>
  <si>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</si>
  <si>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</si>
  <si>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</si>
  <si>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</si>
  <si>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</si>
  <si>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</si>
  <si>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</si>
  <si>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</si>
  <si>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</si>
  <si>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</si>
  <si>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</si>
  <si>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</si>
  <si>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</si>
  <si>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</si>
  <si>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</si>
  <si>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</si>
  <si>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</si>
  <si>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</si>
  <si>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</si>
  <si>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</si>
  <si>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</si>
  <si>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</si>
  <si>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</si>
  <si>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</si>
  <si>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</si>
  <si>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</si>
  <si>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</si>
  <si>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</si>
  <si>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</si>
  <si>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</si>
  <si>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</si>
  <si>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</si>
  <si>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</si>
  <si>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</si>
  <si>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</si>
  <si>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</si>
  <si>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</si>
  <si>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</si>
  <si>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</si>
  <si>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</si>
  <si>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</si>
  <si>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</si>
  <si>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</si>
  <si>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</si>
  <si>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</si>
  <si>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</si>
  <si>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</si>
  <si>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</si>
  <si>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</si>
  <si>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</si>
  <si>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</si>
  <si>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</si>
  <si>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</si>
  <si>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</si>
  <si>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</si>
  <si>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</si>
  <si>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</si>
  <si>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</si>
  <si>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</si>
  <si>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</si>
  <si>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</si>
  <si>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</si>
  <si>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</si>
  <si>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</si>
  <si>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</si>
  <si>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</si>
  <si>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</si>
  <si>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</si>
  <si>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</si>
  <si>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</si>
  <si>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</si>
  <si>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</si>
  <si>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</si>
  <si>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</si>
  <si>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</si>
  <si>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</si>
  <si>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</si>
  <si>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</si>
  <si>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</si>
  <si>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</si>
  <si>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</si>
  <si>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</si>
  <si>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</si>
  <si>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</si>
  <si>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</si>
  <si>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</si>
  <si>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</si>
  <si>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</si>
  <si>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</si>
  <si>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</si>
  <si>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</si>
  <si>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</si>
  <si>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</si>
  <si>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</si>
  <si>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</si>
  <si>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</si>
  <si>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</si>
  <si>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</si>
  <si>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</si>
  <si>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</si>
  <si>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</si>
  <si>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</si>
  <si>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</si>
  <si>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</si>
  <si>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</si>
  <si>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</si>
  <si>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</si>
  <si>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</si>
  <si>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</si>
  <si>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</si>
  <si>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</si>
  <si>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</si>
  <si>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</si>
  <si>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</si>
  <si>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</si>
  <si>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</si>
  <si>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</si>
  <si>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</si>
  <si>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</si>
  <si>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</si>
  <si>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</si>
  <si>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</si>
  <si>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</si>
  <si>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</si>
  <si>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</si>
  <si>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</si>
  <si>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</si>
  <si>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</si>
  <si>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</si>
  <si>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</si>
  <si>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</si>
  <si>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</si>
  <si>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</si>
  <si>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</si>
  <si>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</si>
  <si>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</si>
  <si>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</si>
  <si>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</si>
  <si>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</si>
  <si>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</si>
  <si>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</si>
  <si>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</si>
  <si>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</si>
  <si>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</si>
  <si>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</si>
  <si>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</si>
  <si>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</si>
  <si>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</si>
  <si>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</si>
  <si>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</si>
  <si>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</si>
  <si>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</si>
  <si>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</si>
  <si>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</si>
  <si>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</si>
  <si>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</si>
  <si>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</si>
  <si>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</si>
  <si>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</si>
  <si>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</si>
  <si>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</si>
  <si>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</si>
  <si>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</si>
  <si>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</si>
  <si>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</si>
  <si>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</si>
  <si>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</si>
  <si>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</si>
  <si>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</si>
  <si>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</si>
  <si>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</si>
  <si>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</si>
  <si>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</si>
  <si>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</si>
  <si>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</si>
  <si>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</si>
  <si>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</si>
  <si>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</si>
  <si>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</si>
  <si>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</si>
  <si>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</si>
  <si>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</si>
  <si>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</si>
  <si>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</si>
  <si>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</si>
  <si>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</si>
  <si>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</si>
  <si>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</si>
  <si>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</si>
  <si>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</si>
  <si>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</si>
  <si>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</si>
  <si>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</si>
  <si>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</si>
  <si>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</si>
  <si>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</si>
  <si>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</si>
  <si>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</si>
  <si>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</si>
  <si>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</si>
  <si>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</si>
  <si>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</si>
  <si>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</si>
  <si>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</si>
  <si>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</si>
  <si>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</si>
  <si>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</si>
  <si>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</si>
  <si>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</si>
  <si>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</si>
  <si>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</si>
  <si>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</si>
  <si>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</si>
  <si>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</si>
  <si>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</si>
  <si>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</si>
  <si>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</si>
  <si>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</si>
  <si>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</si>
  <si>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</si>
  <si>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</si>
  <si>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</si>
  <si>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</si>
  <si>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</si>
  <si>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</si>
  <si>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</si>
  <si>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</si>
  <si>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</si>
  <si>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</si>
  <si>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</si>
  <si>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</si>
  <si>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</si>
  <si>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</si>
  <si>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</si>
  <si>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</si>
  <si>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</si>
  <si>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</si>
  <si>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</si>
  <si>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</si>
  <si>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</si>
  <si>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</si>
  <si>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</si>
  <si>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</si>
  <si>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</si>
  <si>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</si>
  <si>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</si>
  <si>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</si>
  <si>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</si>
  <si>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</si>
  <si>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</si>
  <si>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</si>
  <si>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</si>
  <si>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</si>
  <si>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</si>
  <si>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</si>
  <si>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</si>
  <si>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</si>
  <si>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</si>
  <si>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</si>
  <si>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</si>
  <si>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</si>
  <si>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</si>
  <si>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</si>
  <si>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</si>
  <si>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</si>
  <si>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</si>
  <si>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</si>
  <si>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</si>
  <si>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</si>
  <si>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</si>
  <si>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</si>
  <si>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</si>
  <si>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</si>
  <si>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</si>
  <si>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</si>
  <si>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</si>
  <si>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</si>
  <si>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</si>
  <si>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</si>
  <si>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</si>
  <si>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</si>
  <si>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</si>
  <si>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</si>
  <si>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</si>
  <si>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</si>
  <si>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</si>
  <si>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</si>
  <si>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</si>
  <si>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</si>
  <si>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</si>
  <si>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</si>
  <si>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</si>
  <si>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</si>
  <si>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</si>
  <si>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</si>
  <si>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</si>
  <si>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</si>
  <si>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</si>
  <si>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</si>
  <si>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</si>
  <si>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</si>
  <si>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</si>
  <si>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</si>
  <si>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</si>
  <si>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</si>
  <si>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</si>
  <si>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</si>
  <si>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</si>
  <si>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</si>
  <si>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</si>
  <si>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</si>
  <si>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</si>
  <si>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</si>
  <si>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</si>
  <si>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</si>
  <si>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</si>
  <si>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</si>
  <si>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</si>
  <si>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</si>
  <si>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</si>
  <si>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</si>
  <si>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</si>
  <si>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</si>
  <si>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</si>
  <si>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</si>
  <si>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</si>
  <si>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</si>
  <si>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</si>
  <si>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</si>
  <si>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</si>
  <si>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</si>
  <si>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</si>
  <si>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</si>
  <si>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</si>
  <si>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</si>
  <si>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</si>
  <si>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</si>
  <si>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</si>
  <si>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</si>
  <si>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</si>
  <si>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</si>
  <si>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</si>
  <si>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</si>
  <si>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</si>
  <si>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</si>
  <si>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</si>
  <si>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</si>
  <si>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</si>
  <si>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</si>
  <si>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</si>
  <si>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</si>
  <si>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</si>
  <si>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</si>
  <si>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</si>
  <si>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</si>
  <si>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</si>
  <si>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</si>
  <si>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</si>
  <si>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</si>
  <si>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</si>
  <si>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</si>
  <si>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</si>
  <si>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</si>
  <si>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</si>
  <si>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</si>
  <si>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</si>
  <si>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</si>
  <si>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</si>
  <si>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</si>
  <si>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</si>
  <si>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</si>
  <si>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</si>
  <si>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</si>
  <si>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</si>
  <si>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</si>
  <si>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</si>
  <si>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</si>
  <si>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</si>
  <si>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</si>
  <si>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</si>
  <si>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</si>
  <si>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</si>
  <si>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</si>
  <si>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</si>
  <si>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</si>
  <si>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</si>
  <si>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</si>
  <si>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</si>
  <si>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</si>
  <si>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</si>
  <si>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</si>
  <si>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</si>
  <si>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</si>
  <si>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</si>
  <si>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</si>
  <si>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</si>
  <si>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</si>
  <si>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</si>
  <si>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</si>
  <si>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</si>
  <si>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</si>
  <si>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</si>
  <si>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</si>
  <si>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</si>
  <si>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</si>
  <si>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</si>
  <si>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</si>
  <si>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</si>
  <si>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</si>
  <si>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</si>
  <si>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</si>
  <si>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</si>
  <si>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</si>
  <si>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</si>
  <si>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</si>
  <si>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</si>
  <si>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</si>
  <si>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</si>
  <si>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</si>
  <si>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</si>
  <si>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</si>
  <si>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</si>
  <si>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</si>
  <si>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</si>
  <si>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</si>
  <si>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</si>
  <si>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</si>
  <si>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</si>
  <si>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</si>
  <si>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</si>
  <si>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</si>
  <si>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</si>
  <si>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</si>
  <si>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</si>
  <si>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</si>
  <si>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</si>
  <si>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</si>
  <si>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</si>
  <si>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</si>
  <si>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</si>
  <si>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</si>
  <si>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</si>
  <si>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</si>
  <si>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</si>
  <si>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</si>
  <si>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</si>
  <si>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</si>
  <si>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</si>
  <si>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</si>
  <si>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</si>
  <si>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</si>
  <si>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</si>
  <si>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</si>
  <si>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</si>
  <si>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</si>
  <si>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</si>
  <si>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</si>
  <si>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</si>
  <si>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</si>
  <si>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</si>
  <si>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</si>
  <si>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</si>
  <si>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</si>
  <si>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</si>
  <si>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</si>
  <si>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</si>
  <si>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</si>
  <si>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</si>
  <si>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</si>
  <si>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</si>
  <si>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</si>
  <si>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</si>
  <si>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</si>
  <si>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</si>
  <si>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</si>
  <si>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</si>
  <si>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</si>
  <si>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</si>
  <si>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</si>
  <si>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</si>
  <si>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</si>
  <si>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</si>
  <si>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</si>
  <si>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</si>
  <si>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</si>
  <si>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</si>
  <si>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</si>
  <si>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</si>
  <si>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</si>
  <si>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</si>
  <si>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</si>
  <si>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</si>
  <si>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</si>
  <si>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</si>
  <si>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</si>
  <si>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</si>
  <si>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</si>
  <si>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</si>
  <si>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</si>
  <si>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</si>
  <si>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</si>
  <si>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</si>
  <si>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</si>
  <si>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</si>
  <si>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</si>
  <si>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</si>
  <si>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</si>
  <si>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</si>
  <si>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</si>
  <si>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</si>
  <si>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</si>
  <si>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</si>
  <si>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</si>
  <si>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</si>
  <si>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</si>
  <si>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</si>
  <si>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</si>
  <si>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</si>
  <si>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</si>
  <si>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</si>
  <si>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</si>
  <si>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</si>
  <si>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</si>
  <si>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</si>
  <si>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</si>
  <si>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</si>
  <si>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</si>
  <si>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</si>
  <si>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</si>
  <si>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</si>
  <si>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</si>
  <si>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</si>
  <si>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</si>
  <si>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</si>
  <si>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</si>
  <si>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</si>
  <si>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</si>
  <si>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</si>
  <si>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</si>
  <si>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</si>
  <si>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</si>
  <si>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</si>
  <si>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</si>
  <si>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</si>
  <si>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</si>
  <si>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</si>
  <si>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</si>
  <si>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</si>
  <si>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</si>
  <si>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</si>
  <si>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</si>
  <si>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</si>
  <si>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</si>
  <si>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</si>
  <si>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</si>
  <si>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</si>
  <si>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</si>
  <si>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</si>
  <si>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</si>
  <si>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</si>
  <si>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</si>
  <si>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</si>
  <si>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</si>
  <si>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</si>
  <si>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</si>
  <si>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</si>
  <si>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</si>
  <si>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</si>
  <si>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</si>
  <si>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</si>
  <si>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</si>
  <si>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</si>
  <si>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</si>
  <si>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</si>
  <si>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</si>
  <si>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</si>
  <si>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</si>
  <si>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</si>
  <si>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</si>
  <si>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</si>
  <si>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</si>
  <si>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</si>
  <si>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</si>
  <si>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</si>
  <si>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</si>
  <si>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</si>
  <si>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</si>
  <si>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</si>
  <si>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</si>
  <si>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</si>
  <si>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</si>
  <si>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</si>
  <si>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</si>
  <si>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</si>
  <si>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</si>
  <si>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</si>
  <si>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Recovery Days</t>
  </si>
  <si>
    <t>Ages</t>
  </si>
  <si>
    <t>18-25</t>
  </si>
  <si>
    <t>26-35</t>
  </si>
  <si>
    <t>36-45</t>
  </si>
  <si>
    <t>46-55</t>
  </si>
  <si>
    <t>76-85</t>
  </si>
  <si>
    <t>56-65</t>
  </si>
  <si>
    <t>66-75</t>
  </si>
  <si>
    <t>Age Group</t>
  </si>
  <si>
    <t>Age Category</t>
  </si>
  <si>
    <t>Row Labels</t>
  </si>
  <si>
    <t>Grand Total</t>
  </si>
  <si>
    <t>Column Labels</t>
  </si>
  <si>
    <t>Count of Age Category</t>
  </si>
  <si>
    <t>Count of Medication</t>
  </si>
  <si>
    <t>Count of Medical Condition</t>
  </si>
  <si>
    <t>count</t>
  </si>
  <si>
    <t>countages</t>
  </si>
  <si>
    <t>countmedicalcondition</t>
  </si>
  <si>
    <t>(blank)</t>
  </si>
  <si>
    <t>=COUNTIFS(healthcare_dataset!$C$2:$C$1000,"&gt;=18",healthcare_dataset!$C$2:$C$1000,"&lt;=25",healthcare_dataset!$F$2:$F$1000,Sheet3!B1)</t>
  </si>
  <si>
    <t>AgeGroup</t>
  </si>
  <si>
    <t>Max of Asthma</t>
  </si>
  <si>
    <t>Sum of Recovery Days</t>
  </si>
  <si>
    <t>Patient's claim</t>
  </si>
  <si>
    <t>Count of Hospital</t>
  </si>
  <si>
    <t>Emergency Total</t>
  </si>
  <si>
    <t>After Treatment status of recovery on disease</t>
  </si>
  <si>
    <t>Blood Group</t>
  </si>
  <si>
    <t>Max</t>
  </si>
  <si>
    <t>Max of Hypertension</t>
  </si>
  <si>
    <t>Min</t>
  </si>
  <si>
    <t>Max of Diabetes</t>
  </si>
  <si>
    <t>Min of Arthritis</t>
  </si>
  <si>
    <t>Min of Cancer</t>
  </si>
  <si>
    <t>Blood Wise Disease Fall</t>
  </si>
  <si>
    <t>max</t>
  </si>
  <si>
    <t>min</t>
  </si>
  <si>
    <t>Sum of Biling Amount</t>
  </si>
  <si>
    <t>&lt;11/1/2018</t>
  </si>
  <si>
    <t>2018</t>
  </si>
  <si>
    <t>2019</t>
  </si>
  <si>
    <t>2020</t>
  </si>
  <si>
    <t>2021</t>
  </si>
  <si>
    <t>2022</t>
  </si>
  <si>
    <t>2023</t>
  </si>
  <si>
    <t>Medicala Condititon</t>
  </si>
  <si>
    <t>Elective Total</t>
  </si>
  <si>
    <t>Urgent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</si>
</sst>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Rs-846]\ #,##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
      <sz val="8"/>
      <name val="Aptos Narrow"/>
      <family val="2"/>
      <scheme val="minor"/>
    </font>
    <font>
      <sz val="11"/>
      <color theme="2" tint="-9.9978637043366805E-2"/>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theme="4"/>
      </patternFill>
    </fill>
    <fill>
      <patternFill patternType="solid">
        <fgColor theme="0"/>
        <bgColor indexed="64"/>
      </patternFill>
    </fill>
    <fill>
      <patternFill patternType="solid">
        <fgColor theme="1" tint="0.499984740745262"/>
        <bgColor theme="4"/>
      </patternFill>
    </fill>
    <fill>
      <patternFill patternType="solid">
        <fgColor theme="4" tint="0.79998168889431442"/>
        <bgColor theme="4" tint="0.79998168889431442"/>
      </patternFill>
    </fill>
    <fill>
      <patternFill patternType="solid">
        <fgColor theme="4"/>
        <bgColor theme="4"/>
      </patternFill>
    </fill>
    <fill>
      <patternFill patternType="solid">
        <fgColor rgb="FF7B7B7B"/>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8"/>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14" fontId="0" fillId="0" borderId="0" xfId="0" applyNumberFormat="1"/>
    <xf numFmtId="0" fontId="0" fillId="33" borderId="0" xfId="0" applyFill="1"/>
    <xf numFmtId="14" fontId="0" fillId="33" borderId="0" xfId="0" applyNumberFormat="1" applyFill="1"/>
    <xf numFmtId="0" fontId="0" fillId="0" borderId="0" xfId="0" pivotButton="1"/>
    <xf numFmtId="0" fontId="0" fillId="0" borderId="0" xfId="0" applyAlignment="1">
      <alignment horizontal="left"/>
    </xf>
    <xf numFmtId="49" fontId="0" fillId="0" borderId="0" xfId="0" applyNumberFormat="1"/>
    <xf numFmtId="0" fontId="18" fillId="0" borderId="0" xfId="0" applyFont="1"/>
    <xf numFmtId="0" fontId="16" fillId="0" borderId="14" xfId="0" applyFont="1" applyBorder="1"/>
    <xf numFmtId="164" fontId="0" fillId="0" borderId="0" xfId="0" applyNumberFormat="1"/>
    <xf numFmtId="49" fontId="16" fillId="34" borderId="10" xfId="0" applyNumberFormat="1" applyFont="1" applyFill="1" applyBorder="1"/>
    <xf numFmtId="0" fontId="0" fillId="35" borderId="10" xfId="0" applyFill="1" applyBorder="1"/>
    <xf numFmtId="49" fontId="16" fillId="34" borderId="11" xfId="0" applyNumberFormat="1" applyFont="1" applyFill="1" applyBorder="1"/>
    <xf numFmtId="49" fontId="16" fillId="36" borderId="0" xfId="0" applyNumberFormat="1" applyFont="1" applyFill="1"/>
    <xf numFmtId="49" fontId="16" fillId="36" borderId="16" xfId="0" applyNumberFormat="1" applyFont="1" applyFill="1" applyBorder="1"/>
    <xf numFmtId="49" fontId="13" fillId="38" borderId="13" xfId="0" applyNumberFormat="1" applyFont="1" applyFill="1" applyBorder="1"/>
    <xf numFmtId="49" fontId="13" fillId="38" borderId="12" xfId="0" applyNumberFormat="1" applyFont="1" applyFill="1" applyBorder="1"/>
    <xf numFmtId="0" fontId="0" fillId="37" borderId="13" xfId="0" applyFill="1" applyBorder="1"/>
    <xf numFmtId="0" fontId="0" fillId="37" borderId="12" xfId="0" applyFill="1" applyBorder="1"/>
    <xf numFmtId="0" fontId="0" fillId="0" borderId="13" xfId="0" applyBorder="1"/>
    <xf numFmtId="0" fontId="0" fillId="0" borderId="12" xfId="0" applyBorder="1"/>
    <xf numFmtId="0" fontId="0" fillId="37" borderId="11" xfId="0" applyFill="1" applyBorder="1"/>
    <xf numFmtId="0" fontId="0" fillId="37" borderId="10" xfId="0" applyFill="1" applyBorder="1"/>
    <xf numFmtId="0" fontId="0" fillId="37" borderId="17" xfId="0" applyFill="1" applyBorder="1"/>
    <xf numFmtId="0" fontId="0" fillId="0" borderId="17" xfId="0" applyBorder="1"/>
    <xf numFmtId="0" fontId="0" fillId="37" borderId="18" xfId="0" applyFill="1" applyBorder="1"/>
    <xf numFmtId="49" fontId="13" fillId="38" borderId="17" xfId="0" applyNumberFormat="1" applyFont="1" applyFill="1" applyBorder="1"/>
    <xf numFmtId="0" fontId="13" fillId="38" borderId="0" xfId="0" applyFont="1" applyFill="1"/>
    <xf numFmtId="0" fontId="0" fillId="35" borderId="19" xfId="0" applyFill="1" applyBorder="1"/>
    <xf numFmtId="0" fontId="16" fillId="37" borderId="20" xfId="0" applyFont="1" applyFill="1" applyBorder="1"/>
    <xf numFmtId="0" fontId="20" fillId="39" borderId="0" xfId="0" applyFont="1" applyFill="1"/>
    <xf numFmtId="0" fontId="0" fillId="0" borderId="0" xfId="0" applyAlignment="1">
      <alignment horizontal="center"/>
    </xf>
    <xf numFmtId="0" fontId="0" fillId="0" borderId="15" xfId="0"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30" formatCode="@"/>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color theme="1"/>
      </font>
      <fill>
        <patternFill>
          <bgColor rgb="FFAC75D5"/>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fill>
        <patternFill>
          <bgColor rgb="FFA9CBED"/>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bgColor rgb="FFA22A94"/>
        </patternFill>
      </fill>
    </dxf>
    <dxf>
      <fill>
        <patternFill>
          <bgColor rgb="FFF395AB"/>
        </patternFill>
      </fill>
    </dxf>
    <dxf>
      <fill>
        <patternFill>
          <bgColor theme="4" tint="0.39994506668294322"/>
        </patternFill>
      </fill>
    </dxf>
    <dxf>
      <fill>
        <patternFill>
          <bgColor rgb="FFCC66FF"/>
        </patternFill>
      </fill>
    </dxf>
    <dxf>
      <fill>
        <patternFill>
          <bgColor theme="5" tint="0.39994506668294322"/>
        </patternFill>
      </fill>
    </dxf>
  </dxfs>
  <tableStyles count="9" defaultTableStyle="TableStyleMedium2" defaultPivotStyle="PivotStyleLight16">
    <tableStyle name="Slicer Style 1" pivot="0" table="0" count="3" xr9:uid="{B61CCCB1-662F-49B3-A500-6E52A8FBA541}">
      <tableStyleElement type="headerRow" dxfId="21"/>
    </tableStyle>
    <tableStyle name="Slicer Style 2" pivot="0" table="0" count="2" xr9:uid="{B1F3B77D-C998-434C-9620-C147E4C961A4}">
      <tableStyleElement type="wholeTable" dxfId="20"/>
      <tableStyleElement type="headerRow" dxfId="19"/>
    </tableStyle>
    <tableStyle name="Slicer Style 3" pivot="0" table="0" count="6" xr9:uid="{AEA55119-2345-4397-93F0-34AEC15F57B2}">
      <tableStyleElement type="wholeTable" dxfId="18"/>
      <tableStyleElement type="headerRow" dxfId="17"/>
    </tableStyle>
    <tableStyle name="SlicerStyleDark1 2" pivot="0" table="0" count="10" xr9:uid="{19F7C7C1-9335-4AD0-BF1F-4B21C35A0757}">
      <tableStyleElement type="wholeTable" dxfId="16"/>
      <tableStyleElement type="headerRow" dxfId="15"/>
    </tableStyle>
    <tableStyle name="SlicerStyleDark2 2" pivot="0" table="0" count="10" xr9:uid="{E3EE47F7-761B-42E5-B8FC-74588C0D49BA}">
      <tableStyleElement type="wholeTable" dxfId="14"/>
      <tableStyleElement type="headerRow" dxfId="13"/>
    </tableStyle>
    <tableStyle name="SlicerStyleDark3 2" pivot="0" table="0" count="10" xr9:uid="{C17EC152-BCE5-4EB1-949C-97989C82A698}">
      <tableStyleElement type="wholeTable" dxfId="12"/>
      <tableStyleElement type="headerRow" dxfId="11"/>
    </tableStyle>
    <tableStyle name="SlicerStyleDark4 2" pivot="0" table="0" count="10" xr9:uid="{DA4F698C-5AD4-4C4B-87F4-4CCF769028FE}">
      <tableStyleElement type="wholeTable" dxfId="10"/>
      <tableStyleElement type="headerRow" dxfId="9"/>
    </tableStyle>
    <tableStyle name="SlicerStyleDark5 2" pivot="0" table="0" count="10" xr9:uid="{B10939CD-CF46-4A4C-AD61-1F97E26DAB69}">
      <tableStyleElement type="wholeTable" dxfId="8"/>
      <tableStyleElement type="headerRow" dxfId="7"/>
    </tableStyle>
    <tableStyle name="SlicerStyleLight1 2" pivot="0" table="0" count="10" xr9:uid="{AB1626E6-7B3E-4A16-A01F-05F5C10E26A4}">
      <tableStyleElement type="wholeTable" dxfId="6"/>
      <tableStyleElement type="headerRow" dxfId="5"/>
    </tableStyle>
  </tableStyles>
  <colors>
    <mruColors>
      <color rgb="FFA9CBED"/>
      <color rgb="FFF298EC"/>
      <color rgb="FFCFAFE7"/>
      <color rgb="FFAC75D5"/>
      <color rgb="FFCCECFF"/>
      <color rgb="FFF6D592"/>
      <color rgb="FF7B7B7B"/>
      <color rgb="FFE6A8BE"/>
      <color rgb="FFF395AB"/>
      <color rgb="FFA22A94"/>
    </mruColors>
  </colors>
  <extLst>
    <ext xmlns:x14="http://schemas.microsoft.com/office/spreadsheetml/2009/9/main" uri="{46F421CA-312F-682f-3DD2-61675219B42D}">
      <x14:dxfs count="54">
        <dxf>
          <font>
            <color rgb="FF000000"/>
          </font>
          <fill>
            <patternFill patternType="solid">
              <fgColor rgb="FFAC75D5"/>
              <bgColor rgb="FFCFAFE7"/>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CCECFF"/>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gradientFill type="path" left="1" right="1">
              <stop position="0">
                <color theme="0"/>
              </stop>
              <stop position="1">
                <color theme="2" tint="-9.8025452436902985E-2"/>
              </stop>
            </gradientFill>
          </fill>
        </dxf>
        <dxf>
          <fill>
            <gradientFill degree="135">
              <stop position="0">
                <color theme="0"/>
              </stop>
              <stop position="1">
                <color theme="1" tint="0.49803155613879818"/>
              </stop>
            </gradientFill>
          </fill>
        </dxf>
        <dxf>
          <fill>
            <gradientFill type="path" left="0.5" right="0.5" top="0.5" bottom="0.5">
              <stop position="0">
                <color theme="0"/>
              </stop>
              <stop position="1">
                <color theme="2" tint="-9.8025452436902985E-2"/>
              </stop>
            </gradientFill>
          </fill>
        </dxf>
        <dxf>
          <font>
            <b val="0"/>
            <i val="0"/>
            <name val="Alasassy Caps"/>
            <scheme val="none"/>
          </font>
        </dxf>
        <dxf>
          <fill>
            <gradientFill>
              <stop position="0">
                <color theme="0"/>
              </stop>
              <stop position="1">
                <color theme="5" tint="0.59999389629810485"/>
              </stop>
            </gradientFill>
          </fill>
        </dxf>
        <dxf>
          <font>
            <b/>
            <i val="0"/>
          </font>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53"/>
            <x14:slicerStyleElement type="hoveredSelectedItemWithNoData" dxfId="52"/>
          </x14:slicerStyleElements>
        </x14:slicerStyle>
        <x14:slicerStyle name="Slicer Style 2"/>
        <x14:slicerStyle name="Slicer Style 3">
          <x14:slicerStyleElements>
            <x14:slicerStyleElement type="unselectedItemWithData" dxfId="51"/>
            <x14:slicerStyleElement type="selectedItemWithData" dxfId="50"/>
            <x14:slicerStyleElement type="hoveredSelectedItemWithData" dxfId="49"/>
            <x14:slicerStyleElement type="hoveredSelectedItemWithNoData" dxfId="48"/>
          </x14:slicerStyleElements>
        </x14:slicerStyle>
        <x14:slicerStyle name="SlicerStyleDark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8.xml"/><Relationship Id="rId1" Type="http://schemas.microsoft.com/office/2011/relationships/chartStyle" Target="style8.xml"/><Relationship Id="rId5" Type="http://schemas.openxmlformats.org/officeDocument/2006/relationships/image" Target="../media/image3.png"/><Relationship Id="rId4" Type="http://schemas.openxmlformats.org/officeDocument/2006/relationships/image" Target="../media/image2.png"/></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medical condition on age category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[1]Sheet5!$B$4</c:f>
              <c:strCache>
                <c:ptCount val="1"/>
                <c:pt idx="0">
                  <c:v>Arthritis</c:v>
                </c:pt>
              </c:strCache>
            </c:strRef>
          </c:tx>
          <c:spPr>
            <a:solidFill>
              <a:schemeClr val="accent1"/>
            </a:solidFill>
            <a:ln>
              <a:noFill/>
            </a:ln>
            <a:effectLst/>
          </c:spPr>
          <c:invertIfNegative val="0"/>
          <c:cat>
            <c:strRef>
              <c:f>[1]Sheet5!$C$3:$I$3</c:f>
              <c:strCache>
                <c:ptCount val="7"/>
                <c:pt idx="0">
                  <c:v>18-25</c:v>
                </c:pt>
                <c:pt idx="1">
                  <c:v>26-35</c:v>
                </c:pt>
                <c:pt idx="2">
                  <c:v>36-45</c:v>
                </c:pt>
                <c:pt idx="3">
                  <c:v>46-55</c:v>
                </c:pt>
                <c:pt idx="4">
                  <c:v>56-65</c:v>
                </c:pt>
                <c:pt idx="5">
                  <c:v>66-75</c:v>
                </c:pt>
                <c:pt idx="6">
                  <c:v>76-85</c:v>
                </c:pt>
              </c:strCache>
            </c:strRef>
          </c:cat>
          <c:val>
            <c:numRef>
              <c:f>[1]Sheet5!$C$4:$I$4</c:f>
              <c:numCache>
                <c:formatCode>General</c:formatCode>
                <c:ptCount val="7"/>
                <c:pt idx="0">
                  <c:v>18</c:v>
                </c:pt>
                <c:pt idx="1">
                  <c:v>26</c:v>
                </c:pt>
                <c:pt idx="2">
                  <c:v>23</c:v>
                </c:pt>
                <c:pt idx="3">
                  <c:v>14</c:v>
                </c:pt>
                <c:pt idx="4">
                  <c:v>31</c:v>
                </c:pt>
                <c:pt idx="5">
                  <c:v>17</c:v>
                </c:pt>
                <c:pt idx="6">
                  <c:v>32</c:v>
                </c:pt>
              </c:numCache>
            </c:numRef>
          </c:val>
          <c:extLst>
            <c:ext xmlns:c16="http://schemas.microsoft.com/office/drawing/2014/chart" uri="{C3380CC4-5D6E-409C-BE32-E72D297353CC}">
              <c16:uniqueId val="{00000000-E5F7-42A1-AE3D-02B67D7F8CA5}"/>
            </c:ext>
          </c:extLst>
        </c:ser>
        <c:ser>
          <c:idx val="1"/>
          <c:order val="1"/>
          <c:tx>
            <c:strRef>
              <c:f>[1]Sheet5!$B$5</c:f>
              <c:strCache>
                <c:ptCount val="1"/>
                <c:pt idx="0">
                  <c:v>Asthma</c:v>
                </c:pt>
              </c:strCache>
            </c:strRef>
          </c:tx>
          <c:spPr>
            <a:solidFill>
              <a:schemeClr val="accent2"/>
            </a:solidFill>
            <a:ln>
              <a:noFill/>
            </a:ln>
            <a:effectLst/>
          </c:spPr>
          <c:invertIfNegative val="0"/>
          <c:cat>
            <c:strRef>
              <c:f>[1]Sheet5!$C$3:$I$3</c:f>
              <c:strCache>
                <c:ptCount val="7"/>
                <c:pt idx="0">
                  <c:v>18-25</c:v>
                </c:pt>
                <c:pt idx="1">
                  <c:v>26-35</c:v>
                </c:pt>
                <c:pt idx="2">
                  <c:v>36-45</c:v>
                </c:pt>
                <c:pt idx="3">
                  <c:v>46-55</c:v>
                </c:pt>
                <c:pt idx="4">
                  <c:v>56-65</c:v>
                </c:pt>
                <c:pt idx="5">
                  <c:v>66-75</c:v>
                </c:pt>
                <c:pt idx="6">
                  <c:v>76-85</c:v>
                </c:pt>
              </c:strCache>
            </c:strRef>
          </c:cat>
          <c:val>
            <c:numRef>
              <c:f>[1]Sheet5!$C$5:$I$5</c:f>
              <c:numCache>
                <c:formatCode>General</c:formatCode>
                <c:ptCount val="7"/>
                <c:pt idx="0">
                  <c:v>13</c:v>
                </c:pt>
                <c:pt idx="1">
                  <c:v>33</c:v>
                </c:pt>
                <c:pt idx="2">
                  <c:v>21</c:v>
                </c:pt>
                <c:pt idx="3">
                  <c:v>29</c:v>
                </c:pt>
                <c:pt idx="4">
                  <c:v>28</c:v>
                </c:pt>
                <c:pt idx="5">
                  <c:v>22</c:v>
                </c:pt>
                <c:pt idx="6">
                  <c:v>28</c:v>
                </c:pt>
              </c:numCache>
            </c:numRef>
          </c:val>
          <c:extLst>
            <c:ext xmlns:c16="http://schemas.microsoft.com/office/drawing/2014/chart" uri="{C3380CC4-5D6E-409C-BE32-E72D297353CC}">
              <c16:uniqueId val="{00000001-E5F7-42A1-AE3D-02B67D7F8CA5}"/>
            </c:ext>
          </c:extLst>
        </c:ser>
        <c:ser>
          <c:idx val="2"/>
          <c:order val="2"/>
          <c:tx>
            <c:strRef>
              <c:f>[1]Sheet5!$B$6</c:f>
              <c:strCache>
                <c:ptCount val="1"/>
                <c:pt idx="0">
                  <c:v>Cancer</c:v>
                </c:pt>
              </c:strCache>
            </c:strRef>
          </c:tx>
          <c:spPr>
            <a:solidFill>
              <a:schemeClr val="accent3"/>
            </a:solidFill>
            <a:ln>
              <a:noFill/>
            </a:ln>
            <a:effectLst/>
          </c:spPr>
          <c:invertIfNegative val="0"/>
          <c:cat>
            <c:strRef>
              <c:f>[1]Sheet5!$C$3:$I$3</c:f>
              <c:strCache>
                <c:ptCount val="7"/>
                <c:pt idx="0">
                  <c:v>18-25</c:v>
                </c:pt>
                <c:pt idx="1">
                  <c:v>26-35</c:v>
                </c:pt>
                <c:pt idx="2">
                  <c:v>36-45</c:v>
                </c:pt>
                <c:pt idx="3">
                  <c:v>46-55</c:v>
                </c:pt>
                <c:pt idx="4">
                  <c:v>56-65</c:v>
                </c:pt>
                <c:pt idx="5">
                  <c:v>66-75</c:v>
                </c:pt>
                <c:pt idx="6">
                  <c:v>76-85</c:v>
                </c:pt>
              </c:strCache>
            </c:strRef>
          </c:cat>
          <c:val>
            <c:numRef>
              <c:f>[1]Sheet5!$C$6:$I$6</c:f>
              <c:numCache>
                <c:formatCode>General</c:formatCode>
                <c:ptCount val="7"/>
                <c:pt idx="0">
                  <c:v>24</c:v>
                </c:pt>
                <c:pt idx="1">
                  <c:v>17</c:v>
                </c:pt>
                <c:pt idx="2">
                  <c:v>29</c:v>
                </c:pt>
                <c:pt idx="3">
                  <c:v>22</c:v>
                </c:pt>
                <c:pt idx="4">
                  <c:v>26</c:v>
                </c:pt>
                <c:pt idx="5">
                  <c:v>25</c:v>
                </c:pt>
                <c:pt idx="6">
                  <c:v>28</c:v>
                </c:pt>
              </c:numCache>
            </c:numRef>
          </c:val>
          <c:extLst>
            <c:ext xmlns:c16="http://schemas.microsoft.com/office/drawing/2014/chart" uri="{C3380CC4-5D6E-409C-BE32-E72D297353CC}">
              <c16:uniqueId val="{00000002-E5F7-42A1-AE3D-02B67D7F8CA5}"/>
            </c:ext>
          </c:extLst>
        </c:ser>
        <c:dLbls>
          <c:showLegendKey val="0"/>
          <c:showVal val="0"/>
          <c:showCatName val="0"/>
          <c:showSerName val="0"/>
          <c:showPercent val="0"/>
          <c:showBubbleSize val="0"/>
        </c:dLbls>
        <c:gapWidth val="247"/>
        <c:overlap val="-36"/>
        <c:axId val="717654256"/>
        <c:axId val="717654616"/>
      </c:barChart>
      <c:lineChart>
        <c:grouping val="standard"/>
        <c:varyColors val="0"/>
        <c:ser>
          <c:idx val="3"/>
          <c:order val="3"/>
          <c:tx>
            <c:strRef>
              <c:f>[1]Sheet5!$B$7</c:f>
              <c:strCache>
                <c:ptCount val="1"/>
                <c:pt idx="0">
                  <c:v>Diabetes</c:v>
                </c:pt>
              </c:strCache>
            </c:strRef>
          </c:tx>
          <c:spPr>
            <a:ln w="22225" cap="rnd">
              <a:solidFill>
                <a:schemeClr val="accent4"/>
              </a:solidFill>
              <a:round/>
            </a:ln>
            <a:effectLst/>
          </c:spPr>
          <c:marker>
            <c:symbol val="none"/>
          </c:marker>
          <c:cat>
            <c:strRef>
              <c:f>[1]Sheet5!$C$3:$I$3</c:f>
              <c:strCache>
                <c:ptCount val="7"/>
                <c:pt idx="0">
                  <c:v>18-25</c:v>
                </c:pt>
                <c:pt idx="1">
                  <c:v>26-35</c:v>
                </c:pt>
                <c:pt idx="2">
                  <c:v>36-45</c:v>
                </c:pt>
                <c:pt idx="3">
                  <c:v>46-55</c:v>
                </c:pt>
                <c:pt idx="4">
                  <c:v>56-65</c:v>
                </c:pt>
                <c:pt idx="5">
                  <c:v>66-75</c:v>
                </c:pt>
                <c:pt idx="6">
                  <c:v>76-85</c:v>
                </c:pt>
              </c:strCache>
            </c:strRef>
          </c:cat>
          <c:val>
            <c:numRef>
              <c:f>[1]Sheet5!$C$7:$I$7</c:f>
              <c:numCache>
                <c:formatCode>General</c:formatCode>
                <c:ptCount val="7"/>
                <c:pt idx="0">
                  <c:v>13</c:v>
                </c:pt>
                <c:pt idx="1">
                  <c:v>27</c:v>
                </c:pt>
                <c:pt idx="2">
                  <c:v>20</c:v>
                </c:pt>
                <c:pt idx="3">
                  <c:v>28</c:v>
                </c:pt>
                <c:pt idx="4">
                  <c:v>18</c:v>
                </c:pt>
                <c:pt idx="5">
                  <c:v>27</c:v>
                </c:pt>
                <c:pt idx="6">
                  <c:v>28</c:v>
                </c:pt>
              </c:numCache>
            </c:numRef>
          </c:val>
          <c:smooth val="0"/>
          <c:extLst>
            <c:ext xmlns:c16="http://schemas.microsoft.com/office/drawing/2014/chart" uri="{C3380CC4-5D6E-409C-BE32-E72D297353CC}">
              <c16:uniqueId val="{00000003-E5F7-42A1-AE3D-02B67D7F8CA5}"/>
            </c:ext>
          </c:extLst>
        </c:ser>
        <c:ser>
          <c:idx val="4"/>
          <c:order val="4"/>
          <c:tx>
            <c:strRef>
              <c:f>[1]Sheet5!$B$8</c:f>
              <c:strCache>
                <c:ptCount val="1"/>
                <c:pt idx="0">
                  <c:v>Hypertension</c:v>
                </c:pt>
              </c:strCache>
            </c:strRef>
          </c:tx>
          <c:spPr>
            <a:ln w="22225" cap="rnd">
              <a:solidFill>
                <a:schemeClr val="accent5"/>
              </a:solidFill>
              <a:round/>
            </a:ln>
            <a:effectLst/>
          </c:spPr>
          <c:marker>
            <c:symbol val="none"/>
          </c:marker>
          <c:cat>
            <c:strRef>
              <c:f>[1]Sheet5!$C$3:$I$3</c:f>
              <c:strCache>
                <c:ptCount val="7"/>
                <c:pt idx="0">
                  <c:v>18-25</c:v>
                </c:pt>
                <c:pt idx="1">
                  <c:v>26-35</c:v>
                </c:pt>
                <c:pt idx="2">
                  <c:v>36-45</c:v>
                </c:pt>
                <c:pt idx="3">
                  <c:v>46-55</c:v>
                </c:pt>
                <c:pt idx="4">
                  <c:v>56-65</c:v>
                </c:pt>
                <c:pt idx="5">
                  <c:v>66-75</c:v>
                </c:pt>
                <c:pt idx="6">
                  <c:v>76-85</c:v>
                </c:pt>
              </c:strCache>
            </c:strRef>
          </c:cat>
          <c:val>
            <c:numRef>
              <c:f>[1]Sheet5!$C$8:$I$8</c:f>
              <c:numCache>
                <c:formatCode>General</c:formatCode>
                <c:ptCount val="7"/>
                <c:pt idx="0">
                  <c:v>22</c:v>
                </c:pt>
                <c:pt idx="1">
                  <c:v>26</c:v>
                </c:pt>
                <c:pt idx="2">
                  <c:v>27</c:v>
                </c:pt>
                <c:pt idx="3">
                  <c:v>32</c:v>
                </c:pt>
                <c:pt idx="4">
                  <c:v>22</c:v>
                </c:pt>
                <c:pt idx="5">
                  <c:v>29</c:v>
                </c:pt>
                <c:pt idx="6">
                  <c:v>20</c:v>
                </c:pt>
              </c:numCache>
            </c:numRef>
          </c:val>
          <c:smooth val="0"/>
          <c:extLst>
            <c:ext xmlns:c16="http://schemas.microsoft.com/office/drawing/2014/chart" uri="{C3380CC4-5D6E-409C-BE32-E72D297353CC}">
              <c16:uniqueId val="{00000004-E5F7-42A1-AE3D-02B67D7F8CA5}"/>
            </c:ext>
          </c:extLst>
        </c:ser>
        <c:ser>
          <c:idx val="5"/>
          <c:order val="5"/>
          <c:tx>
            <c:strRef>
              <c:f>[1]Sheet5!$B$9</c:f>
              <c:strCache>
                <c:ptCount val="1"/>
                <c:pt idx="0">
                  <c:v>Obesity</c:v>
                </c:pt>
              </c:strCache>
            </c:strRef>
          </c:tx>
          <c:spPr>
            <a:ln w="22225" cap="rnd">
              <a:solidFill>
                <a:schemeClr val="accent6"/>
              </a:solidFill>
              <a:round/>
            </a:ln>
            <a:effectLst/>
          </c:spPr>
          <c:marker>
            <c:symbol val="none"/>
          </c:marker>
          <c:cat>
            <c:strRef>
              <c:f>[1]Sheet5!$C$3:$I$3</c:f>
              <c:strCache>
                <c:ptCount val="7"/>
                <c:pt idx="0">
                  <c:v>18-25</c:v>
                </c:pt>
                <c:pt idx="1">
                  <c:v>26-35</c:v>
                </c:pt>
                <c:pt idx="2">
                  <c:v>36-45</c:v>
                </c:pt>
                <c:pt idx="3">
                  <c:v>46-55</c:v>
                </c:pt>
                <c:pt idx="4">
                  <c:v>56-65</c:v>
                </c:pt>
                <c:pt idx="5">
                  <c:v>66-75</c:v>
                </c:pt>
                <c:pt idx="6">
                  <c:v>76-85</c:v>
                </c:pt>
              </c:strCache>
            </c:strRef>
          </c:cat>
          <c:val>
            <c:numRef>
              <c:f>[1]Sheet5!$C$9:$I$9</c:f>
              <c:numCache>
                <c:formatCode>General</c:formatCode>
                <c:ptCount val="7"/>
                <c:pt idx="0">
                  <c:v>10</c:v>
                </c:pt>
                <c:pt idx="1">
                  <c:v>22</c:v>
                </c:pt>
                <c:pt idx="2">
                  <c:v>26</c:v>
                </c:pt>
                <c:pt idx="3">
                  <c:v>19</c:v>
                </c:pt>
                <c:pt idx="4">
                  <c:v>19</c:v>
                </c:pt>
                <c:pt idx="5">
                  <c:v>31</c:v>
                </c:pt>
                <c:pt idx="6">
                  <c:v>27</c:v>
                </c:pt>
              </c:numCache>
            </c:numRef>
          </c:val>
          <c:smooth val="0"/>
          <c:extLst>
            <c:ext xmlns:c16="http://schemas.microsoft.com/office/drawing/2014/chart" uri="{C3380CC4-5D6E-409C-BE32-E72D297353CC}">
              <c16:uniqueId val="{00000005-E5F7-42A1-AE3D-02B67D7F8CA5}"/>
            </c:ext>
          </c:extLst>
        </c:ser>
        <c:dLbls>
          <c:showLegendKey val="0"/>
          <c:showVal val="0"/>
          <c:showCatName val="0"/>
          <c:showSerName val="0"/>
          <c:showPercent val="0"/>
          <c:showBubbleSize val="0"/>
        </c:dLbls>
        <c:marker val="1"/>
        <c:smooth val="0"/>
        <c:axId val="717654256"/>
        <c:axId val="717654616"/>
      </c:lineChart>
      <c:catAx>
        <c:axId val="71765425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Age-Category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17654616"/>
        <c:crosses val="autoZero"/>
        <c:auto val="1"/>
        <c:lblAlgn val="ctr"/>
        <c:lblOffset val="100"/>
        <c:noMultiLvlLbl val="0"/>
      </c:catAx>
      <c:valAx>
        <c:axId val="717654616"/>
        <c:scaling>
          <c:orientation val="minMax"/>
          <c:max val="32"/>
          <c:min val="10"/>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Data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1765425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Project.xlsx]Sheet1!PivotTable1</c:name>
    <c:fmtId val="1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Count based on Admission-type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noFill/>
        </a:ln>
        <a:effectLst/>
        <a:sp3d/>
      </c:spPr>
    </c:sideWall>
    <c:backWall>
      <c:thickness val="0"/>
      <c:spPr>
        <a:pattFill prst="ltDnDiag">
          <a:fgClr>
            <a:schemeClr val="dk1">
              <a:lumMod val="15000"/>
              <a:lumOff val="85000"/>
            </a:schemeClr>
          </a:fgClr>
          <a:bgClr>
            <a:schemeClr val="lt1"/>
          </a:bgClr>
        </a:pattFill>
        <a:ln>
          <a:noFill/>
        </a:ln>
        <a:effectLst/>
        <a:sp3d/>
      </c:spPr>
    </c:backWall>
    <c:plotArea>
      <c:layout/>
      <c:area3DChart>
        <c:grouping val="standard"/>
        <c:varyColors val="0"/>
        <c:ser>
          <c:idx val="0"/>
          <c:order val="0"/>
          <c:tx>
            <c:strRef>
              <c:f>Sheet1!$D$2:$D$3</c:f>
              <c:strCache>
                <c:ptCount val="1"/>
                <c:pt idx="0">
                  <c:v>Diabetes</c:v>
                </c:pt>
              </c:strCache>
            </c:strRef>
          </c:tx>
          <c:spPr>
            <a:solidFill>
              <a:schemeClr val="accent1"/>
            </a:solidFill>
            <a:ln>
              <a:noFill/>
            </a:ln>
            <a:effectLst/>
            <a:sp3d/>
          </c:spPr>
          <c:cat>
            <c:multiLvlStrRef>
              <c:f>Sheet1!$B$4:$C$28</c:f>
              <c:multiLvlStrCache>
                <c:ptCount val="21"/>
                <c:lvl>
                  <c:pt idx="0">
                    <c:v>18-25</c:v>
                  </c:pt>
                  <c:pt idx="1">
                    <c:v>26-35</c:v>
                  </c:pt>
                  <c:pt idx="2">
                    <c:v>36-45</c:v>
                  </c:pt>
                  <c:pt idx="3">
                    <c:v>46-55</c:v>
                  </c:pt>
                  <c:pt idx="4">
                    <c:v>56-65</c:v>
                  </c:pt>
                  <c:pt idx="5">
                    <c:v>66-75</c:v>
                  </c:pt>
                  <c:pt idx="6">
                    <c:v>76-85</c:v>
                  </c:pt>
                  <c:pt idx="7">
                    <c:v>18-25</c:v>
                  </c:pt>
                  <c:pt idx="8">
                    <c:v>26-35</c:v>
                  </c:pt>
                  <c:pt idx="9">
                    <c:v>36-45</c:v>
                  </c:pt>
                  <c:pt idx="10">
                    <c:v>46-55</c:v>
                  </c:pt>
                  <c:pt idx="11">
                    <c:v>56-65</c:v>
                  </c:pt>
                  <c:pt idx="12">
                    <c:v>66-75</c:v>
                  </c:pt>
                  <c:pt idx="13">
                    <c:v>76-85</c:v>
                  </c:pt>
                  <c:pt idx="14">
                    <c:v>18-25</c:v>
                  </c:pt>
                  <c:pt idx="15">
                    <c:v>26-35</c:v>
                  </c:pt>
                  <c:pt idx="16">
                    <c:v>36-45</c:v>
                  </c:pt>
                  <c:pt idx="17">
                    <c:v>46-55</c:v>
                  </c:pt>
                  <c:pt idx="18">
                    <c:v>56-65</c:v>
                  </c:pt>
                  <c:pt idx="19">
                    <c:v>66-75</c:v>
                  </c:pt>
                  <c:pt idx="20">
                    <c:v>76-85</c:v>
                  </c:pt>
                </c:lvl>
                <c:lvl>
                  <c:pt idx="0">
                    <c:v>Elective</c:v>
                  </c:pt>
                  <c:pt idx="7">
                    <c:v>Emergency</c:v>
                  </c:pt>
                  <c:pt idx="14">
                    <c:v>Urgent</c:v>
                  </c:pt>
                </c:lvl>
              </c:multiLvlStrCache>
            </c:multiLvlStrRef>
          </c:cat>
          <c:val>
            <c:numRef>
              <c:f>Sheet1!$D$4:$D$28</c:f>
              <c:numCache>
                <c:formatCode>General</c:formatCode>
                <c:ptCount val="21"/>
                <c:pt idx="0">
                  <c:v>3</c:v>
                </c:pt>
                <c:pt idx="1">
                  <c:v>9</c:v>
                </c:pt>
                <c:pt idx="2">
                  <c:v>4</c:v>
                </c:pt>
                <c:pt idx="3">
                  <c:v>7</c:v>
                </c:pt>
                <c:pt idx="4">
                  <c:v>7</c:v>
                </c:pt>
                <c:pt idx="5">
                  <c:v>10</c:v>
                </c:pt>
                <c:pt idx="6">
                  <c:v>8</c:v>
                </c:pt>
                <c:pt idx="7">
                  <c:v>4</c:v>
                </c:pt>
                <c:pt idx="8">
                  <c:v>11</c:v>
                </c:pt>
                <c:pt idx="9">
                  <c:v>8</c:v>
                </c:pt>
                <c:pt idx="10">
                  <c:v>11</c:v>
                </c:pt>
                <c:pt idx="11">
                  <c:v>8</c:v>
                </c:pt>
                <c:pt idx="12">
                  <c:v>7</c:v>
                </c:pt>
                <c:pt idx="13">
                  <c:v>11</c:v>
                </c:pt>
                <c:pt idx="14">
                  <c:v>6</c:v>
                </c:pt>
                <c:pt idx="15">
                  <c:v>7</c:v>
                </c:pt>
                <c:pt idx="16">
                  <c:v>8</c:v>
                </c:pt>
                <c:pt idx="17">
                  <c:v>10</c:v>
                </c:pt>
                <c:pt idx="18">
                  <c:v>3</c:v>
                </c:pt>
                <c:pt idx="19">
                  <c:v>10</c:v>
                </c:pt>
                <c:pt idx="20">
                  <c:v>9</c:v>
                </c:pt>
              </c:numCache>
            </c:numRef>
          </c:val>
          <c:extLst>
            <c:ext xmlns:c16="http://schemas.microsoft.com/office/drawing/2014/chart" uri="{C3380CC4-5D6E-409C-BE32-E72D297353CC}">
              <c16:uniqueId val="{00000000-7AAC-49E5-8080-534FFCB3ED78}"/>
            </c:ext>
          </c:extLst>
        </c:ser>
        <c:dLbls>
          <c:showLegendKey val="0"/>
          <c:showVal val="0"/>
          <c:showCatName val="0"/>
          <c:showSerName val="0"/>
          <c:showPercent val="0"/>
          <c:showBubbleSize val="0"/>
        </c:dLbls>
        <c:axId val="468360456"/>
        <c:axId val="468396480"/>
        <c:axId val="713352920"/>
      </c:area3DChart>
      <c:catAx>
        <c:axId val="4683604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68396480"/>
        <c:crosses val="autoZero"/>
        <c:auto val="1"/>
        <c:lblAlgn val="ctr"/>
        <c:lblOffset val="100"/>
        <c:noMultiLvlLbl val="0"/>
      </c:catAx>
      <c:valAx>
        <c:axId val="4683964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68360456"/>
        <c:crosses val="autoZero"/>
        <c:crossBetween val="midCat"/>
      </c:valAx>
      <c:serAx>
        <c:axId val="713352920"/>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68396480"/>
        <c:crosses val="autoZero"/>
      </c:serAx>
      <c:spPr>
        <a:solidFill>
          <a:schemeClr val="lt1"/>
        </a:solidFill>
        <a:ln>
          <a:noFill/>
        </a:ln>
        <a:effectLst/>
      </c:spPr>
    </c:plotArea>
    <c:legend>
      <c:legendPos val="r"/>
      <c:layout>
        <c:manualLayout>
          <c:xMode val="edge"/>
          <c:yMode val="edge"/>
          <c:x val="0.85940121310108164"/>
          <c:y val="0.36980105717221817"/>
          <c:w val="0.10424438992434265"/>
          <c:h val="0.34674909576882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Project.xlsx]Sheet3!PivotTable1</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Max Insurance claim by Patient</a:t>
            </a:r>
          </a:p>
        </c:rich>
      </c:tx>
      <c:layout>
        <c:manualLayout>
          <c:xMode val="edge"/>
          <c:yMode val="edge"/>
          <c:x val="0.1915067804024497"/>
          <c:y val="7.3053368328958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1161190732453408"/>
          <c:y val="0.26026912680691033"/>
          <c:w val="0.46369370645216113"/>
          <c:h val="0.64132761389900894"/>
        </c:manualLayout>
      </c:layout>
      <c:doughnutChart>
        <c:varyColors val="1"/>
        <c:ser>
          <c:idx val="0"/>
          <c:order val="0"/>
          <c:tx>
            <c:strRef>
              <c:f>Sheet3!$B$17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AD6-2840-8DE4-E8ECBF35C3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AD6-2840-8DE4-E8ECBF35C3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AD6-2840-8DE4-E8ECBF35C37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AD6-2840-8DE4-E8ECBF35C37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9AD6-2840-8DE4-E8ECBF35C37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Sheet3!$A$18:$A$22</c:f>
              <c:strCache>
                <c:ptCount val="5"/>
                <c:pt idx="0">
                  <c:v>Aetna</c:v>
                </c:pt>
                <c:pt idx="1">
                  <c:v>Blue Cross</c:v>
                </c:pt>
                <c:pt idx="2">
                  <c:v>Cigna</c:v>
                </c:pt>
                <c:pt idx="3">
                  <c:v>Medicare</c:v>
                </c:pt>
                <c:pt idx="4">
                  <c:v>UnitedHealthcare</c:v>
                </c:pt>
              </c:strCache>
            </c:strRef>
          </c:cat>
          <c:val>
            <c:numRef>
              <c:f>Sheet3!$B$18:$B$22</c:f>
              <c:numCache>
                <c:formatCode>General</c:formatCode>
                <c:ptCount val="5"/>
                <c:pt idx="0">
                  <c:v>190</c:v>
                </c:pt>
                <c:pt idx="1">
                  <c:v>203</c:v>
                </c:pt>
                <c:pt idx="2">
                  <c:v>234</c:v>
                </c:pt>
                <c:pt idx="3">
                  <c:v>193</c:v>
                </c:pt>
                <c:pt idx="4">
                  <c:v>179</c:v>
                </c:pt>
              </c:numCache>
            </c:numRef>
          </c:val>
          <c:extLst>
            <c:ext xmlns:c16="http://schemas.microsoft.com/office/drawing/2014/chart" uri="{C3380CC4-5D6E-409C-BE32-E72D297353CC}">
              <c16:uniqueId val="{0000000A-9AD6-2840-8DE4-E8ECBF35C37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Project.xlsx]Sheet4!PivotTable4</c:name>
    <c:fmtId val="23"/>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9"/>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3"/>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6"/>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8"/>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9"/>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1"/>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2"/>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4"/>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5"/>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7"/>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8"/>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1"/>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3"/>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4"/>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6"/>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7"/>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9"/>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2"/>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2756191571793141"/>
              <c:y val="0.18331188979948121"/>
            </c:manualLayout>
          </c:layout>
          <c:spPr>
            <a:xfrm>
              <a:off x="2566740" y="2621492"/>
              <a:ext cx="864213" cy="389605"/>
            </a:xfrm>
            <a:solidFill>
              <a:sysClr val="window" lastClr="FFFFFF"/>
            </a:solidFill>
            <a:ln w="9525" cap="flat" cmpd="sng" algn="ctr">
              <a:solidFill>
                <a:srgbClr val="A02B93">
                  <a:shade val="76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6804"/>
                    <a:gd name="adj2" fmla="val -147415"/>
                  </a:avLst>
                </a:prstGeom>
                <a:noFill/>
                <a:ln>
                  <a:noFill/>
                </a:ln>
              </c15:spPr>
              <c15:layout>
                <c:manualLayout>
                  <c:w val="0.21975591745316844"/>
                  <c:h val="0.10318480176958149"/>
                </c:manualLayout>
              </c15:layout>
            </c:ext>
          </c:extLst>
        </c:dLbl>
      </c:pivotFmt>
      <c:pivotFmt>
        <c:idx val="113"/>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8497077254663834E-2"/>
              <c:y val="-0.14967644011559914"/>
            </c:manualLayout>
          </c:layout>
          <c:spPr>
            <a:xfrm>
              <a:off x="253999" y="929403"/>
              <a:ext cx="665035" cy="465805"/>
            </a:xfrm>
            <a:solidFill>
              <a:sysClr val="window" lastClr="FFFFFF"/>
            </a:solidFill>
            <a:ln w="9525" cap="flat" cmpd="sng" algn="ctr">
              <a:solidFill>
                <a:srgbClr val="A02B93">
                  <a:tint val="77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796"/>
                    <a:gd name="adj2" fmla="val 111008"/>
                  </a:avLst>
                </a:prstGeom>
                <a:noFill/>
                <a:ln>
                  <a:noFill/>
                </a:ln>
              </c15:spPr>
              <c15:layout>
                <c:manualLayout>
                  <c:w val="0.23692571130985982"/>
                  <c:h val="0.12336591267352576"/>
                </c:manualLayout>
              </c15:layout>
            </c:ext>
          </c:extLst>
        </c:dLbl>
      </c:pivotFmt>
      <c:pivotFmt>
        <c:idx val="1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5"/>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6"/>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8"/>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9"/>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1"/>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2"/>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4"/>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5"/>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071123883655286E-2"/>
          <c:y val="0.32313265374406103"/>
          <c:w val="0.7549691354047191"/>
          <c:h val="0.46330976333340768"/>
        </c:manualLayout>
      </c:layout>
      <c:pie3DChart>
        <c:varyColors val="1"/>
        <c:ser>
          <c:idx val="0"/>
          <c:order val="0"/>
          <c:tx>
            <c:strRef>
              <c:f>Sheet4!$B$21:$B$22</c:f>
              <c:strCache>
                <c:ptCount val="1"/>
                <c:pt idx="0">
                  <c:v>Diabetes</c:v>
                </c:pt>
              </c:strCache>
            </c:strRef>
          </c:tx>
          <c:dPt>
            <c:idx val="0"/>
            <c:bubble3D val="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E91-B84F-8EEE-6CA75971C4F1}"/>
              </c:ext>
            </c:extLst>
          </c:dPt>
          <c:dPt>
            <c:idx val="1"/>
            <c:bubble3D val="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E91-B84F-8EEE-6CA75971C4F1}"/>
              </c:ext>
            </c:extLst>
          </c:dPt>
          <c:dLbls>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BE91-B84F-8EEE-6CA75971C4F1}"/>
                </c:ext>
              </c:extLst>
            </c:dLbl>
            <c:dLbl>
              <c:idx val="1"/>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E91-B84F-8EEE-6CA75971C4F1}"/>
                </c:ext>
              </c:extLst>
            </c:dLbl>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Sheet4!$A$23:$A$25</c:f>
              <c:strCache>
                <c:ptCount val="2"/>
                <c:pt idx="0">
                  <c:v>Female</c:v>
                </c:pt>
                <c:pt idx="1">
                  <c:v>Male</c:v>
                </c:pt>
              </c:strCache>
            </c:strRef>
          </c:cat>
          <c:val>
            <c:numRef>
              <c:f>Sheet4!$B$23:$B$25</c:f>
              <c:numCache>
                <c:formatCode>General</c:formatCode>
                <c:ptCount val="2"/>
                <c:pt idx="0">
                  <c:v>87</c:v>
                </c:pt>
                <c:pt idx="1">
                  <c:v>74</c:v>
                </c:pt>
              </c:numCache>
            </c:numRef>
          </c:val>
          <c:extLst>
            <c:ext xmlns:c16="http://schemas.microsoft.com/office/drawing/2014/chart" uri="{C3380CC4-5D6E-409C-BE32-E72D297353CC}">
              <c16:uniqueId val="{00000004-BE91-B84F-8EEE-6CA75971C4F1}"/>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78543057140244898"/>
          <c:y val="0.18851249851687377"/>
          <c:w val="0.13573434251595132"/>
          <c:h val="0.11432104244591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Project.xlsx]Sheet4!PivotTable2</c:name>
    <c:fmtId val="2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5"/>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9"/>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3"/>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7"/>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1"/>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5"/>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7"/>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9"/>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3"/>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7"/>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9"/>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1"/>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4"/>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6"/>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8"/>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2"/>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4"/>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6"/>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8"/>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2"/>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4"/>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6"/>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8"/>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2"/>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4"/>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6"/>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8"/>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2"/>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4"/>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6"/>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8"/>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2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3"/>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5"/>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7"/>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9"/>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1"/>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3"/>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7"/>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9"/>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1"/>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3"/>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5"/>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7"/>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9"/>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1"/>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3"/>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7"/>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9"/>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1"/>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3"/>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5"/>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7"/>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9"/>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71"/>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15:layout>
                <c:manualLayout>
                  <c:w val="0.18300873604406354"/>
                  <c:h val="0.10487365641284893"/>
                </c:manualLayout>
              </c15:layout>
            </c:ext>
          </c:extLst>
        </c:dLbl>
      </c:pivotFmt>
      <c:pivotFmt>
        <c:idx val="17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7.1664089825886901E-2"/>
              <c:y val="-0.1940062254560038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9429667645623022"/>
                  <c:h val="0.10825995465026737"/>
                </c:manualLayout>
              </c15:layout>
            </c:ext>
          </c:extLst>
        </c:dLbl>
      </c:pivotFmt>
      <c:pivotFmt>
        <c:idx val="173"/>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15:layout>
                <c:manualLayout>
                  <c:w val="0.16015837642551345"/>
                  <c:h val="0.10148735817543052"/>
                </c:manualLayout>
              </c15:layout>
            </c:ext>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Sheet4!$B$46:$B$47</c:f>
              <c:strCache>
                <c:ptCount val="1"/>
                <c:pt idx="0">
                  <c:v>Diabetes</c:v>
                </c:pt>
              </c:strCache>
            </c:strRef>
          </c:tx>
          <c:dPt>
            <c:idx val="0"/>
            <c:bubble3D val="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52D-C145-BB48-E5D7539F8FEF}"/>
              </c:ext>
            </c:extLst>
          </c:dPt>
          <c:dPt>
            <c:idx val="1"/>
            <c:bubble3D val="0"/>
            <c:explosion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52D-C145-BB48-E5D7539F8FEF}"/>
              </c:ext>
            </c:extLst>
          </c:dPt>
          <c:dPt>
            <c:idx val="2"/>
            <c:bubble3D val="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52D-C145-BB48-E5D7539F8FEF}"/>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15:layout>
                    <c:manualLayout>
                      <c:w val="0.18300873604406354"/>
                      <c:h val="0.10487365641284893"/>
                    </c:manualLayout>
                  </c15:layout>
                </c:ext>
                <c:ext xmlns:c16="http://schemas.microsoft.com/office/drawing/2014/chart" uri="{C3380CC4-5D6E-409C-BE32-E72D297353CC}">
                  <c16:uniqueId val="{00000001-352D-C145-BB48-E5D7539F8FEF}"/>
                </c:ext>
              </c:extLst>
            </c:dLbl>
            <c:dLbl>
              <c:idx val="1"/>
              <c:layout>
                <c:manualLayout>
                  <c:x val="7.1664089825886901E-2"/>
                  <c:y val="-0.1940062254560038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9429667645623022"/>
                      <c:h val="0.10825995465026737"/>
                    </c:manualLayout>
                  </c15:layout>
                </c:ext>
                <c:ext xmlns:c16="http://schemas.microsoft.com/office/drawing/2014/chart" uri="{C3380CC4-5D6E-409C-BE32-E72D297353CC}">
                  <c16:uniqueId val="{00000003-352D-C145-BB48-E5D7539F8FEF}"/>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15:layout>
                    <c:manualLayout>
                      <c:w val="0.16015837642551345"/>
                      <c:h val="0.10148735817543052"/>
                    </c:manualLayout>
                  </c15:layout>
                </c:ext>
                <c:ext xmlns:c16="http://schemas.microsoft.com/office/drawing/2014/chart" uri="{C3380CC4-5D6E-409C-BE32-E72D297353CC}">
                  <c16:uniqueId val="{00000005-352D-C145-BB48-E5D7539F8FE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Sheet4!$A$48:$A$51</c:f>
              <c:strCache>
                <c:ptCount val="3"/>
                <c:pt idx="0">
                  <c:v>Abnormal</c:v>
                </c:pt>
                <c:pt idx="1">
                  <c:v>Inconclusive</c:v>
                </c:pt>
                <c:pt idx="2">
                  <c:v>Normal</c:v>
                </c:pt>
              </c:strCache>
            </c:strRef>
          </c:cat>
          <c:val>
            <c:numRef>
              <c:f>Sheet4!$B$48:$B$51</c:f>
              <c:numCache>
                <c:formatCode>General</c:formatCode>
                <c:ptCount val="3"/>
                <c:pt idx="0">
                  <c:v>61</c:v>
                </c:pt>
                <c:pt idx="1">
                  <c:v>47</c:v>
                </c:pt>
                <c:pt idx="2">
                  <c:v>53</c:v>
                </c:pt>
              </c:numCache>
            </c:numRef>
          </c:val>
          <c:extLst>
            <c:ext xmlns:c16="http://schemas.microsoft.com/office/drawing/2014/chart" uri="{C3380CC4-5D6E-409C-BE32-E72D297353CC}">
              <c16:uniqueId val="{00000006-352D-C145-BB48-E5D7539F8FEF}"/>
            </c:ext>
          </c:extLst>
        </c:ser>
        <c:dLbls>
          <c:dLblPos val="inEnd"/>
          <c:showLegendKey val="0"/>
          <c:showVal val="0"/>
          <c:showCatName val="1"/>
          <c:showSerName val="0"/>
          <c:showPercent val="0"/>
          <c:showBubbleSize val="0"/>
          <c:showLeaderLines val="1"/>
        </c:dLbls>
      </c:pie3DChart>
      <c:spPr>
        <a:noFill/>
        <a:ln>
          <a:noFill/>
        </a:ln>
        <a:effectLst/>
      </c:spPr>
    </c:plotArea>
    <c:legend>
      <c:legendPos val="l"/>
      <c:layout>
        <c:manualLayout>
          <c:xMode val="edge"/>
          <c:yMode val="edge"/>
          <c:x val="4.8033788987943193E-2"/>
          <c:y val="0.35158628074598813"/>
          <c:w val="0.21011973056772534"/>
          <c:h val="0.286566688210989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F0502020204030204" pitchFamily="2" charset="0"/>
                <a:ea typeface="ADLaM Display" panose="020F0502020204030204" pitchFamily="2" charset="0"/>
                <a:cs typeface="ADLaM Display" panose="020F0502020204030204" pitchFamily="2" charset="0"/>
              </a:defRPr>
            </a:pPr>
            <a:r>
              <a:rPr lang="en-US">
                <a:latin typeface="ADLaM Display" panose="020F0502020204030204" pitchFamily="2" charset="0"/>
                <a:ea typeface="ADLaM Display" panose="020F0502020204030204" pitchFamily="2" charset="0"/>
                <a:cs typeface="ADLaM Display" panose="020F0502020204030204" pitchFamily="2" charset="0"/>
              </a:rPr>
              <a:t>Max-Min</a:t>
            </a:r>
            <a:r>
              <a:rPr lang="en-US" baseline="0">
                <a:latin typeface="ADLaM Display" panose="020F0502020204030204" pitchFamily="2" charset="0"/>
                <a:ea typeface="ADLaM Display" panose="020F0502020204030204" pitchFamily="2" charset="0"/>
                <a:cs typeface="ADLaM Display" panose="020F0502020204030204" pitchFamily="2" charset="0"/>
              </a:rPr>
              <a:t> med_cond based on blood group</a:t>
            </a:r>
            <a:endParaRPr lang="en-US">
              <a:latin typeface="ADLaM Display" panose="020F0502020204030204" pitchFamily="2" charset="0"/>
              <a:ea typeface="ADLaM Display" panose="020F0502020204030204" pitchFamily="2" charset="0"/>
              <a:cs typeface="ADLaM Display" panose="020F0502020204030204"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F0502020204030204" pitchFamily="2" charset="0"/>
              <a:ea typeface="ADLaM Display" panose="020F0502020204030204" pitchFamily="2" charset="0"/>
              <a:cs typeface="ADLaM Display" panose="020F0502020204030204" pitchFamily="2" charset="0"/>
            </a:defRPr>
          </a:pPr>
          <a:endParaRPr lang="en-US"/>
        </a:p>
      </c:txPr>
    </c:title>
    <c:autoTitleDeleted val="0"/>
    <c:plotArea>
      <c:layout>
        <c:manualLayout>
          <c:layoutTarget val="inner"/>
          <c:xMode val="edge"/>
          <c:yMode val="edge"/>
          <c:x val="5.2580927384076992E-2"/>
          <c:y val="0.16708333333333336"/>
          <c:w val="0.90297462817147855"/>
          <c:h val="0.54417359288422285"/>
        </c:manualLayout>
      </c:layout>
      <c:lineChart>
        <c:grouping val="standard"/>
        <c:varyColors val="0"/>
        <c:ser>
          <c:idx val="0"/>
          <c:order val="0"/>
          <c:tx>
            <c:strRef>
              <c:f>healthcare_dataset!$S$54</c:f>
              <c:strCache>
                <c:ptCount val="1"/>
                <c:pt idx="0">
                  <c:v>Arthritis</c:v>
                </c:pt>
              </c:strCache>
            </c:strRef>
          </c:tx>
          <c:spPr>
            <a:ln w="28575" cap="rnd">
              <a:solidFill>
                <a:schemeClr val="accent1"/>
              </a:solidFill>
              <a:round/>
            </a:ln>
            <a:effectLst/>
          </c:spPr>
          <c:marker>
            <c:symbol val="none"/>
          </c:marker>
          <c:dPt>
            <c:idx val="5"/>
            <c:marker>
              <c:symbol val="diamond"/>
              <c:size val="6"/>
              <c:spPr>
                <a:solidFill>
                  <a:srgbClr val="C00000"/>
                </a:solidFill>
                <a:ln w="9525">
                  <a:solidFill>
                    <a:schemeClr val="accent1"/>
                  </a:solidFill>
                </a:ln>
                <a:effectLst/>
              </c:spPr>
            </c:marker>
            <c:bubble3D val="0"/>
            <c:extLst>
              <c:ext xmlns:c16="http://schemas.microsoft.com/office/drawing/2014/chart" uri="{C3380CC4-5D6E-409C-BE32-E72D297353CC}">
                <c16:uniqueId val="{00000000-B8E5-4C38-8A3F-3FFD0120A3B6}"/>
              </c:ext>
            </c:extLst>
          </c:dPt>
          <c:cat>
            <c:strRef>
              <c:f>healthcare_dataset!$T$53:$AA$53</c:f>
              <c:strCache>
                <c:ptCount val="8"/>
                <c:pt idx="0">
                  <c:v>A+</c:v>
                </c:pt>
                <c:pt idx="1">
                  <c:v>A-</c:v>
                </c:pt>
                <c:pt idx="2">
                  <c:v>AB+</c:v>
                </c:pt>
                <c:pt idx="3">
                  <c:v>AB-</c:v>
                </c:pt>
                <c:pt idx="4">
                  <c:v>B+</c:v>
                </c:pt>
                <c:pt idx="5">
                  <c:v>B-</c:v>
                </c:pt>
                <c:pt idx="6">
                  <c:v>O+</c:v>
                </c:pt>
                <c:pt idx="7">
                  <c:v>O-</c:v>
                </c:pt>
              </c:strCache>
            </c:strRef>
          </c:cat>
          <c:val>
            <c:numRef>
              <c:f>healthcare_dataset!$T$54:$AA$54</c:f>
              <c:numCache>
                <c:formatCode>General</c:formatCode>
                <c:ptCount val="8"/>
                <c:pt idx="0">
                  <c:v>19</c:v>
                </c:pt>
                <c:pt idx="1">
                  <c:v>21</c:v>
                </c:pt>
                <c:pt idx="2">
                  <c:v>27</c:v>
                </c:pt>
                <c:pt idx="3">
                  <c:v>21</c:v>
                </c:pt>
                <c:pt idx="4">
                  <c:v>21</c:v>
                </c:pt>
                <c:pt idx="5">
                  <c:v>14</c:v>
                </c:pt>
                <c:pt idx="6">
                  <c:v>19</c:v>
                </c:pt>
                <c:pt idx="7">
                  <c:v>19</c:v>
                </c:pt>
              </c:numCache>
            </c:numRef>
          </c:val>
          <c:smooth val="0"/>
          <c:extLst>
            <c:ext xmlns:c16="http://schemas.microsoft.com/office/drawing/2014/chart" uri="{C3380CC4-5D6E-409C-BE32-E72D297353CC}">
              <c16:uniqueId val="{00000001-B8E5-4C38-8A3F-3FFD0120A3B6}"/>
            </c:ext>
          </c:extLst>
        </c:ser>
        <c:ser>
          <c:idx val="1"/>
          <c:order val="1"/>
          <c:tx>
            <c:strRef>
              <c:f>healthcare_dataset!$S$55</c:f>
              <c:strCache>
                <c:ptCount val="1"/>
                <c:pt idx="0">
                  <c:v>Asthma</c:v>
                </c:pt>
              </c:strCache>
            </c:strRef>
          </c:tx>
          <c:spPr>
            <a:ln w="28575" cap="rnd">
              <a:solidFill>
                <a:schemeClr val="accent2"/>
              </a:solidFill>
              <a:round/>
            </a:ln>
            <a:effectLst/>
          </c:spPr>
          <c:marker>
            <c:symbol val="none"/>
          </c:marker>
          <c:dPt>
            <c:idx val="6"/>
            <c:marker>
              <c:symbol val="circle"/>
              <c:size val="6"/>
              <c:spPr>
                <a:solidFill>
                  <a:srgbClr val="F8F856"/>
                </a:solidFill>
                <a:ln w="9525">
                  <a:solidFill>
                    <a:schemeClr val="accent2"/>
                  </a:solidFill>
                </a:ln>
                <a:effectLst/>
              </c:spPr>
            </c:marker>
            <c:bubble3D val="0"/>
            <c:extLst>
              <c:ext xmlns:c16="http://schemas.microsoft.com/office/drawing/2014/chart" uri="{C3380CC4-5D6E-409C-BE32-E72D297353CC}">
                <c16:uniqueId val="{00000002-B8E5-4C38-8A3F-3FFD0120A3B6}"/>
              </c:ext>
            </c:extLst>
          </c:dPt>
          <c:cat>
            <c:strRef>
              <c:f>healthcare_dataset!$T$53:$AA$53</c:f>
              <c:strCache>
                <c:ptCount val="8"/>
                <c:pt idx="0">
                  <c:v>A+</c:v>
                </c:pt>
                <c:pt idx="1">
                  <c:v>A-</c:v>
                </c:pt>
                <c:pt idx="2">
                  <c:v>AB+</c:v>
                </c:pt>
                <c:pt idx="3">
                  <c:v>AB-</c:v>
                </c:pt>
                <c:pt idx="4">
                  <c:v>B+</c:v>
                </c:pt>
                <c:pt idx="5">
                  <c:v>B-</c:v>
                </c:pt>
                <c:pt idx="6">
                  <c:v>O+</c:v>
                </c:pt>
                <c:pt idx="7">
                  <c:v>O-</c:v>
                </c:pt>
              </c:strCache>
            </c:strRef>
          </c:cat>
          <c:val>
            <c:numRef>
              <c:f>healthcare_dataset!$T$55:$AA$55</c:f>
              <c:numCache>
                <c:formatCode>General</c:formatCode>
                <c:ptCount val="8"/>
                <c:pt idx="0">
                  <c:v>25</c:v>
                </c:pt>
                <c:pt idx="1">
                  <c:v>24</c:v>
                </c:pt>
                <c:pt idx="2">
                  <c:v>18</c:v>
                </c:pt>
                <c:pt idx="3">
                  <c:v>17</c:v>
                </c:pt>
                <c:pt idx="4">
                  <c:v>23</c:v>
                </c:pt>
                <c:pt idx="5">
                  <c:v>22</c:v>
                </c:pt>
                <c:pt idx="6">
                  <c:v>26</c:v>
                </c:pt>
                <c:pt idx="7">
                  <c:v>19</c:v>
                </c:pt>
              </c:numCache>
            </c:numRef>
          </c:val>
          <c:smooth val="0"/>
          <c:extLst>
            <c:ext xmlns:c16="http://schemas.microsoft.com/office/drawing/2014/chart" uri="{C3380CC4-5D6E-409C-BE32-E72D297353CC}">
              <c16:uniqueId val="{00000003-B8E5-4C38-8A3F-3FFD0120A3B6}"/>
            </c:ext>
          </c:extLst>
        </c:ser>
        <c:ser>
          <c:idx val="2"/>
          <c:order val="2"/>
          <c:tx>
            <c:strRef>
              <c:f>healthcare_dataset!$S$56</c:f>
              <c:strCache>
                <c:ptCount val="1"/>
                <c:pt idx="0">
                  <c:v>Cancer</c:v>
                </c:pt>
              </c:strCache>
            </c:strRef>
          </c:tx>
          <c:spPr>
            <a:ln w="28575" cap="rnd">
              <a:solidFill>
                <a:schemeClr val="accent3"/>
              </a:solidFill>
              <a:round/>
            </a:ln>
            <a:effectLst/>
          </c:spPr>
          <c:marker>
            <c:symbol val="none"/>
          </c:marker>
          <c:dPt>
            <c:idx val="0"/>
            <c:marker>
              <c:symbol val="diamond"/>
              <c:size val="6"/>
              <c:spPr>
                <a:solidFill>
                  <a:srgbClr val="C00000"/>
                </a:solidFill>
                <a:ln w="9525">
                  <a:solidFill>
                    <a:schemeClr val="accent3"/>
                  </a:solidFill>
                </a:ln>
                <a:effectLst/>
              </c:spPr>
            </c:marker>
            <c:bubble3D val="0"/>
            <c:extLst>
              <c:ext xmlns:c16="http://schemas.microsoft.com/office/drawing/2014/chart" uri="{C3380CC4-5D6E-409C-BE32-E72D297353CC}">
                <c16:uniqueId val="{00000004-B8E5-4C38-8A3F-3FFD0120A3B6}"/>
              </c:ext>
            </c:extLst>
          </c:dPt>
          <c:dPt>
            <c:idx val="3"/>
            <c:marker>
              <c:symbol val="diamond"/>
              <c:size val="6"/>
              <c:spPr>
                <a:solidFill>
                  <a:srgbClr val="C00000"/>
                </a:solidFill>
                <a:ln w="9525">
                  <a:solidFill>
                    <a:schemeClr val="accent3"/>
                  </a:solidFill>
                </a:ln>
                <a:effectLst/>
              </c:spPr>
            </c:marker>
            <c:bubble3D val="0"/>
            <c:extLst>
              <c:ext xmlns:c16="http://schemas.microsoft.com/office/drawing/2014/chart" uri="{C3380CC4-5D6E-409C-BE32-E72D297353CC}">
                <c16:uniqueId val="{00000005-B8E5-4C38-8A3F-3FFD0120A3B6}"/>
              </c:ext>
            </c:extLst>
          </c:dPt>
          <c:dPt>
            <c:idx val="5"/>
            <c:marker>
              <c:symbol val="circle"/>
              <c:size val="6"/>
              <c:spPr>
                <a:solidFill>
                  <a:srgbClr val="FFFF00"/>
                </a:solidFill>
                <a:ln w="9525">
                  <a:solidFill>
                    <a:schemeClr val="accent3"/>
                  </a:solidFill>
                </a:ln>
                <a:effectLst/>
              </c:spPr>
            </c:marker>
            <c:bubble3D val="0"/>
            <c:extLst>
              <c:ext xmlns:c16="http://schemas.microsoft.com/office/drawing/2014/chart" uri="{C3380CC4-5D6E-409C-BE32-E72D297353CC}">
                <c16:uniqueId val="{00000006-B8E5-4C38-8A3F-3FFD0120A3B6}"/>
              </c:ext>
            </c:extLst>
          </c:dPt>
          <c:cat>
            <c:strRef>
              <c:f>healthcare_dataset!$T$53:$AA$53</c:f>
              <c:strCache>
                <c:ptCount val="8"/>
                <c:pt idx="0">
                  <c:v>A+</c:v>
                </c:pt>
                <c:pt idx="1">
                  <c:v>A-</c:v>
                </c:pt>
                <c:pt idx="2">
                  <c:v>AB+</c:v>
                </c:pt>
                <c:pt idx="3">
                  <c:v>AB-</c:v>
                </c:pt>
                <c:pt idx="4">
                  <c:v>B+</c:v>
                </c:pt>
                <c:pt idx="5">
                  <c:v>B-</c:v>
                </c:pt>
                <c:pt idx="6">
                  <c:v>O+</c:v>
                </c:pt>
                <c:pt idx="7">
                  <c:v>O-</c:v>
                </c:pt>
              </c:strCache>
            </c:strRef>
          </c:cat>
          <c:val>
            <c:numRef>
              <c:f>healthcare_dataset!$T$56:$AA$56</c:f>
              <c:numCache>
                <c:formatCode>General</c:formatCode>
                <c:ptCount val="8"/>
                <c:pt idx="0">
                  <c:v>16</c:v>
                </c:pt>
                <c:pt idx="1">
                  <c:v>26</c:v>
                </c:pt>
                <c:pt idx="2">
                  <c:v>24</c:v>
                </c:pt>
                <c:pt idx="3">
                  <c:v>17</c:v>
                </c:pt>
                <c:pt idx="4">
                  <c:v>16</c:v>
                </c:pt>
                <c:pt idx="5">
                  <c:v>31</c:v>
                </c:pt>
                <c:pt idx="6">
                  <c:v>17</c:v>
                </c:pt>
                <c:pt idx="7">
                  <c:v>24</c:v>
                </c:pt>
              </c:numCache>
            </c:numRef>
          </c:val>
          <c:smooth val="0"/>
          <c:extLst>
            <c:ext xmlns:c16="http://schemas.microsoft.com/office/drawing/2014/chart" uri="{C3380CC4-5D6E-409C-BE32-E72D297353CC}">
              <c16:uniqueId val="{00000007-B8E5-4C38-8A3F-3FFD0120A3B6}"/>
            </c:ext>
          </c:extLst>
        </c:ser>
        <c:ser>
          <c:idx val="3"/>
          <c:order val="3"/>
          <c:tx>
            <c:strRef>
              <c:f>healthcare_dataset!$S$57</c:f>
              <c:strCache>
                <c:ptCount val="1"/>
                <c:pt idx="0">
                  <c:v>Diabetes</c:v>
                </c:pt>
              </c:strCache>
            </c:strRef>
          </c:tx>
          <c:spPr>
            <a:ln w="28575" cap="rnd">
              <a:solidFill>
                <a:schemeClr val="accent4"/>
              </a:solidFill>
              <a:round/>
            </a:ln>
            <a:effectLst/>
          </c:spPr>
          <c:marker>
            <c:symbol val="none"/>
          </c:marker>
          <c:dPt>
            <c:idx val="1"/>
            <c:marker>
              <c:symbol val="diamond"/>
              <c:size val="6"/>
              <c:spPr>
                <a:solidFill>
                  <a:srgbClr val="C00000"/>
                </a:solidFill>
                <a:ln w="9525">
                  <a:solidFill>
                    <a:schemeClr val="accent4"/>
                  </a:solidFill>
                </a:ln>
                <a:effectLst/>
              </c:spPr>
            </c:marker>
            <c:bubble3D val="0"/>
            <c:extLst>
              <c:ext xmlns:c16="http://schemas.microsoft.com/office/drawing/2014/chart" uri="{C3380CC4-5D6E-409C-BE32-E72D297353CC}">
                <c16:uniqueId val="{00000008-B8E5-4C38-8A3F-3FFD0120A3B6}"/>
              </c:ext>
            </c:extLst>
          </c:dPt>
          <c:dPt>
            <c:idx val="3"/>
            <c:marker>
              <c:symbol val="circle"/>
              <c:size val="6"/>
              <c:spPr>
                <a:solidFill>
                  <a:srgbClr val="F8F856"/>
                </a:solidFill>
                <a:ln w="9525">
                  <a:solidFill>
                    <a:schemeClr val="accent4"/>
                  </a:solidFill>
                </a:ln>
                <a:effectLst/>
              </c:spPr>
            </c:marker>
            <c:bubble3D val="0"/>
            <c:extLst>
              <c:ext xmlns:c16="http://schemas.microsoft.com/office/drawing/2014/chart" uri="{C3380CC4-5D6E-409C-BE32-E72D297353CC}">
                <c16:uniqueId val="{00000009-B8E5-4C38-8A3F-3FFD0120A3B6}"/>
              </c:ext>
            </c:extLst>
          </c:dPt>
          <c:cat>
            <c:strRef>
              <c:f>healthcare_dataset!$T$53:$AA$53</c:f>
              <c:strCache>
                <c:ptCount val="8"/>
                <c:pt idx="0">
                  <c:v>A+</c:v>
                </c:pt>
                <c:pt idx="1">
                  <c:v>A-</c:v>
                </c:pt>
                <c:pt idx="2">
                  <c:v>AB+</c:v>
                </c:pt>
                <c:pt idx="3">
                  <c:v>AB-</c:v>
                </c:pt>
                <c:pt idx="4">
                  <c:v>B+</c:v>
                </c:pt>
                <c:pt idx="5">
                  <c:v>B-</c:v>
                </c:pt>
                <c:pt idx="6">
                  <c:v>O+</c:v>
                </c:pt>
                <c:pt idx="7">
                  <c:v>O-</c:v>
                </c:pt>
              </c:strCache>
            </c:strRef>
          </c:cat>
          <c:val>
            <c:numRef>
              <c:f>healthcare_dataset!$T$57:$AA$57</c:f>
              <c:numCache>
                <c:formatCode>General</c:formatCode>
                <c:ptCount val="8"/>
                <c:pt idx="0">
                  <c:v>23</c:v>
                </c:pt>
                <c:pt idx="1">
                  <c:v>13</c:v>
                </c:pt>
                <c:pt idx="2">
                  <c:v>21</c:v>
                </c:pt>
                <c:pt idx="3">
                  <c:v>30</c:v>
                </c:pt>
                <c:pt idx="4">
                  <c:v>20</c:v>
                </c:pt>
                <c:pt idx="5">
                  <c:v>19</c:v>
                </c:pt>
                <c:pt idx="6">
                  <c:v>16</c:v>
                </c:pt>
                <c:pt idx="7">
                  <c:v>19</c:v>
                </c:pt>
              </c:numCache>
            </c:numRef>
          </c:val>
          <c:smooth val="0"/>
          <c:extLst>
            <c:ext xmlns:c16="http://schemas.microsoft.com/office/drawing/2014/chart" uri="{C3380CC4-5D6E-409C-BE32-E72D297353CC}">
              <c16:uniqueId val="{0000000A-B8E5-4C38-8A3F-3FFD0120A3B6}"/>
            </c:ext>
          </c:extLst>
        </c:ser>
        <c:ser>
          <c:idx val="4"/>
          <c:order val="4"/>
          <c:tx>
            <c:strRef>
              <c:f>healthcare_dataset!$S$58</c:f>
              <c:strCache>
                <c:ptCount val="1"/>
                <c:pt idx="0">
                  <c:v>Hypertension</c:v>
                </c:pt>
              </c:strCache>
            </c:strRef>
          </c:tx>
          <c:spPr>
            <a:ln w="28575" cap="rnd">
              <a:solidFill>
                <a:schemeClr val="accent5"/>
              </a:solidFill>
              <a:round/>
            </a:ln>
            <a:effectLst/>
          </c:spPr>
          <c:marker>
            <c:symbol val="none"/>
          </c:marker>
          <c:dPt>
            <c:idx val="3"/>
            <c:marker>
              <c:symbol val="circle"/>
              <c:size val="6"/>
              <c:spPr>
                <a:solidFill>
                  <a:srgbClr val="F8F856"/>
                </a:solidFill>
                <a:ln w="9525">
                  <a:solidFill>
                    <a:schemeClr val="accent5">
                      <a:lumMod val="75000"/>
                    </a:schemeClr>
                  </a:solidFill>
                </a:ln>
                <a:effectLst/>
              </c:spPr>
            </c:marker>
            <c:bubble3D val="0"/>
            <c:extLst>
              <c:ext xmlns:c16="http://schemas.microsoft.com/office/drawing/2014/chart" uri="{C3380CC4-5D6E-409C-BE32-E72D297353CC}">
                <c16:uniqueId val="{0000000B-B8E5-4C38-8A3F-3FFD0120A3B6}"/>
              </c:ext>
            </c:extLst>
          </c:dPt>
          <c:dPt>
            <c:idx val="5"/>
            <c:marker>
              <c:symbol val="diamond"/>
              <c:size val="6"/>
              <c:spPr>
                <a:solidFill>
                  <a:srgbClr val="C00000"/>
                </a:solidFill>
                <a:ln w="9525">
                  <a:solidFill>
                    <a:schemeClr val="accent5"/>
                  </a:solidFill>
                </a:ln>
                <a:effectLst/>
              </c:spPr>
            </c:marker>
            <c:bubble3D val="0"/>
            <c:extLst>
              <c:ext xmlns:c16="http://schemas.microsoft.com/office/drawing/2014/chart" uri="{C3380CC4-5D6E-409C-BE32-E72D297353CC}">
                <c16:uniqueId val="{0000000C-B8E5-4C38-8A3F-3FFD0120A3B6}"/>
              </c:ext>
            </c:extLst>
          </c:dPt>
          <c:cat>
            <c:strRef>
              <c:f>healthcare_dataset!$T$53:$AA$53</c:f>
              <c:strCache>
                <c:ptCount val="8"/>
                <c:pt idx="0">
                  <c:v>A+</c:v>
                </c:pt>
                <c:pt idx="1">
                  <c:v>A-</c:v>
                </c:pt>
                <c:pt idx="2">
                  <c:v>AB+</c:v>
                </c:pt>
                <c:pt idx="3">
                  <c:v>AB-</c:v>
                </c:pt>
                <c:pt idx="4">
                  <c:v>B+</c:v>
                </c:pt>
                <c:pt idx="5">
                  <c:v>B-</c:v>
                </c:pt>
                <c:pt idx="6">
                  <c:v>O+</c:v>
                </c:pt>
                <c:pt idx="7">
                  <c:v>O-</c:v>
                </c:pt>
              </c:strCache>
            </c:strRef>
          </c:cat>
          <c:val>
            <c:numRef>
              <c:f>healthcare_dataset!$T$58:$AA$58</c:f>
              <c:numCache>
                <c:formatCode>General</c:formatCode>
                <c:ptCount val="8"/>
                <c:pt idx="0">
                  <c:v>21</c:v>
                </c:pt>
                <c:pt idx="1">
                  <c:v>24</c:v>
                </c:pt>
                <c:pt idx="2">
                  <c:v>28</c:v>
                </c:pt>
                <c:pt idx="3">
                  <c:v>29</c:v>
                </c:pt>
                <c:pt idx="4">
                  <c:v>18</c:v>
                </c:pt>
                <c:pt idx="5">
                  <c:v>15</c:v>
                </c:pt>
                <c:pt idx="6">
                  <c:v>26</c:v>
                </c:pt>
                <c:pt idx="7">
                  <c:v>17</c:v>
                </c:pt>
              </c:numCache>
            </c:numRef>
          </c:val>
          <c:smooth val="0"/>
          <c:extLst>
            <c:ext xmlns:c16="http://schemas.microsoft.com/office/drawing/2014/chart" uri="{C3380CC4-5D6E-409C-BE32-E72D297353CC}">
              <c16:uniqueId val="{0000000D-B8E5-4C38-8A3F-3FFD0120A3B6}"/>
            </c:ext>
          </c:extLst>
        </c:ser>
        <c:ser>
          <c:idx val="5"/>
          <c:order val="5"/>
          <c:tx>
            <c:strRef>
              <c:f>healthcare_dataset!$S$59</c:f>
              <c:strCache>
                <c:ptCount val="1"/>
                <c:pt idx="0">
                  <c:v>Obesity</c:v>
                </c:pt>
              </c:strCache>
            </c:strRef>
          </c:tx>
          <c:spPr>
            <a:ln w="28575" cap="rnd">
              <a:solidFill>
                <a:schemeClr val="accent6"/>
              </a:solidFill>
              <a:round/>
            </a:ln>
            <a:effectLst/>
          </c:spPr>
          <c:marker>
            <c:symbol val="none"/>
          </c:marker>
          <c:dPt>
            <c:idx val="2"/>
            <c:marker>
              <c:symbol val="diamond"/>
              <c:size val="6"/>
              <c:spPr>
                <a:solidFill>
                  <a:srgbClr val="C00000"/>
                </a:solidFill>
                <a:ln w="9525">
                  <a:solidFill>
                    <a:schemeClr val="accent6"/>
                  </a:solidFill>
                </a:ln>
                <a:effectLst/>
              </c:spPr>
            </c:marker>
            <c:bubble3D val="0"/>
            <c:extLst>
              <c:ext xmlns:c16="http://schemas.microsoft.com/office/drawing/2014/chart" uri="{C3380CC4-5D6E-409C-BE32-E72D297353CC}">
                <c16:uniqueId val="{0000000E-B8E5-4C38-8A3F-3FFD0120A3B6}"/>
              </c:ext>
            </c:extLst>
          </c:dPt>
          <c:dPt>
            <c:idx val="3"/>
            <c:marker>
              <c:symbol val="circle"/>
              <c:size val="6"/>
              <c:spPr>
                <a:solidFill>
                  <a:srgbClr val="F8F856"/>
                </a:solidFill>
                <a:ln w="9525">
                  <a:solidFill>
                    <a:schemeClr val="accent6"/>
                  </a:solidFill>
                </a:ln>
                <a:effectLst/>
              </c:spPr>
            </c:marker>
            <c:bubble3D val="0"/>
            <c:extLst>
              <c:ext xmlns:c16="http://schemas.microsoft.com/office/drawing/2014/chart" uri="{C3380CC4-5D6E-409C-BE32-E72D297353CC}">
                <c16:uniqueId val="{0000000F-B8E5-4C38-8A3F-3FFD0120A3B6}"/>
              </c:ext>
            </c:extLst>
          </c:dPt>
          <c:cat>
            <c:strRef>
              <c:f>healthcare_dataset!$T$53:$AA$53</c:f>
              <c:strCache>
                <c:ptCount val="8"/>
                <c:pt idx="0">
                  <c:v>A+</c:v>
                </c:pt>
                <c:pt idx="1">
                  <c:v>A-</c:v>
                </c:pt>
                <c:pt idx="2">
                  <c:v>AB+</c:v>
                </c:pt>
                <c:pt idx="3">
                  <c:v>AB-</c:v>
                </c:pt>
                <c:pt idx="4">
                  <c:v>B+</c:v>
                </c:pt>
                <c:pt idx="5">
                  <c:v>B-</c:v>
                </c:pt>
                <c:pt idx="6">
                  <c:v>O+</c:v>
                </c:pt>
                <c:pt idx="7">
                  <c:v>O-</c:v>
                </c:pt>
              </c:strCache>
            </c:strRef>
          </c:cat>
          <c:val>
            <c:numRef>
              <c:f>healthcare_dataset!$T$59:$AA$59</c:f>
              <c:numCache>
                <c:formatCode>General</c:formatCode>
                <c:ptCount val="8"/>
                <c:pt idx="0">
                  <c:v>18</c:v>
                </c:pt>
                <c:pt idx="1">
                  <c:v>18</c:v>
                </c:pt>
                <c:pt idx="2">
                  <c:v>16</c:v>
                </c:pt>
                <c:pt idx="3">
                  <c:v>25</c:v>
                </c:pt>
                <c:pt idx="4">
                  <c:v>16</c:v>
                </c:pt>
                <c:pt idx="5">
                  <c:v>23</c:v>
                </c:pt>
                <c:pt idx="6">
                  <c:v>17</c:v>
                </c:pt>
                <c:pt idx="7">
                  <c:v>21</c:v>
                </c:pt>
              </c:numCache>
            </c:numRef>
          </c:val>
          <c:smooth val="0"/>
          <c:extLst>
            <c:ext xmlns:c16="http://schemas.microsoft.com/office/drawing/2014/chart" uri="{C3380CC4-5D6E-409C-BE32-E72D297353CC}">
              <c16:uniqueId val="{00000010-B8E5-4C38-8A3F-3FFD0120A3B6}"/>
            </c:ext>
          </c:extLst>
        </c:ser>
        <c:ser>
          <c:idx val="6"/>
          <c:order val="6"/>
          <c:tx>
            <c:strRef>
              <c:f>healthcare_dataset!$AC$53</c:f>
              <c:strCache>
                <c:ptCount val="1"/>
                <c:pt idx="0">
                  <c:v>max</c:v>
                </c:pt>
              </c:strCache>
            </c:strRef>
          </c:tx>
          <c:spPr>
            <a:ln w="28575" cap="rnd">
              <a:solidFill>
                <a:schemeClr val="accent1">
                  <a:lumMod val="60000"/>
                </a:schemeClr>
              </a:solidFill>
              <a:round/>
            </a:ln>
            <a:effectLst/>
          </c:spPr>
          <c:marker>
            <c:symbol val="circle"/>
            <c:size val="6"/>
            <c:spPr>
              <a:solidFill>
                <a:srgbClr val="FFFF00"/>
              </a:solidFill>
              <a:ln w="9525">
                <a:solidFill>
                  <a:schemeClr val="accent1">
                    <a:lumMod val="60000"/>
                  </a:schemeClr>
                </a:solidFill>
              </a:ln>
              <a:effectLst/>
            </c:spPr>
          </c:marker>
          <c:val>
            <c:numRef>
              <c:f>healthcare_dataset!$AC$54:$AI$54</c:f>
              <c:numCache>
                <c:formatCode>General</c:formatCode>
                <c:ptCount val="7"/>
                <c:pt idx="0">
                  <c:v>#N/A</c:v>
                </c:pt>
                <c:pt idx="1">
                  <c:v>#N/A</c:v>
                </c:pt>
                <c:pt idx="2">
                  <c:v>27</c:v>
                </c:pt>
                <c:pt idx="3">
                  <c:v>#N/A</c:v>
                </c:pt>
                <c:pt idx="4">
                  <c:v>#N/A</c:v>
                </c:pt>
                <c:pt idx="5">
                  <c:v>#N/A</c:v>
                </c:pt>
                <c:pt idx="6">
                  <c:v>#N/A</c:v>
                </c:pt>
              </c:numCache>
            </c:numRef>
          </c:val>
          <c:smooth val="0"/>
          <c:extLst>
            <c:ext xmlns:c16="http://schemas.microsoft.com/office/drawing/2014/chart" uri="{C3380CC4-5D6E-409C-BE32-E72D297353CC}">
              <c16:uniqueId val="{00000011-B8E5-4C38-8A3F-3FFD0120A3B6}"/>
            </c:ext>
          </c:extLst>
        </c:ser>
        <c:ser>
          <c:idx val="8"/>
          <c:order val="8"/>
          <c:tx>
            <c:strRef>
              <c:f>healthcare_dataset!$AD$53</c:f>
              <c:strCache>
                <c:ptCount val="1"/>
                <c:pt idx="0">
                  <c:v>min</c:v>
                </c:pt>
              </c:strCache>
            </c:strRef>
          </c:tx>
          <c:spPr>
            <a:ln w="28575" cap="sq">
              <a:solidFill>
                <a:schemeClr val="accent3">
                  <a:lumMod val="60000"/>
                  <a:alpha val="98000"/>
                </a:schemeClr>
              </a:solidFill>
              <a:miter lim="800000"/>
            </a:ln>
            <a:effectLst/>
          </c:spPr>
          <c:marker>
            <c:symbol val="diamond"/>
            <c:size val="6"/>
            <c:spPr>
              <a:solidFill>
                <a:srgbClr val="C00000"/>
              </a:solidFill>
              <a:ln w="9525">
                <a:solidFill>
                  <a:schemeClr val="accent3">
                    <a:lumMod val="60000"/>
                  </a:schemeClr>
                </a:solidFill>
              </a:ln>
              <a:effectLst/>
            </c:spPr>
          </c:marker>
          <c:val>
            <c:numRef>
              <c:f>healthcare_dataset!$AC$56:$AJ$56</c:f>
              <c:numCache>
                <c:formatCode>General</c:formatCode>
                <c:ptCount val="8"/>
                <c:pt idx="0">
                  <c:v>16</c:v>
                </c:pt>
                <c:pt idx="1">
                  <c:v>#N/A</c:v>
                </c:pt>
                <c:pt idx="2">
                  <c:v>#N/A</c:v>
                </c:pt>
                <c:pt idx="3">
                  <c:v>#N/A</c:v>
                </c:pt>
                <c:pt idx="4">
                  <c:v>16</c:v>
                </c:pt>
                <c:pt idx="5">
                  <c:v>#N/A</c:v>
                </c:pt>
                <c:pt idx="6">
                  <c:v>#N/A</c:v>
                </c:pt>
                <c:pt idx="7">
                  <c:v>#N/A</c:v>
                </c:pt>
              </c:numCache>
            </c:numRef>
          </c:val>
          <c:smooth val="0"/>
          <c:extLst>
            <c:ext xmlns:c16="http://schemas.microsoft.com/office/drawing/2014/chart" uri="{C3380CC4-5D6E-409C-BE32-E72D297353CC}">
              <c16:uniqueId val="{00000012-B8E5-4C38-8A3F-3FFD0120A3B6}"/>
            </c:ext>
          </c:extLst>
        </c:ser>
        <c:dLbls>
          <c:showLegendKey val="0"/>
          <c:showVal val="0"/>
          <c:showCatName val="0"/>
          <c:showSerName val="0"/>
          <c:showPercent val="0"/>
          <c:showBubbleSize val="0"/>
        </c:dLbls>
        <c:smooth val="0"/>
        <c:axId val="600724576"/>
        <c:axId val="600726016"/>
        <c:extLst>
          <c:ext xmlns:c15="http://schemas.microsoft.com/office/drawing/2012/chart" uri="{02D57815-91ED-43cb-92C2-25804820EDAC}">
            <c15:filteredLineSeries>
              <c15:ser>
                <c:idx val="7"/>
                <c:order val="7"/>
                <c:tx>
                  <c:strRef>
                    <c:extLst>
                      <c:ext uri="{02D57815-91ED-43cb-92C2-25804820EDAC}">
                        <c15:formulaRef>
                          <c15:sqref>healthcare_dataset!$AC$53</c15:sqref>
                        </c15:formulaRef>
                      </c:ext>
                    </c:extLst>
                    <c:strCache>
                      <c:ptCount val="1"/>
                      <c:pt idx="0">
                        <c:v>max</c:v>
                      </c:pt>
                    </c:strCache>
                  </c:strRef>
                </c:tx>
                <c:spPr>
                  <a:ln w="28575" cap="rnd">
                    <a:solidFill>
                      <a:schemeClr val="accent2">
                        <a:lumMod val="60000"/>
                      </a:schemeClr>
                    </a:solidFill>
                    <a:round/>
                  </a:ln>
                  <a:effectLst/>
                </c:spPr>
                <c:marker>
                  <c:symbol val="none"/>
                </c:marker>
                <c:val>
                  <c:numRef>
                    <c:extLst>
                      <c:ext uri="{02D57815-91ED-43cb-92C2-25804820EDAC}">
                        <c15:formulaRef>
                          <c15:sqref>healthcare_dataset!$AC$55:$AJ$55</c15:sqref>
                        </c15:formulaRef>
                      </c:ext>
                    </c:extLst>
                    <c:numCache>
                      <c:formatCode>General</c:formatCode>
                      <c:ptCount val="8"/>
                      <c:pt idx="0">
                        <c:v>#N/A</c:v>
                      </c:pt>
                      <c:pt idx="1">
                        <c:v>#N/A</c:v>
                      </c:pt>
                      <c:pt idx="2">
                        <c:v>#N/A</c:v>
                      </c:pt>
                      <c:pt idx="3">
                        <c:v>#N/A</c:v>
                      </c:pt>
                      <c:pt idx="4">
                        <c:v>#N/A</c:v>
                      </c:pt>
                      <c:pt idx="5">
                        <c:v>#N/A</c:v>
                      </c:pt>
                      <c:pt idx="6">
                        <c:v>26</c:v>
                      </c:pt>
                      <c:pt idx="7">
                        <c:v>#N/A</c:v>
                      </c:pt>
                    </c:numCache>
                  </c:numRef>
                </c:val>
                <c:smooth val="0"/>
                <c:extLst>
                  <c:ext xmlns:c16="http://schemas.microsoft.com/office/drawing/2014/chart" uri="{C3380CC4-5D6E-409C-BE32-E72D297353CC}">
                    <c16:uniqueId val="{00000013-B8E5-4C38-8A3F-3FFD0120A3B6}"/>
                  </c:ext>
                </c:extLst>
              </c15:ser>
            </c15:filteredLineSeries>
          </c:ext>
        </c:extLst>
      </c:lineChart>
      <c:catAx>
        <c:axId val="60072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726016"/>
        <c:crosses val="autoZero"/>
        <c:auto val="1"/>
        <c:lblAlgn val="ctr"/>
        <c:lblOffset val="100"/>
        <c:noMultiLvlLbl val="0"/>
      </c:catAx>
      <c:valAx>
        <c:axId val="600726016"/>
        <c:scaling>
          <c:orientation val="minMax"/>
          <c:max val="31"/>
          <c:min val="10"/>
        </c:scaling>
        <c:delete val="0"/>
        <c:axPos val="l"/>
        <c:majorGridlines>
          <c:spPr>
            <a:ln w="9525" cap="flat" cmpd="sng" algn="ctr">
              <a:solidFill>
                <a:schemeClr val="accent3">
                  <a:lumMod val="60000"/>
                  <a:alpha val="88000"/>
                </a:schemeClr>
              </a:solidFill>
              <a:round/>
            </a:ln>
            <a:effectLst/>
          </c:spPr>
        </c:majorGridlines>
        <c:numFmt formatCode="General" sourceLinked="1"/>
        <c:majorTickMark val="out"/>
        <c:minorTickMark val="cross"/>
        <c:tickLblPos val="nextTo"/>
        <c:spPr>
          <a:noFill/>
          <a:ln>
            <a:solidFill>
              <a:schemeClr val="accent3">
                <a:lumMod val="6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724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aseline="0">
                <a:latin typeface="Aharoni" panose="02010803020104030203" pitchFamily="2" charset="-79"/>
                <a:cs typeface="Aharoni" panose="02010803020104030203" pitchFamily="2" charset="-79"/>
              </a:rPr>
              <a:t>medical condition on age category</a:t>
            </a:r>
            <a:endParaRPr lang="en-US" sz="1400">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[1]Sheet5!$B$4</c:f>
              <c:strCache>
                <c:ptCount val="1"/>
                <c:pt idx="0">
                  <c:v>Arthritis</c:v>
                </c:pt>
              </c:strCache>
            </c:strRef>
          </c:tx>
          <c:spPr>
            <a:blipFill>
              <a:blip xmlns:r="http://schemas.openxmlformats.org/officeDocument/2006/relationships" r:embed="rId3"/>
              <a:stretch>
                <a:fillRect/>
              </a:stretch>
            </a:blipFill>
            <a:ln>
              <a:solidFill>
                <a:srgbClr val="C00000"/>
              </a:solidFill>
              <a:prstDash val="solid"/>
            </a:ln>
            <a:effectLst/>
          </c:spPr>
          <c:invertIfNegative val="0"/>
          <c:cat>
            <c:strRef>
              <c:f>[1]Sheet5!$C$3:$I$3</c:f>
              <c:strCache>
                <c:ptCount val="7"/>
                <c:pt idx="0">
                  <c:v>18-25</c:v>
                </c:pt>
                <c:pt idx="1">
                  <c:v>26-35</c:v>
                </c:pt>
                <c:pt idx="2">
                  <c:v>36-45</c:v>
                </c:pt>
                <c:pt idx="3">
                  <c:v>46-55</c:v>
                </c:pt>
                <c:pt idx="4">
                  <c:v>56-65</c:v>
                </c:pt>
                <c:pt idx="5">
                  <c:v>66-75</c:v>
                </c:pt>
                <c:pt idx="6">
                  <c:v>76-85</c:v>
                </c:pt>
              </c:strCache>
            </c:strRef>
          </c:cat>
          <c:val>
            <c:numRef>
              <c:f>[1]Sheet5!$C$4:$I$4</c:f>
              <c:numCache>
                <c:formatCode>General</c:formatCode>
                <c:ptCount val="7"/>
                <c:pt idx="0">
                  <c:v>18</c:v>
                </c:pt>
                <c:pt idx="1">
                  <c:v>26</c:v>
                </c:pt>
                <c:pt idx="2">
                  <c:v>23</c:v>
                </c:pt>
                <c:pt idx="3">
                  <c:v>14</c:v>
                </c:pt>
                <c:pt idx="4">
                  <c:v>31</c:v>
                </c:pt>
                <c:pt idx="5">
                  <c:v>17</c:v>
                </c:pt>
                <c:pt idx="6">
                  <c:v>32</c:v>
                </c:pt>
              </c:numCache>
            </c:numRef>
          </c:val>
          <c:extLst>
            <c:ext xmlns:c16="http://schemas.microsoft.com/office/drawing/2014/chart" uri="{C3380CC4-5D6E-409C-BE32-E72D297353CC}">
              <c16:uniqueId val="{00000000-AB9C-4F4C-8471-1B5CDB1CF760}"/>
            </c:ext>
          </c:extLst>
        </c:ser>
        <c:ser>
          <c:idx val="1"/>
          <c:order val="1"/>
          <c:tx>
            <c:strRef>
              <c:f>[1]Sheet5!$B$5</c:f>
              <c:strCache>
                <c:ptCount val="1"/>
                <c:pt idx="0">
                  <c:v>Asthma</c:v>
                </c:pt>
              </c:strCache>
            </c:strRef>
          </c:tx>
          <c:spPr>
            <a:blipFill>
              <a:blip xmlns:r="http://schemas.openxmlformats.org/officeDocument/2006/relationships" r:embed="rId4"/>
              <a:stretch>
                <a:fillRect/>
              </a:stretch>
            </a:blipFill>
            <a:ln cmpd="sng">
              <a:noFill/>
              <a:prstDash val="sysDash"/>
            </a:ln>
            <a:effectLst/>
          </c:spPr>
          <c:invertIfNegative val="0"/>
          <c:cat>
            <c:strRef>
              <c:f>[1]Sheet5!$C$3:$I$3</c:f>
              <c:strCache>
                <c:ptCount val="7"/>
                <c:pt idx="0">
                  <c:v>18-25</c:v>
                </c:pt>
                <c:pt idx="1">
                  <c:v>26-35</c:v>
                </c:pt>
                <c:pt idx="2">
                  <c:v>36-45</c:v>
                </c:pt>
                <c:pt idx="3">
                  <c:v>46-55</c:v>
                </c:pt>
                <c:pt idx="4">
                  <c:v>56-65</c:v>
                </c:pt>
                <c:pt idx="5">
                  <c:v>66-75</c:v>
                </c:pt>
                <c:pt idx="6">
                  <c:v>76-85</c:v>
                </c:pt>
              </c:strCache>
            </c:strRef>
          </c:cat>
          <c:val>
            <c:numRef>
              <c:f>[1]Sheet5!$C$5:$I$5</c:f>
              <c:numCache>
                <c:formatCode>General</c:formatCode>
                <c:ptCount val="7"/>
                <c:pt idx="0">
                  <c:v>13</c:v>
                </c:pt>
                <c:pt idx="1">
                  <c:v>33</c:v>
                </c:pt>
                <c:pt idx="2">
                  <c:v>21</c:v>
                </c:pt>
                <c:pt idx="3">
                  <c:v>29</c:v>
                </c:pt>
                <c:pt idx="4">
                  <c:v>28</c:v>
                </c:pt>
                <c:pt idx="5">
                  <c:v>22</c:v>
                </c:pt>
                <c:pt idx="6">
                  <c:v>28</c:v>
                </c:pt>
              </c:numCache>
            </c:numRef>
          </c:val>
          <c:extLst>
            <c:ext xmlns:c16="http://schemas.microsoft.com/office/drawing/2014/chart" uri="{C3380CC4-5D6E-409C-BE32-E72D297353CC}">
              <c16:uniqueId val="{00000001-AB9C-4F4C-8471-1B5CDB1CF760}"/>
            </c:ext>
          </c:extLst>
        </c:ser>
        <c:ser>
          <c:idx val="2"/>
          <c:order val="2"/>
          <c:tx>
            <c:strRef>
              <c:f>[1]Sheet5!$B$6</c:f>
              <c:strCache>
                <c:ptCount val="1"/>
                <c:pt idx="0">
                  <c:v>Cancer</c:v>
                </c:pt>
              </c:strCache>
            </c:strRef>
          </c:tx>
          <c:spPr>
            <a:blipFill>
              <a:blip xmlns:r="http://schemas.openxmlformats.org/officeDocument/2006/relationships" r:embed="rId5"/>
              <a:stretch>
                <a:fillRect/>
              </a:stretch>
            </a:blipFill>
            <a:ln>
              <a:solidFill>
                <a:srgbClr val="7030A0"/>
              </a:solidFill>
            </a:ln>
            <a:effectLst/>
          </c:spPr>
          <c:invertIfNegative val="0"/>
          <c:cat>
            <c:strRef>
              <c:f>[1]Sheet5!$C$3:$I$3</c:f>
              <c:strCache>
                <c:ptCount val="7"/>
                <c:pt idx="0">
                  <c:v>18-25</c:v>
                </c:pt>
                <c:pt idx="1">
                  <c:v>26-35</c:v>
                </c:pt>
                <c:pt idx="2">
                  <c:v>36-45</c:v>
                </c:pt>
                <c:pt idx="3">
                  <c:v>46-55</c:v>
                </c:pt>
                <c:pt idx="4">
                  <c:v>56-65</c:v>
                </c:pt>
                <c:pt idx="5">
                  <c:v>66-75</c:v>
                </c:pt>
                <c:pt idx="6">
                  <c:v>76-85</c:v>
                </c:pt>
              </c:strCache>
            </c:strRef>
          </c:cat>
          <c:val>
            <c:numRef>
              <c:f>[1]Sheet5!$C$6:$I$6</c:f>
              <c:numCache>
                <c:formatCode>General</c:formatCode>
                <c:ptCount val="7"/>
                <c:pt idx="0">
                  <c:v>24</c:v>
                </c:pt>
                <c:pt idx="1">
                  <c:v>17</c:v>
                </c:pt>
                <c:pt idx="2">
                  <c:v>29</c:v>
                </c:pt>
                <c:pt idx="3">
                  <c:v>22</c:v>
                </c:pt>
                <c:pt idx="4">
                  <c:v>26</c:v>
                </c:pt>
                <c:pt idx="5">
                  <c:v>25</c:v>
                </c:pt>
                <c:pt idx="6">
                  <c:v>28</c:v>
                </c:pt>
              </c:numCache>
            </c:numRef>
          </c:val>
          <c:extLst>
            <c:ext xmlns:c16="http://schemas.microsoft.com/office/drawing/2014/chart" uri="{C3380CC4-5D6E-409C-BE32-E72D297353CC}">
              <c16:uniqueId val="{00000002-AB9C-4F4C-8471-1B5CDB1CF760}"/>
            </c:ext>
          </c:extLst>
        </c:ser>
        <c:dLbls>
          <c:showLegendKey val="0"/>
          <c:showVal val="0"/>
          <c:showCatName val="0"/>
          <c:showSerName val="0"/>
          <c:showPercent val="0"/>
          <c:showBubbleSize val="0"/>
        </c:dLbls>
        <c:gapWidth val="105"/>
        <c:overlap val="-36"/>
        <c:axId val="717654256"/>
        <c:axId val="717654616"/>
      </c:barChart>
      <c:lineChart>
        <c:grouping val="standard"/>
        <c:varyColors val="0"/>
        <c:ser>
          <c:idx val="3"/>
          <c:order val="3"/>
          <c:tx>
            <c:strRef>
              <c:f>[1]Sheet5!$B$7</c:f>
              <c:strCache>
                <c:ptCount val="1"/>
                <c:pt idx="0">
                  <c:v>Diabetes</c:v>
                </c:pt>
              </c:strCache>
            </c:strRef>
          </c:tx>
          <c:spPr>
            <a:ln w="22225" cap="rnd">
              <a:solidFill>
                <a:srgbClr val="D270B8"/>
              </a:solidFill>
              <a:round/>
            </a:ln>
            <a:effectLst/>
          </c:spPr>
          <c:marker>
            <c:symbol val="none"/>
          </c:marker>
          <c:cat>
            <c:strRef>
              <c:f>[1]Sheet5!$C$3:$I$3</c:f>
              <c:strCache>
                <c:ptCount val="7"/>
                <c:pt idx="0">
                  <c:v>18-25</c:v>
                </c:pt>
                <c:pt idx="1">
                  <c:v>26-35</c:v>
                </c:pt>
                <c:pt idx="2">
                  <c:v>36-45</c:v>
                </c:pt>
                <c:pt idx="3">
                  <c:v>46-55</c:v>
                </c:pt>
                <c:pt idx="4">
                  <c:v>56-65</c:v>
                </c:pt>
                <c:pt idx="5">
                  <c:v>66-75</c:v>
                </c:pt>
                <c:pt idx="6">
                  <c:v>76-85</c:v>
                </c:pt>
              </c:strCache>
            </c:strRef>
          </c:cat>
          <c:val>
            <c:numRef>
              <c:f>[1]Sheet5!$C$7:$I$7</c:f>
              <c:numCache>
                <c:formatCode>General</c:formatCode>
                <c:ptCount val="7"/>
                <c:pt idx="0">
                  <c:v>13</c:v>
                </c:pt>
                <c:pt idx="1">
                  <c:v>27</c:v>
                </c:pt>
                <c:pt idx="2">
                  <c:v>20</c:v>
                </c:pt>
                <c:pt idx="3">
                  <c:v>28</c:v>
                </c:pt>
                <c:pt idx="4">
                  <c:v>18</c:v>
                </c:pt>
                <c:pt idx="5">
                  <c:v>27</c:v>
                </c:pt>
                <c:pt idx="6">
                  <c:v>28</c:v>
                </c:pt>
              </c:numCache>
            </c:numRef>
          </c:val>
          <c:smooth val="0"/>
          <c:extLst>
            <c:ext xmlns:c16="http://schemas.microsoft.com/office/drawing/2014/chart" uri="{C3380CC4-5D6E-409C-BE32-E72D297353CC}">
              <c16:uniqueId val="{00000003-AB9C-4F4C-8471-1B5CDB1CF760}"/>
            </c:ext>
          </c:extLst>
        </c:ser>
        <c:ser>
          <c:idx val="4"/>
          <c:order val="4"/>
          <c:tx>
            <c:strRef>
              <c:f>[1]Sheet5!$B$8</c:f>
              <c:strCache>
                <c:ptCount val="1"/>
                <c:pt idx="0">
                  <c:v>Hypertension</c:v>
                </c:pt>
              </c:strCache>
            </c:strRef>
          </c:tx>
          <c:spPr>
            <a:ln w="22225" cap="rnd" cmpd="sng">
              <a:solidFill>
                <a:srgbClr val="25A779"/>
              </a:solidFill>
              <a:prstDash val="dash"/>
              <a:round/>
              <a:tailEnd w="med" len="sm"/>
            </a:ln>
            <a:effectLst/>
          </c:spPr>
          <c:marker>
            <c:symbol val="none"/>
          </c:marker>
          <c:cat>
            <c:strRef>
              <c:f>[1]Sheet5!$C$3:$I$3</c:f>
              <c:strCache>
                <c:ptCount val="7"/>
                <c:pt idx="0">
                  <c:v>18-25</c:v>
                </c:pt>
                <c:pt idx="1">
                  <c:v>26-35</c:v>
                </c:pt>
                <c:pt idx="2">
                  <c:v>36-45</c:v>
                </c:pt>
                <c:pt idx="3">
                  <c:v>46-55</c:v>
                </c:pt>
                <c:pt idx="4">
                  <c:v>56-65</c:v>
                </c:pt>
                <c:pt idx="5">
                  <c:v>66-75</c:v>
                </c:pt>
                <c:pt idx="6">
                  <c:v>76-85</c:v>
                </c:pt>
              </c:strCache>
            </c:strRef>
          </c:cat>
          <c:val>
            <c:numRef>
              <c:f>[1]Sheet5!$C$8:$I$8</c:f>
              <c:numCache>
                <c:formatCode>General</c:formatCode>
                <c:ptCount val="7"/>
                <c:pt idx="0">
                  <c:v>22</c:v>
                </c:pt>
                <c:pt idx="1">
                  <c:v>26</c:v>
                </c:pt>
                <c:pt idx="2">
                  <c:v>27</c:v>
                </c:pt>
                <c:pt idx="3">
                  <c:v>32</c:v>
                </c:pt>
                <c:pt idx="4">
                  <c:v>22</c:v>
                </c:pt>
                <c:pt idx="5">
                  <c:v>29</c:v>
                </c:pt>
                <c:pt idx="6">
                  <c:v>20</c:v>
                </c:pt>
              </c:numCache>
            </c:numRef>
          </c:val>
          <c:smooth val="0"/>
          <c:extLst>
            <c:ext xmlns:c16="http://schemas.microsoft.com/office/drawing/2014/chart" uri="{C3380CC4-5D6E-409C-BE32-E72D297353CC}">
              <c16:uniqueId val="{00000004-AB9C-4F4C-8471-1B5CDB1CF760}"/>
            </c:ext>
          </c:extLst>
        </c:ser>
        <c:ser>
          <c:idx val="5"/>
          <c:order val="5"/>
          <c:tx>
            <c:strRef>
              <c:f>[1]Sheet5!$B$9</c:f>
              <c:strCache>
                <c:ptCount val="1"/>
                <c:pt idx="0">
                  <c:v>Obesity</c:v>
                </c:pt>
              </c:strCache>
            </c:strRef>
          </c:tx>
          <c:spPr>
            <a:ln w="22225" cap="rnd" cmpd="sng">
              <a:solidFill>
                <a:srgbClr val="F8F856"/>
              </a:solidFill>
              <a:round/>
            </a:ln>
            <a:effectLst/>
          </c:spPr>
          <c:marker>
            <c:symbol val="none"/>
          </c:marker>
          <c:cat>
            <c:strRef>
              <c:f>[1]Sheet5!$C$3:$I$3</c:f>
              <c:strCache>
                <c:ptCount val="7"/>
                <c:pt idx="0">
                  <c:v>18-25</c:v>
                </c:pt>
                <c:pt idx="1">
                  <c:v>26-35</c:v>
                </c:pt>
                <c:pt idx="2">
                  <c:v>36-45</c:v>
                </c:pt>
                <c:pt idx="3">
                  <c:v>46-55</c:v>
                </c:pt>
                <c:pt idx="4">
                  <c:v>56-65</c:v>
                </c:pt>
                <c:pt idx="5">
                  <c:v>66-75</c:v>
                </c:pt>
                <c:pt idx="6">
                  <c:v>76-85</c:v>
                </c:pt>
              </c:strCache>
            </c:strRef>
          </c:cat>
          <c:val>
            <c:numRef>
              <c:f>[1]Sheet5!$C$9:$I$9</c:f>
              <c:numCache>
                <c:formatCode>General</c:formatCode>
                <c:ptCount val="7"/>
                <c:pt idx="0">
                  <c:v>10</c:v>
                </c:pt>
                <c:pt idx="1">
                  <c:v>22</c:v>
                </c:pt>
                <c:pt idx="2">
                  <c:v>26</c:v>
                </c:pt>
                <c:pt idx="3">
                  <c:v>19</c:v>
                </c:pt>
                <c:pt idx="4">
                  <c:v>19</c:v>
                </c:pt>
                <c:pt idx="5">
                  <c:v>31</c:v>
                </c:pt>
                <c:pt idx="6">
                  <c:v>27</c:v>
                </c:pt>
              </c:numCache>
            </c:numRef>
          </c:val>
          <c:smooth val="0"/>
          <c:extLst>
            <c:ext xmlns:c16="http://schemas.microsoft.com/office/drawing/2014/chart" uri="{C3380CC4-5D6E-409C-BE32-E72D297353CC}">
              <c16:uniqueId val="{00000005-AB9C-4F4C-8471-1B5CDB1CF760}"/>
            </c:ext>
          </c:extLst>
        </c:ser>
        <c:dLbls>
          <c:showLegendKey val="0"/>
          <c:showVal val="0"/>
          <c:showCatName val="0"/>
          <c:showSerName val="0"/>
          <c:showPercent val="0"/>
          <c:showBubbleSize val="0"/>
        </c:dLbls>
        <c:marker val="1"/>
        <c:smooth val="0"/>
        <c:axId val="717654256"/>
        <c:axId val="717654616"/>
      </c:lineChart>
      <c:catAx>
        <c:axId val="717654256"/>
        <c:scaling>
          <c:orientation val="minMax"/>
        </c:scaling>
        <c:delete val="0"/>
        <c:axPos val="b"/>
        <c:majorGridlines>
          <c:spPr>
            <a:ln w="9525" cap="flat" cmpd="sng" algn="ctr">
              <a:solidFill>
                <a:schemeClr val="tx1">
                  <a:lumMod val="15000"/>
                  <a:lumOff val="85000"/>
                </a:schemeClr>
              </a:solidFill>
              <a:round/>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solidFill>
            <a:schemeClr val="bg2">
              <a:lumMod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17654616"/>
        <c:crosses val="autoZero"/>
        <c:auto val="1"/>
        <c:lblAlgn val="ctr"/>
        <c:lblOffset val="100"/>
        <c:noMultiLvlLbl val="0"/>
      </c:catAx>
      <c:valAx>
        <c:axId val="717654616"/>
        <c:scaling>
          <c:orientation val="minMax"/>
          <c:max val="32"/>
          <c:min val="10"/>
        </c:scaling>
        <c:delete val="0"/>
        <c:axPos val="l"/>
        <c:numFmt formatCode="General" sourceLinked="1"/>
        <c:majorTickMark val="none"/>
        <c:minorTickMark val="none"/>
        <c:tickLblPos val="nextTo"/>
        <c:spPr>
          <a:solidFill>
            <a:schemeClr val="bg2">
              <a:lumMod val="90000"/>
            </a:schemeClr>
          </a:solid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654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Project.xlsx]Sheet1!PivotTable1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Sheet1!$D$2:$D$3</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cat>
            <c:multiLvlStrRef>
              <c:f>Sheet1!$B$4:$C$28</c:f>
              <c:multiLvlStrCache>
                <c:ptCount val="21"/>
                <c:lvl>
                  <c:pt idx="0">
                    <c:v>18-25</c:v>
                  </c:pt>
                  <c:pt idx="1">
                    <c:v>26-35</c:v>
                  </c:pt>
                  <c:pt idx="2">
                    <c:v>36-45</c:v>
                  </c:pt>
                  <c:pt idx="3">
                    <c:v>46-55</c:v>
                  </c:pt>
                  <c:pt idx="4">
                    <c:v>56-65</c:v>
                  </c:pt>
                  <c:pt idx="5">
                    <c:v>66-75</c:v>
                  </c:pt>
                  <c:pt idx="6">
                    <c:v>76-85</c:v>
                  </c:pt>
                  <c:pt idx="7">
                    <c:v>18-25</c:v>
                  </c:pt>
                  <c:pt idx="8">
                    <c:v>26-35</c:v>
                  </c:pt>
                  <c:pt idx="9">
                    <c:v>36-45</c:v>
                  </c:pt>
                  <c:pt idx="10">
                    <c:v>46-55</c:v>
                  </c:pt>
                  <c:pt idx="11">
                    <c:v>56-65</c:v>
                  </c:pt>
                  <c:pt idx="12">
                    <c:v>66-75</c:v>
                  </c:pt>
                  <c:pt idx="13">
                    <c:v>76-85</c:v>
                  </c:pt>
                  <c:pt idx="14">
                    <c:v>18-25</c:v>
                  </c:pt>
                  <c:pt idx="15">
                    <c:v>26-35</c:v>
                  </c:pt>
                  <c:pt idx="16">
                    <c:v>36-45</c:v>
                  </c:pt>
                  <c:pt idx="17">
                    <c:v>46-55</c:v>
                  </c:pt>
                  <c:pt idx="18">
                    <c:v>56-65</c:v>
                  </c:pt>
                  <c:pt idx="19">
                    <c:v>66-75</c:v>
                  </c:pt>
                  <c:pt idx="20">
                    <c:v>76-85</c:v>
                  </c:pt>
                </c:lvl>
                <c:lvl>
                  <c:pt idx="0">
                    <c:v>Elective</c:v>
                  </c:pt>
                  <c:pt idx="7">
                    <c:v>Emergency</c:v>
                  </c:pt>
                  <c:pt idx="14">
                    <c:v>Urgent</c:v>
                  </c:pt>
                </c:lvl>
              </c:multiLvlStrCache>
            </c:multiLvlStrRef>
          </c:cat>
          <c:val>
            <c:numRef>
              <c:f>Sheet1!$D$4:$D$28</c:f>
              <c:numCache>
                <c:formatCode>General</c:formatCode>
                <c:ptCount val="21"/>
                <c:pt idx="0">
                  <c:v>3</c:v>
                </c:pt>
                <c:pt idx="1">
                  <c:v>9</c:v>
                </c:pt>
                <c:pt idx="2">
                  <c:v>4</c:v>
                </c:pt>
                <c:pt idx="3">
                  <c:v>7</c:v>
                </c:pt>
                <c:pt idx="4">
                  <c:v>7</c:v>
                </c:pt>
                <c:pt idx="5">
                  <c:v>10</c:v>
                </c:pt>
                <c:pt idx="6">
                  <c:v>8</c:v>
                </c:pt>
                <c:pt idx="7">
                  <c:v>4</c:v>
                </c:pt>
                <c:pt idx="8">
                  <c:v>11</c:v>
                </c:pt>
                <c:pt idx="9">
                  <c:v>8</c:v>
                </c:pt>
                <c:pt idx="10">
                  <c:v>11</c:v>
                </c:pt>
                <c:pt idx="11">
                  <c:v>8</c:v>
                </c:pt>
                <c:pt idx="12">
                  <c:v>7</c:v>
                </c:pt>
                <c:pt idx="13">
                  <c:v>11</c:v>
                </c:pt>
                <c:pt idx="14">
                  <c:v>6</c:v>
                </c:pt>
                <c:pt idx="15">
                  <c:v>7</c:v>
                </c:pt>
                <c:pt idx="16">
                  <c:v>8</c:v>
                </c:pt>
                <c:pt idx="17">
                  <c:v>10</c:v>
                </c:pt>
                <c:pt idx="18">
                  <c:v>3</c:v>
                </c:pt>
                <c:pt idx="19">
                  <c:v>10</c:v>
                </c:pt>
                <c:pt idx="20">
                  <c:v>9</c:v>
                </c:pt>
              </c:numCache>
            </c:numRef>
          </c:val>
          <c:extLst>
            <c:ext xmlns:c16="http://schemas.microsoft.com/office/drawing/2014/chart" uri="{C3380CC4-5D6E-409C-BE32-E72D297353CC}">
              <c16:uniqueId val="{00000000-031D-4BBA-B730-C6AEECC94836}"/>
            </c:ext>
          </c:extLst>
        </c:ser>
        <c:dLbls>
          <c:showLegendKey val="0"/>
          <c:showVal val="0"/>
          <c:showCatName val="0"/>
          <c:showSerName val="0"/>
          <c:showPercent val="0"/>
          <c:showBubbleSize val="0"/>
        </c:dLbls>
        <c:axId val="468360456"/>
        <c:axId val="468396480"/>
        <c:axId val="713352920"/>
      </c:area3DChart>
      <c:catAx>
        <c:axId val="4683604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8396480"/>
        <c:crosses val="autoZero"/>
        <c:auto val="1"/>
        <c:lblAlgn val="ctr"/>
        <c:lblOffset val="100"/>
        <c:noMultiLvlLbl val="0"/>
      </c:catAx>
      <c:valAx>
        <c:axId val="4683964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8360456"/>
        <c:crosses val="autoZero"/>
        <c:crossBetween val="midCat"/>
      </c:valAx>
      <c:serAx>
        <c:axId val="713352920"/>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83964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Sheet1!$C$31:$C$32</c:f>
              <c:strCache>
                <c:ptCount val="1"/>
                <c:pt idx="0">
                  <c:v>Diabetes</c:v>
                </c:pt>
              </c:strCache>
            </c:strRef>
          </c:tx>
          <c:spPr>
            <a:solidFill>
              <a:schemeClr val="accent1"/>
            </a:solidFill>
            <a:ln>
              <a:noFill/>
            </a:ln>
            <a:effectLst/>
          </c:spPr>
          <c:invertIfNegative val="0"/>
          <c:cat>
            <c:strRef>
              <c:f>Sheet1!$B$33:$B$37</c:f>
              <c:strCache>
                <c:ptCount val="5"/>
                <c:pt idx="0">
                  <c:v>Aspirin</c:v>
                </c:pt>
                <c:pt idx="1">
                  <c:v>Ibuprofen</c:v>
                </c:pt>
                <c:pt idx="2">
                  <c:v>Lipitor</c:v>
                </c:pt>
                <c:pt idx="3">
                  <c:v>Paracetamol</c:v>
                </c:pt>
                <c:pt idx="4">
                  <c:v>Penicillin</c:v>
                </c:pt>
              </c:strCache>
            </c:strRef>
          </c:cat>
          <c:val>
            <c:numRef>
              <c:f>Sheet1!$C$33:$C$37</c:f>
              <c:numCache>
                <c:formatCode>General</c:formatCode>
                <c:ptCount val="5"/>
                <c:pt idx="0">
                  <c:v>43</c:v>
                </c:pt>
                <c:pt idx="1">
                  <c:v>22</c:v>
                </c:pt>
                <c:pt idx="2">
                  <c:v>28</c:v>
                </c:pt>
                <c:pt idx="3">
                  <c:v>36</c:v>
                </c:pt>
                <c:pt idx="4">
                  <c:v>32</c:v>
                </c:pt>
              </c:numCache>
            </c:numRef>
          </c:val>
          <c:extLst>
            <c:ext xmlns:c16="http://schemas.microsoft.com/office/drawing/2014/chart" uri="{C3380CC4-5D6E-409C-BE32-E72D297353CC}">
              <c16:uniqueId val="{00000000-9674-47CA-9EDE-20A7674EEC61}"/>
            </c:ext>
          </c:extLst>
        </c:ser>
        <c:dLbls>
          <c:showLegendKey val="0"/>
          <c:showVal val="0"/>
          <c:showCatName val="0"/>
          <c:showSerName val="0"/>
          <c:showPercent val="0"/>
          <c:showBubbleSize val="0"/>
        </c:dLbls>
        <c:gapWidth val="267"/>
        <c:overlap val="-43"/>
        <c:axId val="742051360"/>
        <c:axId val="742053160"/>
      </c:barChart>
      <c:catAx>
        <c:axId val="7420513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42053160"/>
        <c:crosses val="autoZero"/>
        <c:auto val="1"/>
        <c:lblAlgn val="ctr"/>
        <c:lblOffset val="100"/>
        <c:noMultiLvlLbl val="0"/>
      </c:catAx>
      <c:valAx>
        <c:axId val="7420531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4205136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Project.xlsx]Sheet4!PivotTable4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61111111111111E-2"/>
          <c:y val="0.26647528433945755"/>
          <c:w val="0.81388888888888888"/>
          <c:h val="0.49730424321959754"/>
        </c:manualLayout>
      </c:layout>
      <c:pie3DChart>
        <c:varyColors val="1"/>
        <c:ser>
          <c:idx val="0"/>
          <c:order val="0"/>
          <c:tx>
            <c:strRef>
              <c:f>Sheet4!$B$21:$B$22</c:f>
              <c:strCache>
                <c:ptCount val="1"/>
                <c:pt idx="0">
                  <c:v>Diabetes</c:v>
                </c:pt>
              </c:strCache>
            </c:strRef>
          </c:tx>
          <c:dPt>
            <c:idx val="0"/>
            <c:bubble3D val="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3E9-4A4E-AE73-5C6F783F65CE}"/>
              </c:ext>
            </c:extLst>
          </c:dPt>
          <c:dPt>
            <c:idx val="1"/>
            <c:bubble3D val="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43E9-4A4E-AE73-5C6F783F65CE}"/>
              </c:ext>
            </c:extLst>
          </c:dPt>
          <c:dLbls>
            <c:dLbl>
              <c:idx val="0"/>
              <c:spPr>
                <a:solidFill>
                  <a:schemeClr val="lt1"/>
                </a:solidFill>
                <a:ln>
                  <a:solidFill>
                    <a:schemeClr val="accent5">
                      <a:shade val="76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3-43E9-4A4E-AE73-5C6F783F65CE}"/>
                </c:ext>
              </c:extLst>
            </c:dLbl>
            <c:dLbl>
              <c:idx val="1"/>
              <c:spPr>
                <a:solidFill>
                  <a:schemeClr val="lt1"/>
                </a:solidFill>
                <a:ln>
                  <a:solidFill>
                    <a:schemeClr val="accent5">
                      <a:tint val="77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4-43E9-4A4E-AE73-5C6F783F65CE}"/>
                </c:ext>
              </c:extLst>
            </c:dLbl>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Sheet4!$A$23:$A$25</c:f>
              <c:strCache>
                <c:ptCount val="2"/>
                <c:pt idx="0">
                  <c:v>Female</c:v>
                </c:pt>
                <c:pt idx="1">
                  <c:v>Male</c:v>
                </c:pt>
              </c:strCache>
            </c:strRef>
          </c:cat>
          <c:val>
            <c:numRef>
              <c:f>Sheet4!$B$23:$B$25</c:f>
              <c:numCache>
                <c:formatCode>General</c:formatCode>
                <c:ptCount val="2"/>
                <c:pt idx="0">
                  <c:v>87</c:v>
                </c:pt>
                <c:pt idx="1">
                  <c:v>74</c:v>
                </c:pt>
              </c:numCache>
            </c:numRef>
          </c:val>
          <c:extLst>
            <c:ext xmlns:c16="http://schemas.microsoft.com/office/drawing/2014/chart" uri="{C3380CC4-5D6E-409C-BE32-E72D297353CC}">
              <c16:uniqueId val="{0000000D-43E9-4A4E-AE73-5C6F783F65CE}"/>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Project.xlsx]Sheet4!PivotTable2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Sheet4!$B$46:$B$47</c:f>
              <c:strCache>
                <c:ptCount val="1"/>
                <c:pt idx="0">
                  <c:v>Diabetes</c:v>
                </c:pt>
              </c:strCache>
            </c:strRef>
          </c:tx>
          <c:dPt>
            <c:idx val="0"/>
            <c:bubble3D val="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751B-4E30-B0EA-35AD8E975F0B}"/>
              </c:ext>
            </c:extLst>
          </c:dPt>
          <c:dPt>
            <c:idx val="1"/>
            <c:bubble3D val="0"/>
            <c:explosion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B6CC-425D-9CAE-24F9B7879851}"/>
              </c:ext>
            </c:extLst>
          </c:dPt>
          <c:dPt>
            <c:idx val="2"/>
            <c:bubble3D val="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751B-4E30-B0EA-35AD8E975F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Sheet4!$A$48:$A$51</c:f>
              <c:strCache>
                <c:ptCount val="3"/>
                <c:pt idx="0">
                  <c:v>Abnormal</c:v>
                </c:pt>
                <c:pt idx="1">
                  <c:v>Inconclusive</c:v>
                </c:pt>
                <c:pt idx="2">
                  <c:v>Normal</c:v>
                </c:pt>
              </c:strCache>
            </c:strRef>
          </c:cat>
          <c:val>
            <c:numRef>
              <c:f>Sheet4!$B$48:$B$51</c:f>
              <c:numCache>
                <c:formatCode>General</c:formatCode>
                <c:ptCount val="3"/>
                <c:pt idx="0">
                  <c:v>61</c:v>
                </c:pt>
                <c:pt idx="1">
                  <c:v>47</c:v>
                </c:pt>
                <c:pt idx="2">
                  <c:v>53</c:v>
                </c:pt>
              </c:numCache>
            </c:numRef>
          </c:val>
          <c:extLst>
            <c:ext xmlns:c16="http://schemas.microsoft.com/office/drawing/2014/chart" uri="{C3380CC4-5D6E-409C-BE32-E72D297353CC}">
              <c16:uniqueId val="{00000000-B6CC-425D-9CAE-24F9B7879851}"/>
            </c:ext>
          </c:extLst>
        </c:ser>
        <c:dLbls>
          <c:dLblPos val="inEnd"/>
          <c:showLegendKey val="0"/>
          <c:showVal val="0"/>
          <c:showCatName val="1"/>
          <c:showSerName val="0"/>
          <c:showPercent val="0"/>
          <c:showBubbleSize val="0"/>
          <c:showLeaderLines val="1"/>
        </c:dLbls>
      </c:pie3DChart>
      <c:spPr>
        <a:noFill/>
        <a:ln>
          <a:noFill/>
        </a:ln>
        <a:effectLst/>
      </c:spPr>
    </c:plotArea>
    <c:legend>
      <c:legendPos val="l"/>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Project.xlsx]Sheet4!PivotTable5</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Sheet4!$D$62</c:f>
              <c:strCache>
                <c:ptCount val="1"/>
                <c:pt idx="0">
                  <c:v>Max of Asthma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Sheet4!$D$63:$D$71</c:f>
              <c:numCache>
                <c:formatCode>General</c:formatCode>
                <c:ptCount val="8"/>
                <c:pt idx="0">
                  <c:v>24</c:v>
                </c:pt>
                <c:pt idx="1">
                  <c:v>25</c:v>
                </c:pt>
                <c:pt idx="2">
                  <c:v>17</c:v>
                </c:pt>
                <c:pt idx="3">
                  <c:v>18</c:v>
                </c:pt>
                <c:pt idx="4">
                  <c:v>22</c:v>
                </c:pt>
                <c:pt idx="5">
                  <c:v>23</c:v>
                </c:pt>
                <c:pt idx="6">
                  <c:v>19</c:v>
                </c:pt>
                <c:pt idx="7">
                  <c:v>26</c:v>
                </c:pt>
              </c:numCache>
            </c:numRef>
          </c:val>
          <c:smooth val="0"/>
          <c:extLst>
            <c:ext xmlns:c16="http://schemas.microsoft.com/office/drawing/2014/chart" uri="{C3380CC4-5D6E-409C-BE32-E72D297353CC}">
              <c16:uniqueId val="{00000000-1808-481F-8AD9-66381227233D}"/>
            </c:ext>
          </c:extLst>
        </c:ser>
        <c:ser>
          <c:idx val="1"/>
          <c:order val="1"/>
          <c:tx>
            <c:strRef>
              <c:f>Sheet4!$E$62</c:f>
              <c:strCache>
                <c:ptCount val="1"/>
                <c:pt idx="0">
                  <c:v>Max of Hypertension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Sheet4!$E$63:$E$71</c:f>
              <c:numCache>
                <c:formatCode>General</c:formatCode>
                <c:ptCount val="8"/>
                <c:pt idx="0">
                  <c:v>24</c:v>
                </c:pt>
                <c:pt idx="1">
                  <c:v>21</c:v>
                </c:pt>
                <c:pt idx="2">
                  <c:v>29</c:v>
                </c:pt>
                <c:pt idx="3">
                  <c:v>28</c:v>
                </c:pt>
                <c:pt idx="4">
                  <c:v>15</c:v>
                </c:pt>
                <c:pt idx="5">
                  <c:v>18</c:v>
                </c:pt>
                <c:pt idx="6">
                  <c:v>17</c:v>
                </c:pt>
                <c:pt idx="7">
                  <c:v>26</c:v>
                </c:pt>
              </c:numCache>
            </c:numRef>
          </c:val>
          <c:smooth val="0"/>
          <c:extLst>
            <c:ext xmlns:c16="http://schemas.microsoft.com/office/drawing/2014/chart" uri="{C3380CC4-5D6E-409C-BE32-E72D297353CC}">
              <c16:uniqueId val="{00000001-1808-481F-8AD9-66381227233D}"/>
            </c:ext>
          </c:extLst>
        </c:ser>
        <c:ser>
          <c:idx val="2"/>
          <c:order val="2"/>
          <c:tx>
            <c:strRef>
              <c:f>Sheet4!$F$62</c:f>
              <c:strCache>
                <c:ptCount val="1"/>
                <c:pt idx="0">
                  <c:v>Max of Diabetes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Sheet4!$F$63:$F$71</c:f>
              <c:numCache>
                <c:formatCode>General</c:formatCode>
                <c:ptCount val="8"/>
                <c:pt idx="0">
                  <c:v>13</c:v>
                </c:pt>
                <c:pt idx="1">
                  <c:v>23</c:v>
                </c:pt>
                <c:pt idx="2">
                  <c:v>30</c:v>
                </c:pt>
                <c:pt idx="3">
                  <c:v>21</c:v>
                </c:pt>
                <c:pt idx="4">
                  <c:v>19</c:v>
                </c:pt>
                <c:pt idx="5">
                  <c:v>20</c:v>
                </c:pt>
                <c:pt idx="6">
                  <c:v>19</c:v>
                </c:pt>
                <c:pt idx="7">
                  <c:v>16</c:v>
                </c:pt>
              </c:numCache>
            </c:numRef>
          </c:val>
          <c:smooth val="0"/>
          <c:extLst>
            <c:ext xmlns:c16="http://schemas.microsoft.com/office/drawing/2014/chart" uri="{C3380CC4-5D6E-409C-BE32-E72D297353CC}">
              <c16:uniqueId val="{00000002-1808-481F-8AD9-66381227233D}"/>
            </c:ext>
          </c:extLst>
        </c:ser>
        <c:ser>
          <c:idx val="3"/>
          <c:order val="3"/>
          <c:tx>
            <c:strRef>
              <c:f>Sheet4!$G$62</c:f>
              <c:strCache>
                <c:ptCount val="1"/>
                <c:pt idx="0">
                  <c:v>Min of Cancer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Sheet4!$G$63:$G$71</c:f>
              <c:numCache>
                <c:formatCode>General</c:formatCode>
                <c:ptCount val="8"/>
                <c:pt idx="0">
                  <c:v>26</c:v>
                </c:pt>
                <c:pt idx="1">
                  <c:v>16</c:v>
                </c:pt>
                <c:pt idx="2">
                  <c:v>17</c:v>
                </c:pt>
                <c:pt idx="3">
                  <c:v>24</c:v>
                </c:pt>
                <c:pt idx="4">
                  <c:v>31</c:v>
                </c:pt>
                <c:pt idx="5">
                  <c:v>16</c:v>
                </c:pt>
                <c:pt idx="6">
                  <c:v>24</c:v>
                </c:pt>
                <c:pt idx="7">
                  <c:v>17</c:v>
                </c:pt>
              </c:numCache>
            </c:numRef>
          </c:val>
          <c:smooth val="0"/>
          <c:extLst>
            <c:ext xmlns:c16="http://schemas.microsoft.com/office/drawing/2014/chart" uri="{C3380CC4-5D6E-409C-BE32-E72D297353CC}">
              <c16:uniqueId val="{00000003-1808-481F-8AD9-66381227233D}"/>
            </c:ext>
          </c:extLst>
        </c:ser>
        <c:ser>
          <c:idx val="4"/>
          <c:order val="4"/>
          <c:tx>
            <c:strRef>
              <c:f>Sheet4!$H$62</c:f>
              <c:strCache>
                <c:ptCount val="1"/>
                <c:pt idx="0">
                  <c:v>Min of Arthritis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Sheet4!$H$63:$H$71</c:f>
              <c:numCache>
                <c:formatCode>General</c:formatCode>
                <c:ptCount val="8"/>
                <c:pt idx="0">
                  <c:v>21</c:v>
                </c:pt>
                <c:pt idx="1">
                  <c:v>19</c:v>
                </c:pt>
                <c:pt idx="2">
                  <c:v>21</c:v>
                </c:pt>
                <c:pt idx="3">
                  <c:v>27</c:v>
                </c:pt>
                <c:pt idx="4">
                  <c:v>14</c:v>
                </c:pt>
                <c:pt idx="5">
                  <c:v>21</c:v>
                </c:pt>
                <c:pt idx="6">
                  <c:v>19</c:v>
                </c:pt>
                <c:pt idx="7">
                  <c:v>19</c:v>
                </c:pt>
              </c:numCache>
            </c:numRef>
          </c:val>
          <c:smooth val="0"/>
          <c:extLst>
            <c:ext xmlns:c16="http://schemas.microsoft.com/office/drawing/2014/chart" uri="{C3380CC4-5D6E-409C-BE32-E72D297353CC}">
              <c16:uniqueId val="{00000004-1808-481F-8AD9-66381227233D}"/>
            </c:ext>
          </c:extLst>
        </c:ser>
        <c:dLbls>
          <c:showLegendKey val="0"/>
          <c:showVal val="0"/>
          <c:showCatName val="0"/>
          <c:showSerName val="0"/>
          <c:showPercent val="0"/>
          <c:showBubbleSize val="0"/>
        </c:dLbls>
        <c:marker val="1"/>
        <c:smooth val="0"/>
        <c:axId val="759108440"/>
        <c:axId val="759108800"/>
      </c:lineChart>
      <c:catAx>
        <c:axId val="759108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08800"/>
        <c:crosses val="autoZero"/>
        <c:auto val="1"/>
        <c:lblAlgn val="ctr"/>
        <c:lblOffset val="100"/>
        <c:noMultiLvlLbl val="0"/>
      </c:catAx>
      <c:valAx>
        <c:axId val="759108800"/>
        <c:scaling>
          <c:orientation val="minMax"/>
          <c:max val="32"/>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08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Project.xlsx]Sheet3!PivotTable1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Max</a:t>
            </a:r>
            <a:r>
              <a:rPr lang="en-US" baseline="0"/>
              <a:t> Insurance claim by Patient</a:t>
            </a:r>
            <a:endParaRPr lang="en-US"/>
          </a:p>
        </c:rich>
      </c:tx>
      <c:layout>
        <c:manualLayout>
          <c:xMode val="edge"/>
          <c:yMode val="edge"/>
          <c:x val="0.1915067804024497"/>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666E-2"/>
              <c:y val="-0.134259259259259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109E-2"/>
              <c:y val="-0.1111111111111111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2.777777777777769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Sheet3!$B$17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E2-4EDD-BD9C-7ECAB65E5D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DE2-4EDD-BD9C-7ECAB65E5D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E2-4EDD-BD9C-7ECAB65E5DA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DE2-4EDD-BD9C-7ECAB65E5DA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DE2-4EDD-BD9C-7ECAB65E5DAA}"/>
              </c:ext>
            </c:extLst>
          </c:dPt>
          <c:dLbls>
            <c:dLbl>
              <c:idx val="0"/>
              <c:layout>
                <c:manualLayout>
                  <c:x val="6.1111111111111109E-2"/>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E2-4EDD-BD9C-7ECAB65E5DAA}"/>
                </c:ext>
              </c:extLst>
            </c:dLbl>
            <c:dLbl>
              <c:idx val="1"/>
              <c:layout>
                <c:manualLayout>
                  <c:x val="0.10833333333333334"/>
                  <c:y val="2.77777777777776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DE2-4EDD-BD9C-7ECAB65E5DAA}"/>
                </c:ext>
              </c:extLst>
            </c:dLbl>
            <c:dLbl>
              <c:idx val="2"/>
              <c:layout>
                <c:manualLayout>
                  <c:x val="-0.1111111111111111"/>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E2-4EDD-BD9C-7ECAB65E5DAA}"/>
                </c:ext>
              </c:extLst>
            </c:dLbl>
            <c:dLbl>
              <c:idx val="3"/>
              <c:layout>
                <c:manualLayout>
                  <c:x val="-0.11666666666666667"/>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DE2-4EDD-BD9C-7ECAB65E5DAA}"/>
                </c:ext>
              </c:extLst>
            </c:dLbl>
            <c:dLbl>
              <c:idx val="4"/>
              <c:layout>
                <c:manualLayout>
                  <c:x val="-6.6666666666666666E-2"/>
                  <c:y val="-0.13425925925925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DE2-4EDD-BD9C-7ECAB65E5DAA}"/>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Sheet3!$A$18:$A$22</c:f>
              <c:strCache>
                <c:ptCount val="5"/>
                <c:pt idx="0">
                  <c:v>Aetna</c:v>
                </c:pt>
                <c:pt idx="1">
                  <c:v>Blue Cross</c:v>
                </c:pt>
                <c:pt idx="2">
                  <c:v>Cigna</c:v>
                </c:pt>
                <c:pt idx="3">
                  <c:v>Medicare</c:v>
                </c:pt>
                <c:pt idx="4">
                  <c:v>UnitedHealthcare</c:v>
                </c:pt>
              </c:strCache>
            </c:strRef>
          </c:cat>
          <c:val>
            <c:numRef>
              <c:f>Sheet3!$B$18:$B$22</c:f>
              <c:numCache>
                <c:formatCode>General</c:formatCode>
                <c:ptCount val="5"/>
                <c:pt idx="0">
                  <c:v>190</c:v>
                </c:pt>
                <c:pt idx="1">
                  <c:v>203</c:v>
                </c:pt>
                <c:pt idx="2">
                  <c:v>234</c:v>
                </c:pt>
                <c:pt idx="3">
                  <c:v>193</c:v>
                </c:pt>
                <c:pt idx="4">
                  <c:v>179</c:v>
                </c:pt>
              </c:numCache>
            </c:numRef>
          </c:val>
          <c:extLst>
            <c:ext xmlns:c16="http://schemas.microsoft.com/office/drawing/2014/chart" uri="{C3380CC4-5D6E-409C-BE32-E72D297353CC}">
              <c16:uniqueId val="{00000000-0DE2-4EDD-BD9C-7ECAB65E5DA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_xlchart.v1.11</cx:f>
      </cx:strDim>
      <cx:numDim type="val">
        <cx:f dir="row">_xlchart.v1.12</cx:f>
      </cx:numDim>
    </cx:data>
    <cx:data id="1">
      <cx:strDim type="cat">
        <cx:f dir="row">_xlchart.v1.11</cx:f>
      </cx:strDim>
      <cx:numDim type="val">
        <cx:f dir="row">_xlchart.v1.13</cx:f>
      </cx:numDim>
    </cx:data>
    <cx:data id="2">
      <cx:strDim type="cat">
        <cx:f dir="row">_xlchart.v1.11</cx:f>
      </cx:strDim>
      <cx:numDim type="val">
        <cx:f dir="row">_xlchart.v1.14</cx:f>
      </cx:numDim>
    </cx:data>
    <cx:data id="3">
      <cx:strDim type="cat">
        <cx:f dir="row">_xlchart.v1.11</cx:f>
      </cx:strDim>
      <cx:numDim type="val">
        <cx:f dir="row">_xlchart.v1.15</cx:f>
      </cx:numDim>
    </cx:data>
    <cx:data id="4">
      <cx:strDim type="cat">
        <cx:f dir="row">_xlchart.v1.11</cx:f>
      </cx:strDim>
      <cx:numDim type="val">
        <cx:f dir="row">_xlchart.v1.16</cx:f>
      </cx:numDim>
    </cx:data>
    <cx:data id="5">
      <cx:strDim type="cat">
        <cx:f dir="row">_xlchart.v1.11</cx:f>
      </cx:strDim>
      <cx:numDim type="val">
        <cx:f dir="row">_xlchart.v1.17</cx:f>
      </cx:numDim>
    </cx:data>
    <cx:data id="6">
      <cx:numDim type="val">
        <cx:f dir="row">_xlchart.v1.1</cx:f>
      </cx:numDim>
    </cx:data>
    <cx:data id="7">
      <cx:numDim type="val">
        <cx:f dir="row">_xlchart.v1.2</cx:f>
      </cx:numDim>
    </cx:data>
    <cx:data id="8">
      <cx:numDim type="val">
        <cx:f dir="row">_xlchart.v1.3</cx:f>
      </cx:numDim>
    </cx:data>
  </cx:chartData>
  <cx:chart>
    <cx:title pos="t" align="ctr" overlay="0">
      <cx:tx>
        <cx:txData>
          <cx:v>Max-Min med_cond based on blood group</cx:v>
        </cx:txData>
      </cx:tx>
      <cx:txPr>
        <a:bodyPr rot="0" spcFirstLastPara="1" vertOverflow="ellipsis" vert="horz" wrap="square" lIns="38100" tIns="19050" rIns="38100" bIns="19050" anchor="ctr" anchorCtr="1" compatLnSpc="0"/>
        <a:lstStyle/>
        <a:p>
          <a:pPr algn="ctr" rtl="0">
            <a:defRPr sz="1600" b="1" i="0" u="none" strike="noStrike" kern="1200" baseline="0">
              <a:solidFill>
                <a:sysClr val="windowText" lastClr="000000">
                  <a:lumMod val="65000"/>
                  <a:lumOff val="35000"/>
                </a:sysClr>
              </a:solidFill>
              <a:latin typeface="+mn-lt"/>
              <a:ea typeface="+mn-ea"/>
              <a:cs typeface="+mn-cs"/>
            </a:defRPr>
          </a:pPr>
          <a:r>
            <a:rPr kumimoji="0" lang="en-US" sz="1600" b="1"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Max-Min med_cond based on blood group</a:t>
          </a:r>
        </a:p>
      </cx:txPr>
    </cx:title>
    <cx:plotArea>
      <cx:plotAreaRegion>
        <cx:series layoutId="boxWhisker" uniqueId="{EA85C49B-5925-3D48-899E-7152F730DBFF}">
          <cx:tx>
            <cx:txData>
              <cx:f>_xlchart.v1.5</cx:f>
              <cx:v>Arthritis</cx:v>
            </cx:txData>
          </cx:tx>
          <cx:dataId val="0"/>
          <cx:layoutPr>
            <cx:statistics quartileMethod="exclusive"/>
          </cx:layoutPr>
        </cx:series>
        <cx:series layoutId="boxWhisker" uniqueId="{D7B83691-65ED-9D4B-8D3B-D7F3C4DF5CE2}">
          <cx:tx>
            <cx:txData>
              <cx:f>_xlchart.v1.6</cx:f>
              <cx:v>Asthma</cx:v>
            </cx:txData>
          </cx:tx>
          <cx:dataId val="1"/>
          <cx:layoutPr>
            <cx:statistics quartileMethod="exclusive"/>
          </cx:layoutPr>
        </cx:series>
        <cx:series layoutId="boxWhisker" uniqueId="{EDA9653A-0180-AC46-B649-09B46EAE3724}">
          <cx:tx>
            <cx:txData>
              <cx:f>_xlchart.v1.7</cx:f>
              <cx:v>Cancer</cx:v>
            </cx:txData>
          </cx:tx>
          <cx:dataId val="2"/>
          <cx:layoutPr>
            <cx:statistics quartileMethod="exclusive"/>
          </cx:layoutPr>
        </cx:series>
        <cx:series layoutId="boxWhisker" uniqueId="{F7CF5EFC-BA8D-5847-9F17-D2012CA7D160}">
          <cx:tx>
            <cx:txData>
              <cx:f>_xlchart.v1.8</cx:f>
              <cx:v>Diabetes</cx:v>
            </cx:txData>
          </cx:tx>
          <cx:dataId val="3"/>
          <cx:layoutPr>
            <cx:statistics quartileMethod="exclusive"/>
          </cx:layoutPr>
        </cx:series>
        <cx:series layoutId="boxWhisker" uniqueId="{A60E3A9C-5D14-9D45-AC42-AE5214F7669E}">
          <cx:tx>
            <cx:txData>
              <cx:f>_xlchart.v1.9</cx:f>
              <cx:v>Hypertension</cx:v>
            </cx:txData>
          </cx:tx>
          <cx:dataId val="4"/>
          <cx:layoutPr>
            <cx:statistics quartileMethod="exclusive"/>
          </cx:layoutPr>
        </cx:series>
        <cx:series layoutId="boxWhisker" uniqueId="{30099CD2-86BA-8044-A542-A8E834DA47F0}">
          <cx:tx>
            <cx:txData>
              <cx:f>_xlchart.v1.10</cx:f>
              <cx:v>Obesity</cx:v>
            </cx:txData>
          </cx:tx>
          <cx:dataId val="5"/>
          <cx:layoutPr>
            <cx:statistics quartileMethod="exclusive"/>
          </cx:layoutPr>
        </cx:series>
        <cx:series layoutId="boxWhisker" uniqueId="{EBA55C45-D40C-2D4B-823D-45B8218E2FBE}">
          <cx:tx>
            <cx:txData>
              <cx:f>_xlchart.v1.0</cx:f>
              <cx:v>max</cx:v>
            </cx:txData>
          </cx:tx>
          <cx:dataId val="6"/>
          <cx:layoutPr>
            <cx:statistics quartileMethod="exclusive"/>
          </cx:layoutPr>
        </cx:series>
        <cx:series layoutId="boxWhisker" uniqueId="{59C93374-06AA-F94E-B1EE-E01620A2F885}">
          <cx:tx>
            <cx:txData>
              <cx:f>_xlchart.v1.0</cx:f>
              <cx:v>max</cx:v>
            </cx:txData>
          </cx:tx>
          <cx:dataId val="7"/>
          <cx:layoutPr>
            <cx:statistics quartileMethod="exclusive"/>
          </cx:layoutPr>
        </cx:series>
        <cx:series layoutId="boxWhisker" uniqueId="{ABB6E23F-4950-F746-916F-529F72030BEB}">
          <cx:tx>
            <cx:txData>
              <cx:f>_xlchart.v1.4</cx:f>
              <cx:v>min</cx:v>
            </cx:txData>
          </cx:tx>
          <cx:dataId val="8"/>
          <cx:layoutPr>
            <cx:statistics quartileMethod="exclusive"/>
          </cx:layoutPr>
        </cx:series>
      </cx:plotAreaRegion>
      <cx:axis id="0">
        <cx:catScaling/>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_xlchart.v1.24</cx:f>
      </cx:strDim>
      <cx:numDim type="size">
        <cx:f dir="row">_xlchart.v1.25</cx:f>
      </cx:numDim>
    </cx:data>
    <cx:data id="1">
      <cx:strDim type="cat">
        <cx:f dir="row">_xlchart.v1.24</cx:f>
      </cx:strDim>
      <cx:numDim type="size">
        <cx:f dir="row">_xlchart.v1.26</cx:f>
      </cx:numDim>
    </cx:data>
    <cx:data id="2">
      <cx:strDim type="cat">
        <cx:f dir="row">_xlchart.v1.24</cx:f>
      </cx:strDim>
      <cx:numDim type="size">
        <cx:f dir="row">_xlchart.v1.27</cx:f>
      </cx:numDim>
    </cx:data>
    <cx:data id="3">
      <cx:strDim type="cat">
        <cx:f dir="row">_xlchart.v1.24</cx:f>
      </cx:strDim>
      <cx:numDim type="size">
        <cx:f dir="row">_xlchart.v1.28</cx:f>
      </cx:numDim>
    </cx:data>
    <cx:data id="4">
      <cx:strDim type="cat">
        <cx:f dir="row">_xlchart.v1.24</cx:f>
      </cx:strDim>
      <cx:numDim type="size">
        <cx:f dir="row">_xlchart.v1.29</cx:f>
      </cx:numDim>
    </cx:data>
    <cx:data id="5">
      <cx:strDim type="cat">
        <cx:f dir="row">_xlchart.v1.24</cx:f>
      </cx:strDim>
      <cx:numDim type="size">
        <cx:f dir="row">_xlchart.v1.30</cx:f>
      </cx:numDim>
    </cx:data>
  </cx:chartData>
  <cx:chart>
    <cx:title pos="t" align="ctr" overlay="0">
      <cx:tx>
        <cx:txData>
          <cx:v>Max fall on 2021</cx:v>
        </cx:txData>
      </cx:tx>
      <cx:txPr>
        <a:bodyPr spcFirstLastPara="1" vertOverflow="ellipsis" horzOverflow="overflow" wrap="square" lIns="0" tIns="0" rIns="0" bIns="0" anchor="ctr" anchorCtr="1"/>
        <a:lstStyle/>
        <a:p>
          <a:pPr algn="ctr" rtl="0">
            <a:defRPr/>
          </a:pPr>
          <a:r>
            <a:rPr lang="en-US" sz="1600" b="1" i="0" u="none" strike="noStrike" cap="all" baseline="0">
              <a:solidFill>
                <a:sysClr val="windowText" lastClr="000000">
                  <a:lumMod val="65000"/>
                  <a:lumOff val="35000"/>
                </a:sysClr>
              </a:solidFill>
              <a:latin typeface="Aptos Narrow" panose="02110004020202020204"/>
            </a:rPr>
            <a:t>Max fall on 2021</a:t>
          </a:r>
        </a:p>
      </cx:txPr>
    </cx:title>
    <cx:plotArea>
      <cx:plotAreaRegion>
        <cx:series layoutId="treemap" uniqueId="{31230688-1CCF-47DF-8924-4AE7899EFF6C}" formatIdx="0">
          <cx:tx>
            <cx:txData>
              <cx:f>_xlchart.v1.18</cx:f>
              <cx:v>2021</cx:v>
            </cx:txData>
          </cx:tx>
          <cx:dataLabels pos="ctr">
            <cx:visibility seriesName="1" categoryName="1" value="1"/>
            <cx:separator> </cx:separator>
          </cx:dataLabels>
          <cx:dataId val="0"/>
          <cx:layoutPr>
            <cx:parentLabelLayout val="overlapping"/>
          </cx:layoutPr>
        </cx:series>
        <cx:series layoutId="treemap" hidden="1" uniqueId="{2D0F2DC2-FFB0-407B-B2E4-D894FFEAF7D0}" formatIdx="1">
          <cx:tx>
            <cx:txData>
              <cx:f>_xlchart.v1.19</cx:f>
              <cx:v>2019</cx:v>
            </cx:txData>
          </cx:tx>
          <cx:dataLabels pos="ctr">
            <cx:visibility seriesName="0" categoryName="1" value="0"/>
          </cx:dataLabels>
          <cx:dataId val="1"/>
          <cx:layoutPr>
            <cx:parentLabelLayout val="overlapping"/>
          </cx:layoutPr>
        </cx:series>
        <cx:series layoutId="treemap" hidden="1" uniqueId="{FE46A5AD-9667-4296-8B1C-6EB6D03825BE}" formatIdx="2">
          <cx:tx>
            <cx:txData>
              <cx:f>_xlchart.v1.20</cx:f>
              <cx:v>2020</cx:v>
            </cx:txData>
          </cx:tx>
          <cx:dataLabels pos="ctr">
            <cx:visibility seriesName="0" categoryName="1" value="0"/>
          </cx:dataLabels>
          <cx:dataId val="2"/>
          <cx:layoutPr>
            <cx:parentLabelLayout val="overlapping"/>
          </cx:layoutPr>
        </cx:series>
        <cx:series layoutId="treemap" hidden="1" uniqueId="{60BD6420-2B7D-4694-A3E6-47D8A247DB15}" formatIdx="3">
          <cx:tx>
            <cx:txData>
              <cx:f>_xlchart.v1.21</cx:f>
              <cx:v>2018</cx:v>
            </cx:txData>
          </cx:tx>
          <cx:dataLabels pos="ctr">
            <cx:visibility seriesName="0" categoryName="1" value="0"/>
          </cx:dataLabels>
          <cx:dataId val="3"/>
          <cx:layoutPr>
            <cx:parentLabelLayout val="overlapping"/>
          </cx:layoutPr>
        </cx:series>
        <cx:series layoutId="treemap" hidden="1" uniqueId="{3EEA5B84-A473-4E01-999F-224123FBB02C}" formatIdx="4">
          <cx:tx>
            <cx:txData>
              <cx:f>_xlchart.v1.22</cx:f>
              <cx:v>2022</cx:v>
            </cx:txData>
          </cx:tx>
          <cx:dataLabels pos="ctr">
            <cx:visibility seriesName="0" categoryName="1" value="0"/>
          </cx:dataLabels>
          <cx:dataId val="4"/>
          <cx:layoutPr>
            <cx:parentLabelLayout val="overlapping"/>
          </cx:layoutPr>
        </cx:series>
        <cx:series layoutId="treemap" hidden="1" uniqueId="{76460803-06D4-4911-A0F9-09338E5413C3}" formatIdx="5">
          <cx:tx>
            <cx:txData>
              <cx:f>_xlchart.v1.23</cx:f>
              <cx:v>2023</cx:v>
            </cx:txData>
          </cx:tx>
          <cx:dataLabels pos="ctr">
            <cx:visibility seriesName="0" categoryName="1" value="0"/>
          </cx:dataLabels>
          <cx:dataId val="5"/>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13</xdr:col>
      <xdr:colOff>594759</xdr:colOff>
      <xdr:row>14</xdr:row>
      <xdr:rowOff>182511</xdr:rowOff>
    </xdr:from>
    <xdr:to>
      <xdr:col>17</xdr:col>
      <xdr:colOff>585627</xdr:colOff>
      <xdr:row>25</xdr:row>
      <xdr:rowOff>76200</xdr:rowOff>
    </xdr:to>
    <mc:AlternateContent xmlns:mc="http://schemas.openxmlformats.org/markup-compatibility/2006" xmlns:a14="http://schemas.microsoft.com/office/drawing/2010/main">
      <mc:Choice Requires="a14">
        <xdr:graphicFrame macro="">
          <xdr:nvGraphicFramePr>
            <xdr:cNvPr id="21" name="Medical Condition 1">
              <a:extLst>
                <a:ext uri="{FF2B5EF4-FFF2-40B4-BE49-F238E27FC236}">
                  <a16:creationId xmlns:a16="http://schemas.microsoft.com/office/drawing/2014/main" id="{938FFB01-FEB8-D350-FC8D-9CEC869590C3}"/>
                </a:ext>
              </a:extLst>
            </xdr:cNvPr>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mlns="">
        <xdr:sp macro="" textlink="">
          <xdr:nvSpPr>
            <xdr:cNvPr id="0" name=""/>
            <xdr:cNvSpPr>
              <a:spLocks noTextEdit="1"/>
            </xdr:cNvSpPr>
          </xdr:nvSpPr>
          <xdr:spPr>
            <a:xfrm>
              <a:off x="8697359" y="2849511"/>
              <a:ext cx="2784868" cy="19891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0</xdr:row>
      <xdr:rowOff>50800</xdr:rowOff>
    </xdr:from>
    <xdr:to>
      <xdr:col>26</xdr:col>
      <xdr:colOff>330200</xdr:colOff>
      <xdr:row>6</xdr:row>
      <xdr:rowOff>12700</xdr:rowOff>
    </xdr:to>
    <xdr:sp macro="" textlink="">
      <xdr:nvSpPr>
        <xdr:cNvPr id="3" name="Rectangle: Folded Corner 2">
          <a:extLst>
            <a:ext uri="{FF2B5EF4-FFF2-40B4-BE49-F238E27FC236}">
              <a16:creationId xmlns:a16="http://schemas.microsoft.com/office/drawing/2014/main" id="{BCA4B331-2C6C-FDA0-4E34-6AB43770890D}"/>
            </a:ext>
          </a:extLst>
        </xdr:cNvPr>
        <xdr:cNvSpPr/>
      </xdr:nvSpPr>
      <xdr:spPr>
        <a:xfrm>
          <a:off x="12700" y="50800"/>
          <a:ext cx="17640300" cy="1104900"/>
        </a:xfrm>
        <a:prstGeom prst="foldedCorner">
          <a:avLst/>
        </a:prstGeom>
        <a:solidFill>
          <a:schemeClr val="tx2">
            <a:lumMod val="75000"/>
            <a:lumOff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b="0" cap="none" spc="0" baseline="0">
              <a:ln w="0"/>
              <a:solidFill>
                <a:schemeClr val="tx2">
                  <a:lumMod val="10000"/>
                  <a:lumOff val="90000"/>
                </a:schemeClr>
              </a:solidFill>
              <a:effectLst/>
              <a:latin typeface="ACADEMY ENGRAVED LET PLAIN:1.0" panose="02000000000000000000" pitchFamily="2" charset="0"/>
            </a:rPr>
            <a:t>HealthCare Analysis on Medical Condition</a:t>
          </a:r>
        </a:p>
      </xdr:txBody>
    </xdr:sp>
    <xdr:clientData/>
  </xdr:twoCellAnchor>
  <xdr:twoCellAnchor>
    <xdr:from>
      <xdr:col>0</xdr:col>
      <xdr:colOff>0</xdr:colOff>
      <xdr:row>0</xdr:row>
      <xdr:rowOff>0</xdr:rowOff>
    </xdr:from>
    <xdr:to>
      <xdr:col>1</xdr:col>
      <xdr:colOff>596900</xdr:colOff>
      <xdr:row>5</xdr:row>
      <xdr:rowOff>127000</xdr:rowOff>
    </xdr:to>
    <xdr:sp macro="" textlink="">
      <xdr:nvSpPr>
        <xdr:cNvPr id="12" name="Plus Sign 11">
          <a:extLst>
            <a:ext uri="{FF2B5EF4-FFF2-40B4-BE49-F238E27FC236}">
              <a16:creationId xmlns:a16="http://schemas.microsoft.com/office/drawing/2014/main" id="{2DD56C0C-8E42-D503-8350-1AD4F8E3FBDE}"/>
            </a:ext>
          </a:extLst>
        </xdr:cNvPr>
        <xdr:cNvSpPr/>
      </xdr:nvSpPr>
      <xdr:spPr>
        <a:xfrm>
          <a:off x="0" y="0"/>
          <a:ext cx="1257300" cy="1079500"/>
        </a:xfrm>
        <a:prstGeom prst="mathPlus">
          <a:avLst/>
        </a:prstGeom>
        <a:solidFill>
          <a:srgbClr val="C00000"/>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614024</xdr:colOff>
      <xdr:row>40</xdr:row>
      <xdr:rowOff>25400</xdr:rowOff>
    </xdr:from>
    <xdr:to>
      <xdr:col>17</xdr:col>
      <xdr:colOff>578921</xdr:colOff>
      <xdr:row>47</xdr:row>
      <xdr:rowOff>88900</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5DA41BAB-71FF-8DE5-A1FF-5964382F28B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716624" y="7645400"/>
              <a:ext cx="2758897" cy="139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613597</xdr:colOff>
      <xdr:row>26</xdr:row>
      <xdr:rowOff>144625</xdr:rowOff>
    </xdr:from>
    <xdr:to>
      <xdr:col>17</xdr:col>
      <xdr:colOff>625298</xdr:colOff>
      <xdr:row>38</xdr:row>
      <xdr:rowOff>88900</xdr:rowOff>
    </xdr:to>
    <mc:AlternateContent xmlns:mc="http://schemas.openxmlformats.org/markup-compatibility/2006" xmlns:a14="http://schemas.microsoft.com/office/drawing/2010/main">
      <mc:Choice Requires="a14">
        <xdr:graphicFrame macro="">
          <xdr:nvGraphicFramePr>
            <xdr:cNvPr id="19" name="Age Category">
              <a:extLst>
                <a:ext uri="{FF2B5EF4-FFF2-40B4-BE49-F238E27FC236}">
                  <a16:creationId xmlns:a16="http://schemas.microsoft.com/office/drawing/2014/main" id="{240C3907-09CF-6725-9E5E-373123A3AE53}"/>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8716197" y="5097625"/>
              <a:ext cx="2805701" cy="2230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749300</xdr:colOff>
      <xdr:row>20</xdr:row>
      <xdr:rowOff>25401</xdr:rowOff>
    </xdr:from>
    <xdr:to>
      <xdr:col>25</xdr:col>
      <xdr:colOff>647701</xdr:colOff>
      <xdr:row>32</xdr:row>
      <xdr:rowOff>88901</xdr:rowOff>
    </xdr:to>
    <xdr:graphicFrame macro="">
      <xdr:nvGraphicFramePr>
        <xdr:cNvPr id="13" name="Chart 12">
          <a:extLst>
            <a:ext uri="{FF2B5EF4-FFF2-40B4-BE49-F238E27FC236}">
              <a16:creationId xmlns:a16="http://schemas.microsoft.com/office/drawing/2014/main" id="{0DB3B87C-5ECE-4A24-AE7A-853551EB0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6</xdr:row>
      <xdr:rowOff>76201</xdr:rowOff>
    </xdr:from>
    <xdr:to>
      <xdr:col>13</xdr:col>
      <xdr:colOff>406400</xdr:colOff>
      <xdr:row>26</xdr:row>
      <xdr:rowOff>101600</xdr:rowOff>
    </xdr:to>
    <xdr:graphicFrame macro="">
      <xdr:nvGraphicFramePr>
        <xdr:cNvPr id="14" name="Chart 13">
          <a:extLst>
            <a:ext uri="{FF2B5EF4-FFF2-40B4-BE49-F238E27FC236}">
              <a16:creationId xmlns:a16="http://schemas.microsoft.com/office/drawing/2014/main" id="{E0374C5E-A7F2-4F62-A39B-C0F144F45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572357</xdr:colOff>
      <xdr:row>6</xdr:row>
      <xdr:rowOff>96747</xdr:rowOff>
    </xdr:from>
    <xdr:to>
      <xdr:col>17</xdr:col>
      <xdr:colOff>598327</xdr:colOff>
      <xdr:row>14</xdr:row>
      <xdr:rowOff>53937</xdr:rowOff>
    </xdr:to>
    <mc:AlternateContent xmlns:mc="http://schemas.openxmlformats.org/markup-compatibility/2006" xmlns:a14="http://schemas.microsoft.com/office/drawing/2010/main">
      <mc:Choice Requires="a14">
        <xdr:graphicFrame macro="">
          <xdr:nvGraphicFramePr>
            <xdr:cNvPr id="16" name="Admission Type">
              <a:extLst>
                <a:ext uri="{FF2B5EF4-FFF2-40B4-BE49-F238E27FC236}">
                  <a16:creationId xmlns:a16="http://schemas.microsoft.com/office/drawing/2014/main" id="{C20863CD-E615-B2D7-C53A-BAB0DB7E3FB5}"/>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8674957" y="1239747"/>
              <a:ext cx="2819970" cy="14811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812801</xdr:colOff>
      <xdr:row>6</xdr:row>
      <xdr:rowOff>103313</xdr:rowOff>
    </xdr:from>
    <xdr:to>
      <xdr:col>20</xdr:col>
      <xdr:colOff>468923</xdr:colOff>
      <xdr:row>12</xdr:row>
      <xdr:rowOff>156308</xdr:rowOff>
    </xdr:to>
    <xdr:sp macro="" textlink="">
      <xdr:nvSpPr>
        <xdr:cNvPr id="23" name="Rectangle: Diagonal Corners Rounded 22">
          <a:extLst>
            <a:ext uri="{FF2B5EF4-FFF2-40B4-BE49-F238E27FC236}">
              <a16:creationId xmlns:a16="http://schemas.microsoft.com/office/drawing/2014/main" id="{8807FB59-9CEE-5A81-C825-2FF1E31E4F2F}"/>
            </a:ext>
          </a:extLst>
        </xdr:cNvPr>
        <xdr:cNvSpPr/>
      </xdr:nvSpPr>
      <xdr:spPr>
        <a:xfrm>
          <a:off x="10796955" y="1217005"/>
          <a:ext cx="2039814" cy="1166688"/>
        </a:xfrm>
        <a:prstGeom prst="round2Diag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0" baseline="0">
              <a:solidFill>
                <a:schemeClr val="tx1"/>
              </a:solidFill>
              <a:effectLst>
                <a:outerShdw blurRad="38100" dist="19050" dir="2700000" algn="tl" rotWithShape="0">
                  <a:schemeClr val="dk1">
                    <a:alpha val="40000"/>
                  </a:schemeClr>
                </a:outerShdw>
              </a:effectLst>
              <a:latin typeface="+mn-lt"/>
              <a:ea typeface="+mn-ea"/>
              <a:cs typeface="+mn-cs"/>
            </a:rPr>
            <a:t>Total Medical Codition</a:t>
          </a:r>
          <a:endParaRPr lang="en-US" sz="1800">
            <a:solidFill>
              <a:schemeClr val="tx1"/>
            </a:solidFill>
            <a:effectLst/>
          </a:endParaRPr>
        </a:p>
        <a:p>
          <a:pPr algn="l"/>
          <a:r>
            <a:rPr lang="en-US" sz="2800" b="1">
              <a:solidFill>
                <a:schemeClr val="tx1"/>
              </a:solidFill>
              <a:latin typeface="Aharoni" panose="020F0502020204030204" pitchFamily="34" charset="0"/>
              <a:cs typeface="Aharoni" panose="020F0502020204030204" pitchFamily="34" charset="0"/>
            </a:rPr>
            <a:t>   </a:t>
          </a:r>
          <a:r>
            <a:rPr lang="en-US" sz="2800" b="1">
              <a:solidFill>
                <a:schemeClr val="tx2">
                  <a:lumMod val="90000"/>
                  <a:lumOff val="10000"/>
                </a:schemeClr>
              </a:solidFill>
              <a:latin typeface="Aharoni" panose="020F0502020204030204" pitchFamily="34" charset="0"/>
              <a:cs typeface="Aharoni" panose="020F0502020204030204" pitchFamily="34" charset="0"/>
            </a:rPr>
            <a:t> 6</a:t>
          </a:r>
        </a:p>
      </xdr:txBody>
    </xdr:sp>
    <xdr:clientData/>
  </xdr:twoCellAnchor>
  <xdr:twoCellAnchor>
    <xdr:from>
      <xdr:col>17</xdr:col>
      <xdr:colOff>787401</xdr:colOff>
      <xdr:row>13</xdr:row>
      <xdr:rowOff>101600</xdr:rowOff>
    </xdr:from>
    <xdr:to>
      <xdr:col>20</xdr:col>
      <xdr:colOff>482600</xdr:colOff>
      <xdr:row>19</xdr:row>
      <xdr:rowOff>0</xdr:rowOff>
    </xdr:to>
    <xdr:sp macro="" textlink="">
      <xdr:nvSpPr>
        <xdr:cNvPr id="26" name="Rectangle: Diagonal Corners Rounded 25">
          <a:extLst>
            <a:ext uri="{FF2B5EF4-FFF2-40B4-BE49-F238E27FC236}">
              <a16:creationId xmlns:a16="http://schemas.microsoft.com/office/drawing/2014/main" id="{449AEFD3-7421-470C-828F-E1FDFCB94521}"/>
            </a:ext>
          </a:extLst>
        </xdr:cNvPr>
        <xdr:cNvSpPr/>
      </xdr:nvSpPr>
      <xdr:spPr>
        <a:xfrm>
          <a:off x="11684001" y="2578100"/>
          <a:ext cx="2298699" cy="1041400"/>
        </a:xfrm>
        <a:prstGeom prst="round2Diag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0" baseline="0">
              <a:solidFill>
                <a:schemeClr val="tx1"/>
              </a:solidFill>
              <a:effectLst>
                <a:outerShdw blurRad="38100" dist="19050" dir="2700000" algn="tl" rotWithShape="0">
                  <a:schemeClr val="dk1">
                    <a:alpha val="40000"/>
                  </a:schemeClr>
                </a:outerShdw>
              </a:effectLst>
              <a:latin typeface="+mn-lt"/>
              <a:ea typeface="+mn-ea"/>
              <a:cs typeface="+mn-cs"/>
            </a:rPr>
            <a:t>Total Patient</a:t>
          </a:r>
          <a:endParaRPr lang="en-US" sz="2000">
            <a:solidFill>
              <a:schemeClr val="tx1"/>
            </a:solidFill>
            <a:effectLst/>
          </a:endParaRPr>
        </a:p>
        <a:p>
          <a:pPr algn="l"/>
          <a:r>
            <a:rPr lang="en-US" sz="1100"/>
            <a:t>    </a:t>
          </a:r>
          <a:r>
            <a:rPr lang="en-US" sz="1100" b="1"/>
            <a:t>     </a:t>
          </a:r>
          <a:r>
            <a:rPr lang="en-US" sz="2000" b="1">
              <a:solidFill>
                <a:schemeClr val="tx2">
                  <a:lumMod val="90000"/>
                  <a:lumOff val="10000"/>
                </a:schemeClr>
              </a:solidFill>
            </a:rPr>
            <a:t>999</a:t>
          </a:r>
          <a:endParaRPr lang="en-US" sz="1100" b="1">
            <a:solidFill>
              <a:schemeClr val="tx2">
                <a:lumMod val="90000"/>
                <a:lumOff val="10000"/>
              </a:schemeClr>
            </a:solidFill>
          </a:endParaRPr>
        </a:p>
      </xdr:txBody>
    </xdr:sp>
    <xdr:clientData/>
  </xdr:twoCellAnchor>
  <xdr:twoCellAnchor>
    <xdr:from>
      <xdr:col>20</xdr:col>
      <xdr:colOff>609600</xdr:colOff>
      <xdr:row>6</xdr:row>
      <xdr:rowOff>76200</xdr:rowOff>
    </xdr:from>
    <xdr:to>
      <xdr:col>25</xdr:col>
      <xdr:colOff>673100</xdr:colOff>
      <xdr:row>19</xdr:row>
      <xdr:rowOff>152400</xdr:rowOff>
    </xdr:to>
    <xdr:graphicFrame macro="">
      <xdr:nvGraphicFramePr>
        <xdr:cNvPr id="29" name="Chart 28">
          <a:extLst>
            <a:ext uri="{FF2B5EF4-FFF2-40B4-BE49-F238E27FC236}">
              <a16:creationId xmlns:a16="http://schemas.microsoft.com/office/drawing/2014/main" id="{944E6CD4-A60F-5146-9392-B401DC2E4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29307</xdr:colOff>
      <xdr:row>26</xdr:row>
      <xdr:rowOff>175847</xdr:rowOff>
    </xdr:from>
    <xdr:to>
      <xdr:col>6</xdr:col>
      <xdr:colOff>387348</xdr:colOff>
      <xdr:row>47</xdr:row>
      <xdr:rowOff>53732</xdr:rowOff>
    </xdr:to>
    <xdr:graphicFrame macro="">
      <xdr:nvGraphicFramePr>
        <xdr:cNvPr id="2" name="Chart 1">
          <a:extLst>
            <a:ext uri="{FF2B5EF4-FFF2-40B4-BE49-F238E27FC236}">
              <a16:creationId xmlns:a16="http://schemas.microsoft.com/office/drawing/2014/main" id="{C4F19567-3B27-6446-A0BA-05754DCB4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495300</xdr:colOff>
      <xdr:row>27</xdr:row>
      <xdr:rowOff>12700</xdr:rowOff>
    </xdr:from>
    <xdr:to>
      <xdr:col>13</xdr:col>
      <xdr:colOff>406400</xdr:colOff>
      <xdr:row>47</xdr:row>
      <xdr:rowOff>49432</xdr:rowOff>
    </xdr:to>
    <xdr:graphicFrame macro="">
      <xdr:nvGraphicFramePr>
        <xdr:cNvPr id="4" name="Chart 3">
          <a:extLst>
            <a:ext uri="{FF2B5EF4-FFF2-40B4-BE49-F238E27FC236}">
              <a16:creationId xmlns:a16="http://schemas.microsoft.com/office/drawing/2014/main" id="{FDB4E98D-B723-B145-B6B8-8328442FF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749300</xdr:colOff>
      <xdr:row>33</xdr:row>
      <xdr:rowOff>0</xdr:rowOff>
    </xdr:from>
    <xdr:to>
      <xdr:col>25</xdr:col>
      <xdr:colOff>647700</xdr:colOff>
      <xdr:row>47</xdr:row>
      <xdr:rowOff>63500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3E84410-5884-EB48-814F-56D2B6AA7C71}"/>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706100" y="6076950"/>
              <a:ext cx="5448300" cy="2641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298450</xdr:colOff>
      <xdr:row>15</xdr:row>
      <xdr:rowOff>82550</xdr:rowOff>
    </xdr:from>
    <xdr:to>
      <xdr:col>14</xdr:col>
      <xdr:colOff>603250</xdr:colOff>
      <xdr:row>30</xdr:row>
      <xdr:rowOff>63500</xdr:rowOff>
    </xdr:to>
    <xdr:graphicFrame macro="">
      <xdr:nvGraphicFramePr>
        <xdr:cNvPr id="7" name="Chart 6">
          <a:extLst>
            <a:ext uri="{FF2B5EF4-FFF2-40B4-BE49-F238E27FC236}">
              <a16:creationId xmlns:a16="http://schemas.microsoft.com/office/drawing/2014/main" id="{A29EB543-F679-4EBC-A695-F31FCD57D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25400</xdr:colOff>
      <xdr:row>10</xdr:row>
      <xdr:rowOff>50800</xdr:rowOff>
    </xdr:from>
    <xdr:to>
      <xdr:col>13</xdr:col>
      <xdr:colOff>25400</xdr:colOff>
      <xdr:row>25</xdr:row>
      <xdr:rowOff>31750</xdr:rowOff>
    </xdr:to>
    <xdr:graphicFrame macro="">
      <xdr:nvGraphicFramePr>
        <xdr:cNvPr id="5" name="Chart 4">
          <a:extLst>
            <a:ext uri="{FF2B5EF4-FFF2-40B4-BE49-F238E27FC236}">
              <a16:creationId xmlns:a16="http://schemas.microsoft.com/office/drawing/2014/main" id="{62236C75-CDC1-484C-9AD2-8E76767D4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139700</xdr:colOff>
      <xdr:row>4</xdr:row>
      <xdr:rowOff>19050</xdr:rowOff>
    </xdr:from>
    <xdr:to>
      <xdr:col>17</xdr:col>
      <xdr:colOff>69850</xdr:colOff>
      <xdr:row>19</xdr:row>
      <xdr:rowOff>0</xdr:rowOff>
    </xdr:to>
    <xdr:graphicFrame macro="">
      <xdr:nvGraphicFramePr>
        <xdr:cNvPr id="2" name="Chart 1">
          <a:extLst>
            <a:ext uri="{FF2B5EF4-FFF2-40B4-BE49-F238E27FC236}">
              <a16:creationId xmlns:a16="http://schemas.microsoft.com/office/drawing/2014/main" id="{864CDE64-717F-2D2D-4B29-054837587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222250</xdr:colOff>
      <xdr:row>23</xdr:row>
      <xdr:rowOff>34925</xdr:rowOff>
    </xdr:from>
    <xdr:to>
      <xdr:col>16</xdr:col>
      <xdr:colOff>482600</xdr:colOff>
      <xdr:row>38</xdr:row>
      <xdr:rowOff>15875</xdr:rowOff>
    </xdr:to>
    <xdr:graphicFrame macro="">
      <xdr:nvGraphicFramePr>
        <xdr:cNvPr id="3" name="Chart 2">
          <a:extLst>
            <a:ext uri="{FF2B5EF4-FFF2-40B4-BE49-F238E27FC236}">
              <a16:creationId xmlns:a16="http://schemas.microsoft.com/office/drawing/2014/main" id="{CC7C363A-6B86-AF4D-58F8-E57A7C7CC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209550</xdr:colOff>
      <xdr:row>26</xdr:row>
      <xdr:rowOff>177800</xdr:rowOff>
    </xdr:from>
    <xdr:to>
      <xdr:col>8</xdr:col>
      <xdr:colOff>444500</xdr:colOff>
      <xdr:row>39</xdr:row>
      <xdr:rowOff>25400</xdr:rowOff>
    </xdr:to>
    <xdr:graphicFrame macro="">
      <xdr:nvGraphicFramePr>
        <xdr:cNvPr id="2" name="Chart 1">
          <a:extLst>
            <a:ext uri="{FF2B5EF4-FFF2-40B4-BE49-F238E27FC236}">
              <a16:creationId xmlns:a16="http://schemas.microsoft.com/office/drawing/2014/main" id="{A816837C-9499-C415-FFCA-F14151962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6350</xdr:colOff>
      <xdr:row>43</xdr:row>
      <xdr:rowOff>15875</xdr:rowOff>
    </xdr:from>
    <xdr:to>
      <xdr:col>11</xdr:col>
      <xdr:colOff>444500</xdr:colOff>
      <xdr:row>57</xdr:row>
      <xdr:rowOff>180975</xdr:rowOff>
    </xdr:to>
    <xdr:graphicFrame macro="">
      <xdr:nvGraphicFramePr>
        <xdr:cNvPr id="4" name="Chart 3">
          <a:extLst>
            <a:ext uri="{FF2B5EF4-FFF2-40B4-BE49-F238E27FC236}">
              <a16:creationId xmlns:a16="http://schemas.microsoft.com/office/drawing/2014/main" id="{4E9C1E08-52AA-092D-8FF1-382564721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82550</xdr:colOff>
      <xdr:row>59</xdr:row>
      <xdr:rowOff>123825</xdr:rowOff>
    </xdr:from>
    <xdr:to>
      <xdr:col>12</xdr:col>
      <xdr:colOff>273050</xdr:colOff>
      <xdr:row>74</xdr:row>
      <xdr:rowOff>104775</xdr:rowOff>
    </xdr:to>
    <xdr:graphicFrame macro="">
      <xdr:nvGraphicFramePr>
        <xdr:cNvPr id="5" name="Chart 4">
          <a:extLst>
            <a:ext uri="{FF2B5EF4-FFF2-40B4-BE49-F238E27FC236}">
              <a16:creationId xmlns:a16="http://schemas.microsoft.com/office/drawing/2014/main" id="{18F4970D-91AB-F44E-1210-DCC4C0F29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158750</xdr:colOff>
      <xdr:row>23</xdr:row>
      <xdr:rowOff>57150</xdr:rowOff>
    </xdr:from>
    <xdr:to>
      <xdr:col>5</xdr:col>
      <xdr:colOff>819150</xdr:colOff>
      <xdr:row>38</xdr:row>
      <xdr:rowOff>38100</xdr:rowOff>
    </xdr:to>
    <xdr:graphicFrame macro="">
      <xdr:nvGraphicFramePr>
        <xdr:cNvPr id="4" name="Chart 3">
          <a:extLst>
            <a:ext uri="{FF2B5EF4-FFF2-40B4-BE49-F238E27FC236}">
              <a16:creationId xmlns:a16="http://schemas.microsoft.com/office/drawing/2014/main" id="{9F8C9D2B-236B-62D6-1392-252F72EF6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288925</xdr:colOff>
      <xdr:row>31</xdr:row>
      <xdr:rowOff>107950</xdr:rowOff>
    </xdr:from>
    <xdr:to>
      <xdr:col>6</xdr:col>
      <xdr:colOff>250825</xdr:colOff>
      <xdr:row>46</xdr:row>
      <xdr:rowOff>88900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3FFFDBD-C319-7B46-923E-FDFF2AFC1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62175" y="5816600"/>
              <a:ext cx="45783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LPU%20FOLDER\2nd%20Year%20%20Personal%20Data\4TH%20SEM\Excel%20Project\healthcare-dataset.xlsx" TargetMode="External"/><Relationship Id="rId1" Type="http://schemas.openxmlformats.org/officeDocument/2006/relationships/externalLinkPath" Target="healthcare-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ealthcare_dataset"/>
      <sheetName val="Sheet5"/>
      <sheetName val="Sheet1"/>
      <sheetName val="Sheet4"/>
      <sheetName val="Sheet2"/>
      <sheetName val="Sheet3"/>
    </sheetNames>
    <sheetDataSet>
      <sheetData sheetId="0"/>
      <sheetData sheetId="1">
        <row r="3">
          <cell r="C3" t="str">
            <v>18-25</v>
          </cell>
          <cell r="D3" t="str">
            <v>26-35</v>
          </cell>
          <cell r="E3" t="str">
            <v>36-45</v>
          </cell>
          <cell r="F3" t="str">
            <v>46-55</v>
          </cell>
          <cell r="G3" t="str">
            <v>56-65</v>
          </cell>
          <cell r="H3" t="str">
            <v>66-75</v>
          </cell>
          <cell r="I3" t="str">
            <v>76-85</v>
          </cell>
        </row>
        <row r="4">
          <cell r="B4" t="str">
            <v>Arthritis</v>
          </cell>
          <cell r="C4">
            <v>18</v>
          </cell>
          <cell r="D4">
            <v>26</v>
          </cell>
          <cell r="E4">
            <v>23</v>
          </cell>
          <cell r="F4">
            <v>14</v>
          </cell>
          <cell r="G4">
            <v>31</v>
          </cell>
          <cell r="H4">
            <v>17</v>
          </cell>
          <cell r="I4">
            <v>32</v>
          </cell>
        </row>
        <row r="5">
          <cell r="B5" t="str">
            <v>Asthma</v>
          </cell>
          <cell r="C5">
            <v>13</v>
          </cell>
          <cell r="D5">
            <v>33</v>
          </cell>
          <cell r="E5">
            <v>21</v>
          </cell>
          <cell r="F5">
            <v>29</v>
          </cell>
          <cell r="G5">
            <v>28</v>
          </cell>
          <cell r="H5">
            <v>22</v>
          </cell>
          <cell r="I5">
            <v>28</v>
          </cell>
        </row>
        <row r="6">
          <cell r="B6" t="str">
            <v>Cancer</v>
          </cell>
          <cell r="C6">
            <v>24</v>
          </cell>
          <cell r="D6">
            <v>17</v>
          </cell>
          <cell r="E6">
            <v>29</v>
          </cell>
          <cell r="F6">
            <v>22</v>
          </cell>
          <cell r="G6">
            <v>26</v>
          </cell>
          <cell r="H6">
            <v>25</v>
          </cell>
          <cell r="I6">
            <v>28</v>
          </cell>
        </row>
        <row r="7">
          <cell r="B7" t="str">
            <v>Diabetes</v>
          </cell>
          <cell r="C7">
            <v>13</v>
          </cell>
          <cell r="D7">
            <v>27</v>
          </cell>
          <cell r="E7">
            <v>20</v>
          </cell>
          <cell r="F7">
            <v>28</v>
          </cell>
          <cell r="G7">
            <v>18</v>
          </cell>
          <cell r="H7">
            <v>27</v>
          </cell>
          <cell r="I7">
            <v>28</v>
          </cell>
        </row>
        <row r="8">
          <cell r="B8" t="str">
            <v>Hypertension</v>
          </cell>
          <cell r="C8">
            <v>22</v>
          </cell>
          <cell r="D8">
            <v>26</v>
          </cell>
          <cell r="E8">
            <v>27</v>
          </cell>
          <cell r="F8">
            <v>32</v>
          </cell>
          <cell r="G8">
            <v>22</v>
          </cell>
          <cell r="H8">
            <v>29</v>
          </cell>
          <cell r="I8">
            <v>20</v>
          </cell>
        </row>
        <row r="9">
          <cell r="B9" t="str">
            <v>Obesity</v>
          </cell>
          <cell r="C9">
            <v>10</v>
          </cell>
          <cell r="D9">
            <v>22</v>
          </cell>
          <cell r="E9">
            <v>26</v>
          </cell>
          <cell r="F9">
            <v>19</v>
          </cell>
          <cell r="G9">
            <v>19</v>
          </cell>
          <cell r="H9">
            <v>31</v>
          </cell>
          <cell r="I9">
            <v>27</v>
          </cell>
        </row>
      </sheetData>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8.907877083337" createdVersion="8" refreshedVersion="8" minRefreshableVersion="3" recordCount="999" xr:uid="{00000000-000A-0000-FFFF-FFFF09000000}">
  <cacheSource type="worksheet">
    <worksheetSource ref="A1:Q1000" sheet="healthcare_dataset"/>
  </cacheSource>
  <cacheFields count="17">
    <cacheField name="Name" numFmtId="0">
      <sharedItems/>
    </cacheField>
    <cacheField name="Age Category" numFmtId="0">
      <sharedItems count="7">
        <s v="76-85"/>
        <s v="18-25"/>
        <s v="46-55"/>
        <s v="26-35"/>
        <s v="56-65"/>
        <s v="36-45"/>
        <s v="66-75"/>
      </sharedItems>
    </cacheField>
    <cacheField name="Age" numFmtId="0">
      <sharedItems containsSemiMixedTypes="0" containsString="0" containsNumber="1" containsInteger="1" minValue="18" maxValue="85"/>
    </cacheField>
    <cacheField name="Gender" numFmtId="0">
      <sharedItems count="2">
        <s v="Female"/>
        <s v="Male"/>
      </sharedItems>
    </cacheField>
    <cacheField name="Blood Type" numFmtId="0">
      <sharedItems/>
    </cacheField>
    <cacheField name="Medical Condition" numFmtId="0">
      <sharedItems count="6">
        <s v="Arthritis"/>
        <s v="Asthma"/>
        <s v="Cancer"/>
        <s v="Diabetes"/>
        <s v="Hypertension"/>
        <s v="Obesity"/>
      </sharedItems>
    </cacheField>
    <cacheField name="Date of Admission" numFmtId="14">
      <sharedItems containsSemiMixedTypes="0" containsNonDate="0" containsDate="1" containsString="0" minDate="2018-11-01T00:00:00" maxDate="2023-10-31T00:00:00"/>
    </cacheField>
    <cacheField name="Doctor" numFmtId="0">
      <sharedItems/>
    </cacheField>
    <cacheField name="Hospital" numFmtId="0">
      <sharedItems/>
    </cacheField>
    <cacheField name="Insurance Provider" numFmtId="0">
      <sharedItems/>
    </cacheField>
    <cacheField name="Billing Amount" numFmtId="0">
      <sharedItems containsSemiMixedTypes="0" containsString="0" containsNumber="1" minValue="1000.18083702175" maxValue="49974.8065919699"/>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5T00:00:00" maxDate="2023-11-26T00:00:00"/>
    </cacheField>
    <cacheField name="Medication" numFmtId="0">
      <sharedItems count="5">
        <s v="Penicillin"/>
        <s v="Ibuprofen"/>
        <s v="Paracetamol"/>
        <s v="Aspirin"/>
        <s v="Lipitor"/>
      </sharedItems>
    </cacheField>
    <cacheField name="Test Results" numFmtId="0">
      <sharedItems count="3">
        <s v="Inconclusive"/>
        <s v="Normal"/>
        <s v="Abnormal"/>
      </sharedItems>
    </cacheField>
    <cacheField name="Recovery Days" numFmtId="0">
      <sharedItems containsSemiMixedTypes="0" containsString="0" containsNumber="1" containsInteger="1" minValue="1" maxValue="30"/>
    </cacheField>
  </cacheFields>
  <extLst>
    <ext xmlns:x14="http://schemas.microsoft.com/office/spreadsheetml/2009/9/main" uri="{725AE2AE-9491-48be-B2B4-4EB974FC3084}">
      <x14:pivotCacheDefinition pivotCacheId="2930356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9.026554745367" createdVersion="8" refreshedVersion="8" minRefreshableVersion="3" recordCount="1000" xr:uid="{00000000-000A-0000-FFFF-FFFF26000000}">
  <cacheSource type="worksheet">
    <worksheetSource ref="A1:Q1001" sheet="healthcare_dataset"/>
  </cacheSource>
  <cacheFields count="20">
    <cacheField name="Name" numFmtId="0">
      <sharedItems containsMixedTypes="1" containsNumber="1" containsInteger="1" minValue="999" maxValue="999" count="993">
        <s v="Adam Stephens"/>
        <s v="Adrian Valencia"/>
        <s v="Alejandro Ramirez DDS"/>
        <s v="Alexis Jones"/>
        <s v="Amanda Jones"/>
        <s v="Amanda Stone"/>
        <s v="Andrea Nicholson"/>
        <s v="Andrew Harmon"/>
        <s v="Angela Sanchez"/>
        <s v="Anne Smith"/>
        <s v="Anne Wallace"/>
        <s v="Anthony Bailey"/>
        <s v="Antonio Miller"/>
        <s v="Ashley Cherry"/>
        <s v="Barbara Salinas"/>
        <s v="Brandon Miller MD"/>
        <s v="Brian Dorsey"/>
        <s v="Brian Gibson"/>
        <s v="Carlos Bennett"/>
        <s v="Cassandra Burke"/>
        <s v="Christian Gonzalez"/>
        <s v="Christina Martinez"/>
        <s v="Christina Mccoy"/>
        <s v="Christine Lewis"/>
        <s v="Christopher Campos"/>
        <s v="Christopher Duffy"/>
        <s v="Christopher Farmer"/>
        <s v="Cindy Lowe"/>
        <s v="Colleen Swanson"/>
        <s v="Dana Beck"/>
        <s v="Daniel Murray"/>
        <s v="Danny Farley"/>
        <s v="Daryl Torres"/>
        <s v="David Richardson"/>
        <s v="David Sanchez"/>
        <s v="David Thomas"/>
        <s v="Derek Henderson"/>
        <s v="Derek Patton"/>
        <s v="Destiny Parks"/>
        <s v="Donna Mitchell"/>
        <s v="Douglas Crawford"/>
        <s v="Emily Johnson"/>
        <s v="Emily Mason"/>
        <s v="Eric Aguirre"/>
        <s v="Eric Green"/>
        <s v="Erin Molina"/>
        <s v="Francis Wheeler"/>
        <s v="Gabriel Mccormick"/>
        <s v="Gary Jackson"/>
        <s v="Gloria Weaver"/>
        <s v="Heather Hoffman"/>
        <s v="Heather Stephens"/>
        <s v="Hector Gross"/>
        <s v="Heidi Parker"/>
        <s v="Jacqueline Sanchez"/>
        <s v="James Evans"/>
        <s v="James Marsh"/>
        <s v="James Pittman"/>
        <s v="Jason Alvarado"/>
        <s v="Jason Horn"/>
        <s v="Jeanne Gray"/>
        <s v="Jennifer Berg"/>
        <s v="Jennifer Wang"/>
        <s v="Jeremy Duffy"/>
        <s v="Jeremy Whitney"/>
        <s v="Jermaine Thomas"/>
        <s v="Jesse Williams"/>
        <s v="Jessica Hanna"/>
        <s v="Jodi Moore"/>
        <s v="John Miller"/>
        <s v="Johnny Johnson"/>
        <s v="Jonathan Fernandez"/>
        <s v="Jonathan Herring"/>
        <s v="Jordan Nelson"/>
        <s v="Jose Hayes"/>
        <s v="Joseph Barrera"/>
        <s v="Joshua Sullivan"/>
        <s v="Joy Henry"/>
        <s v="Justin Parker"/>
        <s v="Justin Perry"/>
        <s v="Kayla Williams"/>
        <s v="Kenneth Mcfarland"/>
        <s v="Kevin Andrews"/>
        <s v="Kevin Cunningham"/>
        <s v="Kevin Montoya"/>
        <s v="Kevin Thomas"/>
        <s v="Kristy Donaldson"/>
        <s v="Kyle Byrd"/>
        <s v="Lauren Clark"/>
        <s v="Lauren Sosa"/>
        <s v="Laurie Turner"/>
        <s v="Linda Collins"/>
        <s v="Linda Wheeler"/>
        <s v="Lori Anderson"/>
        <s v="Lori Barrett"/>
        <s v="Lori Owens"/>
        <s v="Lynn Lowery"/>
        <s v="Madeline Vaughan"/>
        <s v="Matthew Palmer"/>
        <s v="Matthew Russell"/>
        <s v="Melissa Mcdonald"/>
        <s v="Melissa Smith"/>
        <s v="Michael Crawford"/>
        <s v="Michael Schmidt"/>
        <s v="Michael Thompson"/>
        <s v="Miguel Baker"/>
        <s v="Monica Serrano"/>
        <s v="Mr. John Martin DVM"/>
        <s v="Mrs. Brandy Flowers"/>
        <s v="Mrs. Brittany Fields"/>
        <s v="Mrs. Crystal Garcia"/>
        <s v="Mrs. Natasha Williams"/>
        <s v="Natalie Navarro"/>
        <s v="Natasha Fischer"/>
        <s v="Nicholas Johnson"/>
        <s v="Olivia Ayala"/>
        <s v="Pamela Miller"/>
        <s v="Pamela Sullivan"/>
        <s v="Patricia Rivera"/>
        <s v="Patricia Taylor"/>
        <s v="Patrick Parker"/>
        <s v="Patrick Taylor DDS"/>
        <s v="Patty Norman"/>
        <s v="Paul Watson"/>
        <s v="Rachel Williams"/>
        <s v="Rebecca Campbell"/>
        <s v="Renee Tate"/>
        <s v="Richard Kramer"/>
        <s v="Robert Cooper"/>
        <s v="Robert Cruz"/>
        <s v="Sabrina Patterson"/>
        <s v="Sally Shaw"/>
        <s v="Samantha Mora"/>
        <s v="Sara Bates"/>
        <s v="Sarah Weaver"/>
        <s v="Sean Holmes"/>
        <s v="Shane Olson"/>
        <s v="Shannon Gonzales"/>
        <s v="Shelley Martinez"/>
        <s v="Sherry Williams"/>
        <s v="Stanley Kirby"/>
        <s v="Stephen Reynolds"/>
        <s v="Steven Boyer"/>
        <s v="Steven Irwin"/>
        <s v="Steven Reilly"/>
        <s v="Steven Rodriguez"/>
        <s v="Suzanne Clark"/>
        <s v="Sydney Gill"/>
        <s v="Tabitha Carr"/>
        <s v="Teresa Caldwell"/>
        <s v="Teresa Gonzalez"/>
        <s v="Terry Branch"/>
        <s v="Theodore Zamora"/>
        <s v="Tim Mercer"/>
        <s v="Travis Walker"/>
        <s v="Victor Gardner"/>
        <s v="William Johnson"/>
        <s v="William Stokes"/>
        <s v="William Williams"/>
        <s v="Yesenia Williams"/>
        <s v="Zachary Wood"/>
        <s v="Aaron Hughes"/>
        <s v="Alan Rodriguez"/>
        <s v="Alexis Huynh"/>
        <s v="Allen Munoz"/>
        <s v="Allison Aguilar"/>
        <s v="Amber Carter"/>
        <s v="Amber Wade"/>
        <s v="Amy Jackson"/>
        <s v="Ana Hall"/>
        <s v="Andre Perez MD"/>
        <s v="Andrea Williams"/>
        <s v="Angel Robles"/>
        <s v="Angela Lopez"/>
        <s v="Angela Scott"/>
        <s v="Anna Davis"/>
        <s v="Annette Cruz"/>
        <s v="Annette Mitchell"/>
        <s v="Anthony Fisher"/>
        <s v="Antonio Frederick"/>
        <s v="April Eaton"/>
        <s v="April Gomez"/>
        <s v="April Williams"/>
        <s v="Ashley Martinez"/>
        <s v="Autumn Ortiz"/>
        <s v="Beverly Miller"/>
        <s v="Bradley Jones"/>
        <s v="Brian Shea"/>
        <s v="Brooke Ellison"/>
        <s v="Carolyn Nguyen DVM"/>
        <s v="Casey Brown"/>
        <s v="Cheryl Jones"/>
        <s v="Chloe Adams"/>
        <s v="Christine Bryant"/>
        <s v="Christopher Baker"/>
        <s v="Christopher Clark MD"/>
        <s v="Christopher Haynes"/>
        <s v="Cindy Gomez"/>
        <s v="Clarence Munoz"/>
        <s v="Corey Johnson"/>
        <s v="Courtney Salinas"/>
        <s v="Craig Garcia"/>
        <s v="Craig Leonard"/>
        <s v="Daniel Evans"/>
        <s v="Daniel Horne"/>
        <s v="Daniel Mccoy"/>
        <s v="Danielle Kim DVM"/>
        <s v="David Garcia"/>
        <s v="David Hess"/>
        <s v="David Jacobs"/>
        <s v="David Reyes"/>
        <s v="David Stuart"/>
        <s v="Deborah Butler"/>
        <s v="Deborah Kelley"/>
        <s v="Denise Randall"/>
        <s v="Dennis Banks"/>
        <s v="Diana Watkins"/>
        <s v="Douglas Myers"/>
        <s v="Dr. Benjamin Jimenez"/>
        <s v="Dr. Leah Delgado"/>
        <s v="Elizabeth Adams"/>
        <s v="Elizabeth Anderson"/>
        <s v="Elizabeth Kline"/>
        <s v="Emily Hull"/>
        <s v="Emily Perez"/>
        <s v="Eric Martinez"/>
        <s v="Eric Wilson"/>
        <s v="Erin Sharp"/>
        <s v="Ernest Peters"/>
        <s v="Francisco Allen"/>
        <s v="Frederick Newman"/>
        <s v="Gabrielle Francis"/>
        <s v="George Gordon"/>
        <s v="Heather Washington"/>
        <s v="Holly Norman"/>
        <s v="Jackie Arellano"/>
        <s v="Jacob Meyers"/>
        <s v="James Roberts"/>
        <s v="Jamie Kelley"/>
        <s v="Jasmin Scott"/>
        <s v="Jeffrey Clark"/>
        <s v="Jeffrey Cross"/>
        <s v="Jennifer Cunningham"/>
        <s v="Jennifer Frye"/>
        <s v="Jennifer Rodriguez"/>
        <s v="Jeremy Jones"/>
        <s v="Jerry Roman"/>
        <s v="Jesse Sanders"/>
        <s v="Jessica Duncan"/>
        <s v="Jessica Yates"/>
        <s v="Joel Whitehead"/>
        <s v="John Kim"/>
        <s v="John Steele"/>
        <s v="Jonathan Nielsen"/>
        <s v="Joshua Owens"/>
        <s v="Juan Vargas"/>
        <s v="Julia Johnson"/>
        <s v="Julie Acevedo"/>
        <s v="Katelyn Vincent"/>
        <s v="Kathy Cross"/>
        <s v="Kelly Jones"/>
        <s v="Kelly Miller"/>
        <s v="Kelly Taylor"/>
        <s v="Kelly Walker"/>
        <s v="Kelsey Perry"/>
        <s v="Kenneth Armstrong"/>
        <s v="Kevin Johnson"/>
        <s v="Kevin Padilla"/>
        <s v="Latoya Price"/>
        <s v="Leslie Kennedy"/>
        <s v="Linda Davis"/>
        <s v="Linda Gillespie"/>
        <s v="Lisa Gonzalez"/>
        <s v="Louis Lewis"/>
        <s v="Mark French"/>
        <s v="Mark Grant"/>
        <s v="Matthew Good DVM"/>
        <s v="Matthew Landry"/>
        <s v="Megan Johnson"/>
        <s v="Megan Livingston"/>
        <s v="Melissa Martin"/>
        <s v="Michael Simon"/>
        <s v="Michael White"/>
        <s v="Michelle Johnson"/>
        <s v="Michelle Quinn"/>
        <s v="Mindy Torres"/>
        <s v="Miss Lisa Hale"/>
        <s v="Monica Ryan"/>
        <s v="Monica Stevens"/>
        <s v="Nancy Peters"/>
        <s v="Natalie Johnson"/>
        <s v="Nathan Schwartz"/>
        <s v="Pam Cantu"/>
        <s v="Patrick Howard"/>
        <s v="Rachel Brooks"/>
        <s v="Rachel Marks"/>
        <s v="Randall Meyer"/>
        <s v="Raymond Cain"/>
        <s v="Rebecca Blackwell"/>
        <s v="Rebecca Parsons"/>
        <s v="Robert Benitez PhD"/>
        <s v="Robert Mcdonald"/>
        <s v="Robert Powell"/>
        <s v="Robert Taylor"/>
        <s v="Robert Trevino"/>
        <s v="Rose Robinson"/>
        <s v="Ruben Burns"/>
        <s v="Ruth Perry"/>
        <s v="Ryan Copeland"/>
        <s v="Ryan Garrison"/>
        <s v="Samuel Braun"/>
        <s v="Sandra Mcclain"/>
        <s v="Sarah Campbell"/>
        <s v="Shannon Williams"/>
        <s v="Sharon Perez"/>
        <s v="Stacey Wade"/>
        <s v="Stephanie Bryant"/>
        <s v="Stephen Manning"/>
        <s v="Stephen Wheeler"/>
        <s v="Steve Meyer"/>
        <s v="Steven Bennett"/>
        <s v="Tanya Sanford DDS"/>
        <s v="Taylor Byrd"/>
        <s v="Terrence Edwards"/>
        <s v="Terry Lawson"/>
        <s v="Terry Martinez"/>
        <s v="Theresa Mendoza"/>
        <s v="Theresa Woodard"/>
        <s v="Thomas Brown"/>
        <s v="Timothy Hernandez"/>
        <s v="Timothy Lynch"/>
        <s v="Timothy Melton"/>
        <s v="Timothy Wu"/>
        <s v="Todd Hernandez"/>
        <s v="Victoria Dunn"/>
        <s v="Abigail Mitchell"/>
        <s v="Alfred Johnson"/>
        <s v="Alicia Evans"/>
        <s v="Amanda Ortiz"/>
        <s v="Amanda Smith MD"/>
        <s v="Amber Foley"/>
        <s v="Amy Bowman"/>
        <s v="Amy Keller"/>
        <s v="Amy Roberts"/>
        <s v="Angela Beard"/>
        <s v="Angela Garcia"/>
        <s v="Angela Taylor"/>
        <s v="Anthony Brown"/>
        <s v="Bernard Gibbs"/>
        <s v="Brett Montoya"/>
        <s v="Brian Foster"/>
        <s v="Bryan Moyer"/>
        <s v="Charles Simmons"/>
        <s v="Charles Singleton"/>
        <s v="Charles Wade"/>
        <s v="Chase Mooney"/>
        <s v="Cheryl Mcgee"/>
        <s v="Cheryl Thomas"/>
        <s v="Christian Guerrero"/>
        <s v="Christopher Barron"/>
        <s v="Christopher Gilbert"/>
        <s v="Christopher Martin"/>
        <s v="Corey Cruz"/>
        <s v="Cory Miller"/>
        <s v="Crystal Allen"/>
        <s v="Crystal Green"/>
        <s v="Crystal Smith"/>
        <s v="Cynthia Patterson"/>
        <s v="Cynthia Stanton"/>
        <s v="Daniel Barajas"/>
        <s v="Daniel Kline"/>
        <s v="Daniel Mayo"/>
        <s v="Danielle Rice"/>
        <s v="David Boyd"/>
        <s v="David Casey"/>
        <s v="David Harding"/>
        <s v="David Hines"/>
        <s v="David Reed"/>
        <s v="David Wright"/>
        <s v="Deanna Stone"/>
        <s v="Deborah Perry"/>
        <s v="Donald Holden"/>
        <s v="Drew Edwards"/>
        <s v="Dylan Mcknight"/>
        <s v="Eduardo Davidson"/>
        <s v="Elizabeth Sullivan"/>
        <s v="Eric Price"/>
        <s v="Erica Santos"/>
        <s v="Erik Wood"/>
        <s v="Erin Baldwin"/>
        <s v="Felicia Rodriguez"/>
        <s v="Francisco Ritter"/>
        <s v="Frederick Salazar"/>
        <s v="Gabrielle Russell"/>
        <s v="Gail Harris"/>
        <s v="Harry Johns"/>
        <s v="Harry Thomas"/>
        <s v="Heather Johnston"/>
        <s v="Heather Turner"/>
        <s v="Jeffery Patton"/>
        <s v="Jeffery Tucker"/>
        <s v="Jeffrey Carter"/>
        <s v="Jeffrey Wilson"/>
        <s v="Jennifer Harrison"/>
        <s v="Jennifer Trevino"/>
        <s v="Jesse Tucker"/>
        <s v="Jessica Garcia"/>
        <s v="Jessica Mcdonald"/>
        <s v="Jessica Roman"/>
        <s v="Joel Mendoza"/>
        <s v="John Griffin"/>
        <s v="Johnny Stephens"/>
        <s v="Joseph Smith"/>
        <s v="Joshua Faulkner"/>
        <s v="Joshua Phillips"/>
        <s v="Joy Mitchell"/>
        <s v="Kaitlyn Sampson"/>
        <s v="Karen Fox"/>
        <s v="Karen Mills"/>
        <s v="Kathleen Murray"/>
        <s v="Kayla Jackson"/>
        <s v="Keith Chambers"/>
        <s v="Kenneth Lopez"/>
        <s v="Kevin Armstrong"/>
        <s v="Kevin Copeland"/>
        <s v="Kimberly Mccarthy"/>
        <s v="Kristin Proctor"/>
        <s v="Kyle Dean"/>
        <s v="Lauren Patterson"/>
        <s v="Linda Chavez"/>
        <s v="Lisa Phillips"/>
        <s v="Lisa Rojas"/>
        <s v="Lori Walker"/>
        <s v="Luis Cooper"/>
        <s v="Maria Mahoney"/>
        <s v="Mariah Davis"/>
        <s v="Marie Vargas"/>
        <s v="Mark Proctor"/>
        <s v="Martha Franklin"/>
        <s v="Mary Brown"/>
        <s v="Matthew Norris"/>
        <s v="Melissa Harris"/>
        <s v="Melissa Jones"/>
        <s v="Melissa Martinez"/>
        <s v="Michael Bradshaw"/>
        <s v="Michael Burns"/>
        <s v="Michael Ford"/>
        <s v="Michael Hall"/>
        <s v="Michael Jones"/>
        <s v="Michael Lewis"/>
        <s v="Michael Mccall"/>
        <s v="Michael Monroe"/>
        <s v="Michael Parker"/>
        <s v="Micheal Duran"/>
        <s v="Michelle Harris"/>
        <s v="Michelle Robinson MD"/>
        <s v="Mike Winters"/>
        <s v="Miss Courtney Navarro"/>
        <s v="Mr. Theodore Roberts"/>
        <s v="Mrs. Ashley Simpson MD"/>
        <s v="Mrs. Christine Rodriguez"/>
        <s v="Mrs. Margaret Morris DDS"/>
        <s v="Nancy Moore"/>
        <s v="Nicole Smith"/>
        <s v="Patrick Bates"/>
        <s v="Peter Alvarado"/>
        <s v="Peter Davis MD"/>
        <s v="Rachael Davidson"/>
        <s v="Randy Huffman"/>
        <s v="Robert Brown"/>
        <s v="Robert Ho"/>
        <s v="Ronnie Hughes"/>
        <s v="Ryan Frazier"/>
        <s v="Ryan Richmond"/>
        <s v="Sally Henderson"/>
        <s v="Scott Nicholson"/>
        <s v="Sean Sullivan"/>
        <s v="Sierra Moreno"/>
        <s v="Sonya Hernandez"/>
        <s v="Stacey Craig"/>
        <s v="Stacy Williams"/>
        <s v="Tamara Salazar"/>
        <s v="Tammy Hamilton"/>
        <s v="Tammy Lewis"/>
        <s v="Tammy Thompson"/>
        <s v="Tammy Williams"/>
        <s v="Teresa Marks"/>
        <s v="Theodore Sanchez"/>
        <s v="Theresa Ball"/>
        <s v="Thomas Walsh"/>
        <s v="Thomas Washington"/>
        <s v="Tiffany Macias"/>
        <s v="Timothy Mcgrath"/>
        <s v="Timothy Miranda"/>
        <s v="Tina Howard"/>
        <s v="Travis Jordan"/>
        <s v="Travis Williams"/>
        <s v="Tyler Rosario"/>
        <s v="Vanessa Taylor"/>
        <s v="Victoria Kennedy"/>
        <s v="Vincent Reese"/>
        <s v="Walter Miller"/>
        <s v="Whitney Bradley"/>
        <s v="Whitney Garza"/>
        <s v="Zachary Roberts"/>
        <s v="Aaron Gray"/>
        <s v="Adam Ballard"/>
        <s v="Adam Butler"/>
        <s v="Albert Carter"/>
        <s v="Alec Hess"/>
        <s v="Alexis Chen"/>
        <s v="Alicia French"/>
        <s v="Allison Reed PhD"/>
        <s v="Allison White"/>
        <s v="Amanda Lee"/>
        <s v="Amanda Stein DVM"/>
        <s v="Amy Jensen"/>
        <s v="Andrea Rich"/>
        <s v="Andrew Jenkins"/>
        <s v="Andrew Sharp"/>
        <s v="Angela Brown"/>
        <s v="Angela Lara"/>
        <s v="Anne Bates"/>
        <s v="Ashley Armstrong"/>
        <s v="Barbara Gutierrez"/>
        <s v="Brendan Moody"/>
        <s v="Brian Williams"/>
        <s v="Brittany Baker"/>
        <s v="Bruce Johnson"/>
        <s v="Bryan Williams"/>
        <s v="Carol Murray"/>
        <s v="Carolyn Murphy"/>
        <s v="Catherine Wallace"/>
        <s v="Chelsea Johnson"/>
        <s v="Christina Williams"/>
        <s v="Christopher Adams"/>
        <s v="Christopher Miller"/>
        <s v="Colleen Allen"/>
        <s v="Daniel Blevins"/>
        <s v="Daniel Branch"/>
        <s v="Daniel Wilkinson"/>
        <s v="David Pierce"/>
        <s v="Desiree Gordon"/>
        <s v="Diana Stevens"/>
        <s v="Dillon Dunlap"/>
        <s v="Donald Mccoy"/>
        <s v="Donna Jones"/>
        <s v="Donna Sanchez"/>
        <s v="Drew Crane"/>
        <s v="Dustin Garrett"/>
        <s v="Dwayne Fletcher"/>
        <s v="Emily Sanders"/>
        <s v="Gabriel Vasquez"/>
        <s v="Gerald Moore"/>
        <s v="Harry Brown"/>
        <s v="Heather Walters"/>
        <s v="Jacob Franco"/>
        <s v="Jacob Rodriguez"/>
        <s v="Jacqueline Walker"/>
        <s v="Jamie Holland"/>
        <s v="Jason Alvarez"/>
        <s v="Jason Hunter"/>
        <s v="Jason Whitaker"/>
        <s v="Jeff Castillo"/>
        <s v="Jennifer Reeves"/>
        <s v="Jessica Ford"/>
        <s v="Jessica Lee"/>
        <s v="Jo Clark"/>
        <s v="John Garza"/>
        <s v="John Gill"/>
        <s v="John Lynch"/>
        <s v="John Rios"/>
        <s v="Joseph Lynch"/>
        <s v="Joyce Vaughn"/>
        <s v="Juan Patel"/>
        <s v="Julie Long"/>
        <s v="Julie Murray"/>
        <s v="Justin Cardenas"/>
        <s v="Justin Kaufman"/>
        <s v="Kara Long"/>
        <s v="Karen Butler"/>
        <s v="Karen Dunn"/>
        <s v="Katelyn Barron"/>
        <s v="Katherine White"/>
        <s v="Kayla Herrera"/>
        <s v="Keith Johns"/>
        <s v="Kevin Frederick"/>
        <s v="Kimberly Fernandez"/>
        <s v="Kristen Johnson"/>
        <s v="Kristina Day"/>
        <s v="Latoya Liu"/>
        <s v="Laura Adams"/>
        <s v="Laura Robinson"/>
        <s v="Laura Romero PhD"/>
        <s v="Lauren Ward"/>
        <s v="Linda Stewart"/>
        <s v="Lisa Johnson"/>
        <s v="Lisa Marshall"/>
        <s v="Lisa Sanchez"/>
        <s v="Loretta Schmitt"/>
        <s v="Lori Phillips"/>
        <s v="Margaret Hamilton"/>
        <s v="Mariah Williams"/>
        <s v="Marie Franklin"/>
        <s v="Martin Hines"/>
        <s v="Matthew Bush"/>
        <s v="Matthew Oliver"/>
        <s v="Matthew Olson"/>
        <s v="Megan Kelley"/>
        <s v="Megan Wheeler"/>
        <s v="Michael Daniel"/>
        <s v="Michael Miller"/>
        <s v="Michelle Williams"/>
        <s v="Miguel Fields"/>
        <s v="Molly Brewer"/>
        <s v="Mrs. Deborah Rose"/>
        <s v="Mrs. Penny Sanchez"/>
        <s v="Ms. Katelyn Lopez MD"/>
        <s v="Nathan Elliott"/>
        <s v="Nicholas Mitchell"/>
        <s v="Olivia Gonzalez"/>
        <s v="Rebecca Harrison"/>
        <s v="Rebecca Lyons"/>
        <s v="Renee Miller"/>
        <s v="Richard Brown"/>
        <s v="Richard Johnson"/>
        <s v="Robert Harris"/>
        <s v="Ronald Becker"/>
        <s v="Rose Rios"/>
        <s v="Ryan Hayes"/>
        <s v="Sandra Ford"/>
        <s v="Sandra Green"/>
        <s v="Sarah Henson"/>
        <s v="Scott Adams"/>
        <s v="Scott Dickerson MD"/>
        <s v="Sheila Castro"/>
        <s v="Shelley Lee"/>
        <s v="Shirley Casey"/>
        <s v="Sonya Gonzales"/>
        <s v="Steven Clark"/>
        <s v="Steven Davis"/>
        <s v="Steven Martinez"/>
        <s v="Steven Schaefer"/>
        <s v="Susan Mills"/>
        <s v="Tamara Scott"/>
        <s v="Tami Oliver"/>
        <s v="Tammy Savage"/>
        <s v="Tara Graham"/>
        <s v="Terrance Knapp"/>
        <s v="Theresa May"/>
        <s v="Thomas Lopez"/>
        <s v="Thomas Rodriguez"/>
        <s v="Thomas Sharp"/>
        <s v="Thomas Stevens"/>
        <s v="Tiffany Ramirez"/>
        <s v="Travis Barrett"/>
        <s v="Troy Villarreal"/>
        <s v="Vickie Bernard"/>
        <s v="Victoria Velez"/>
        <s v="Virginia Wolfe"/>
        <s v="William Farrell"/>
        <s v="William Mahoney"/>
        <s v="William Page"/>
        <s v="Yvette Scott"/>
        <s v="Alan Alvarado"/>
        <s v="Albert Sandoval"/>
        <s v="Alyssa Wright"/>
        <s v="Amber Solomon"/>
        <s v="Ana Clark"/>
        <s v="Ana Stone"/>
        <s v="Andrew Alvarez"/>
        <s v="Andrew Davis"/>
        <s v="Andrew Gibbs"/>
        <s v="Angela Hunter"/>
        <s v="Angela Lewis"/>
        <s v="Angie Robinson"/>
        <s v="Antonio Robbins"/>
        <s v="Ariel Davis"/>
        <s v="Ashley English"/>
        <s v="Ashley Greene"/>
        <s v="Ashley Osborne"/>
        <s v="Audrey Moore"/>
        <s v="Bradley Sanford"/>
        <s v="Brandon Scott"/>
        <s v="Brian Robinson"/>
        <s v="Brian York"/>
        <s v="Bruce Atkinson"/>
        <s v="Caitlin Sanders"/>
        <s v="Cameron Hall"/>
        <s v="Carl Thompson"/>
        <s v="Carlos Young"/>
        <s v="Cathy Duncan"/>
        <s v="Charles Horton"/>
        <s v="Chris Roth"/>
        <s v="Christina Armstrong"/>
        <s v="Christina Hernandez"/>
        <s v="Christina Rogers"/>
        <s v="Christine Young"/>
        <s v="Christopher Cervantes"/>
        <s v="Christopher Phillips"/>
        <s v="Christopher Velasquez"/>
        <s v="Curtis Dean"/>
        <s v="Daniel Alexander"/>
        <s v="Daniel Golden"/>
        <s v="Daniel Meadows"/>
        <s v="Danielle Hunter"/>
        <s v="Danielle Jones"/>
        <s v="Danielle Nunez"/>
        <s v="David Brock"/>
        <s v="David Copeland"/>
        <s v="Deanna Moon"/>
        <s v="Deborah Barrera"/>
        <s v="Diana Brown"/>
        <s v="Donald Walker"/>
        <s v="Dr. Wendy Taylor"/>
        <s v="Elizabeth Burton"/>
        <s v="Elizabeth Charles"/>
        <s v="Eric Combs"/>
        <s v="Erin Porter"/>
        <s v="Francis Newman"/>
        <s v="Frank Rosario"/>
        <s v="George Allison"/>
        <s v="George Morton"/>
        <s v="Gerald Moreno"/>
        <s v="Glen Brown"/>
        <s v="Gregory Wilson"/>
        <s v="Heather Johnson"/>
        <s v="James Chung"/>
        <s v="James Smith"/>
        <s v="Jasmine Hernandez"/>
        <s v="Jeff Cooper MD"/>
        <s v="Jeffrey Lawrence"/>
        <s v="Jennifer Hoover"/>
        <s v="Jennifer Le"/>
        <s v="Jennifer Perez"/>
        <s v="Jennifer Williams"/>
        <s v="Jeremy Vasquez"/>
        <s v="Jessica Joseph"/>
        <s v="Jillian Robinson"/>
        <s v="Joel Williams"/>
        <s v="John Turner"/>
        <s v="Jonathan Jimenez"/>
        <s v="Jonathan Snyder"/>
        <s v="Joshua Benjamin"/>
        <s v="Joshua Gates"/>
        <s v="Joy Martinez"/>
        <s v="Judith Trevino"/>
        <s v="Julie Brooks"/>
        <s v="Justin Buck"/>
        <s v="Justin Cunningham"/>
        <s v="Karen Clark"/>
        <s v="Kathleen Hanson"/>
        <s v="Kathy Walls"/>
        <s v="Kelly Graham"/>
        <s v="Kenneth Obrien"/>
        <s v="Kenneth Oconnell"/>
        <s v="Kenneth Smith"/>
        <s v="Kevin Hernandez"/>
        <s v="Kristina Becker"/>
        <s v="Laura Banks"/>
        <s v="Laura Jones"/>
        <s v="Laura Leonard"/>
        <s v="Laura Schmidt"/>
        <s v="Laura Torres"/>
        <s v="Lauren Barton"/>
        <s v="Lee Clark"/>
        <s v="Lee Peterson"/>
        <s v="Linda Brown"/>
        <s v="Lisa Gallegos"/>
        <s v="Lisa Howell"/>
        <s v="Maria Williams"/>
        <s v="Marissa Dixon"/>
        <s v="Mark Chen"/>
        <s v="Mark Gordon"/>
        <s v="Mark Mack"/>
        <s v="Mary Delgado"/>
        <s v="Mary Stein"/>
        <s v="Mason Boyd"/>
        <s v="Matthew Pratt"/>
        <s v="Meagan Smith"/>
        <s v="Meghan Burns"/>
        <s v="Melanie Clark"/>
        <s v="Melissa Dean"/>
        <s v="Michael Morgan"/>
        <s v="Michael Pollard"/>
        <s v="Monica Hampton"/>
        <s v="Mr. Bryan Williams"/>
        <s v="Mr. Christopher Burns DDS"/>
        <s v="Mr. Christopher Miller"/>
        <s v="Mr. Ricardo Bullock"/>
        <s v="Mrs. Caroline Farrell"/>
        <s v="Mrs. Kristine Hall MD"/>
        <s v="Natalie Jackson"/>
        <s v="Nathan Harrison"/>
        <s v="Nicholas Jordan"/>
        <s v="Nicholas Marquez"/>
        <s v="Nicholas Martin"/>
        <s v="Nicole Bullock"/>
        <s v="Nicole Williams"/>
        <s v="Paul Graham"/>
        <s v="Paul Welch"/>
        <s v="Paul Wells"/>
        <s v="Paula Knight"/>
        <s v="Peter Sutton"/>
        <s v="Rachel Morales"/>
        <s v="Rebecca Johnson"/>
        <s v="Rebecca Mcdonald"/>
        <s v="Richard Smith"/>
        <s v="Robert Carter DDS"/>
        <s v="Russell Holden"/>
        <s v="Ryan Anderson"/>
        <s v="Ryan Edwards"/>
        <s v="Ryan Rodriguez"/>
        <s v="Samuel Welch"/>
        <s v="Sandra Payne"/>
        <s v="Sandra Rose"/>
        <s v="Shannon Fitzpatrick DVM"/>
        <s v="Stephanie Ayers"/>
        <s v="Stephanie Fowler"/>
        <s v="Stephanie Reed"/>
        <s v="Stephen Combs"/>
        <s v="Susan Oconnell"/>
        <s v="Tammy Cook"/>
        <s v="Tasha Smith"/>
        <s v="Terry Thompson"/>
        <s v="Timothy Henderson"/>
        <s v="Tina Vargas"/>
        <s v="Travis Morales"/>
        <s v="Tricia Oliver"/>
        <s v="Vanessa Landry"/>
        <s v="Victor Edwards"/>
        <s v="Wanda Moore MD"/>
        <s v="Wayne Livingston"/>
        <s v="Wayne May"/>
        <s v="William Dawson"/>
        <s v="William Hart"/>
        <s v="William Jacobson"/>
        <s v="Willie Black"/>
        <s v="Willie Chan"/>
        <s v="Zachary Martinez"/>
        <s v="Albert Dunn"/>
        <s v="Alejandro Baxter"/>
        <s v="Alicia Bartlett"/>
        <s v="Allen Chen"/>
        <s v="Alyssa Osborne"/>
        <s v="Amanda Hernandez"/>
        <s v="Amanda Martinez"/>
        <s v="Andre Burch"/>
        <s v="Andrea Thompson"/>
        <s v="Andrew Morales"/>
        <s v="Angela Ramos"/>
        <s v="Angelica Chen"/>
        <s v="Anna Adams"/>
        <s v="Anna Phillips"/>
        <s v="Anthony Armstrong"/>
        <s v="Anthony Conner Jr."/>
        <s v="April Young"/>
        <s v="Barbara Garrett"/>
        <s v="Benjamin Hanson"/>
        <s v="Bradley Cross"/>
        <s v="Bradley Durham"/>
        <s v="Brenda James"/>
        <s v="Carrie Miller"/>
        <s v="Catherine Potter"/>
        <s v="Chad Byrd"/>
        <s v="Christina Roberts"/>
        <s v="Christopher Barker"/>
        <s v="Christopher Delgado"/>
        <s v="Christopher Juarez"/>
        <s v="Christopher Powers"/>
        <s v="Cindy Jones"/>
        <s v="Cody Gonzales"/>
        <s v="Dana Peterson"/>
        <s v="Daniel Dickson"/>
        <s v="Danielle Ballard"/>
        <s v="David Collins"/>
        <s v="David Kim"/>
        <s v="Debra Mcdaniel"/>
        <s v="Desiree Williams MD"/>
        <s v="Donald Moreno"/>
        <s v="Donna Bailey"/>
        <s v="Donna Strickland"/>
        <s v="Elizabeth Johnson"/>
        <s v="Elizabeth Stafford"/>
        <s v="Evan Martinez"/>
        <s v="Frank Mccormick"/>
        <s v="Frank Reid"/>
        <s v="Gabriella James"/>
        <s v="Geoffrey Robertson"/>
        <s v="Glenda Cooper"/>
        <s v="Haley Li"/>
        <s v="Hannah Joseph"/>
        <s v="Holly Hickman"/>
        <s v="Holly Knight"/>
        <s v="Jacob Hoover"/>
        <s v="Jacob Howell"/>
        <s v="Jacob Jenkins"/>
        <s v="James Blair"/>
        <s v="James Perkins"/>
        <s v="Jamie Day"/>
        <s v="Jane Vargas"/>
        <s v="Jasmine Singleton"/>
        <s v="Jason Evans"/>
        <s v="Jeanette White"/>
        <s v="Jeffery Young"/>
        <s v="Jeffrey Mckinney DDS"/>
        <s v="Jennifer Benson"/>
        <s v="Jennifer Nelson MD"/>
        <s v="Jennifer Walker"/>
        <s v="Jeremy Gentry"/>
        <s v="Jocelyn Simmons"/>
        <s v="Jodi Shannon"/>
        <s v="John Briggs"/>
        <s v="John Edwards"/>
        <s v="John George"/>
        <s v="John Johnson"/>
        <s v="Jon Harding"/>
        <s v="Jonathan Brown"/>
        <s v="Jose Brown"/>
        <s v="Joseph Bailey"/>
        <s v="Joshua Brooks"/>
        <s v="Joshua Frey"/>
        <s v="Julie Johnston"/>
        <s v="Julie Mckenzie"/>
        <s v="Justin Martin"/>
        <s v="Karen Mccoy"/>
        <s v="Karen Sanford"/>
        <s v="Kelly Manning"/>
        <s v="Kenneth Rollins"/>
        <s v="Kevin Robinson"/>
        <s v="Kimberly Mason"/>
        <s v="Kimberly Shelton"/>
        <s v="Kimberly Vargas"/>
        <s v="Kimberly Wheeler"/>
        <s v="Kurt Gordon"/>
        <s v="Kurt Sloan"/>
        <s v="Lance Bradley"/>
        <s v="Larry Fitzpatrick"/>
        <s v="Laura Henderson"/>
        <s v="Laurie Mitchell"/>
        <s v="Leah Harrington"/>
        <s v="Leonard Benton"/>
        <s v="Lindsey Hampton"/>
        <s v="Lori Lyons"/>
        <s v="Lori Sanders"/>
        <s v="Louis Campbell"/>
        <s v="Malik Phillips"/>
        <s v="Marie Cooper"/>
        <s v="Mark Browning"/>
        <s v="Mary Jones"/>
        <s v="Megan Gibson DVM"/>
        <s v="Melissa Robinson"/>
        <s v="Michael Russell"/>
        <s v="Michele Thompson"/>
        <s v="Molly Houston"/>
        <s v="Nancy Hodges"/>
        <s v="Nicholas Lewis"/>
        <s v="Nicole Casey"/>
        <s v="Paul Brooks"/>
        <s v="Paul Greer"/>
        <s v="Rhonda Larson"/>
        <s v="Ricardo Mcconnell"/>
        <s v="Richard Vega"/>
        <s v="Roberta Fisher"/>
        <s v="Roberto Beck"/>
        <s v="Rodney Maynard"/>
        <s v="Ronald Rollins"/>
        <s v="Ryan Cross"/>
        <s v="Ryan Lee"/>
        <s v="Sabrina Barron"/>
        <s v="Samantha Patel"/>
        <s v="Samantha Simpson"/>
        <s v="Sarah Burke"/>
        <s v="Seth Burgess"/>
        <s v="Shane Black"/>
        <s v="Sherry Petty"/>
        <s v="Stephanie Carter"/>
        <s v="Stephanie James"/>
        <s v="Steven Lyons"/>
        <s v="Sylvia Johnson"/>
        <s v="Tabitha Price"/>
        <s v="Teresa Martinez"/>
        <s v="Teresa Williams"/>
        <s v="Tiffany White"/>
        <s v="Tracey Martin"/>
        <s v="Travis Dyer"/>
        <s v="Wendy Cantu"/>
        <s v="William Cohen"/>
        <s v="William Garza"/>
        <s v="William Osborne"/>
        <s v="Yvette Banks"/>
        <s v="Zachary Collins"/>
        <n v="999"/>
      </sharedItems>
    </cacheField>
    <cacheField name="Age Category" numFmtId="0">
      <sharedItems containsBlank="1"/>
    </cacheField>
    <cacheField name="Age" numFmtId="0">
      <sharedItems containsSemiMixedTypes="0" containsString="0" containsNumber="1" containsInteger="1" minValue="18" maxValue="52510"/>
    </cacheField>
    <cacheField name="Gender" numFmtId="0">
      <sharedItems containsBlank="1"/>
    </cacheField>
    <cacheField name="Blood Type" numFmtId="0">
      <sharedItems containsBlank="1" count="9">
        <s v="O-"/>
        <s v="A+"/>
        <s v="AB-"/>
        <s v="A-"/>
        <s v="B-"/>
        <s v="AB+"/>
        <s v="O+"/>
        <s v="B+"/>
        <m/>
      </sharedItems>
    </cacheField>
    <cacheField name="Medical Condition" numFmtId="0">
      <sharedItems containsBlank="1" count="7">
        <s v="Arthritis"/>
        <s v="Asthma"/>
        <s v="Cancer"/>
        <s v="Diabetes"/>
        <s v="Hypertension"/>
        <s v="Obesity"/>
        <m/>
      </sharedItems>
    </cacheField>
    <cacheField name="Date of Admission" numFmtId="14">
      <sharedItems containsNonDate="0" containsDate="1" containsString="0" containsBlank="1" minDate="2018-11-01T00:00:00" maxDate="2023-10-31T00:00:00" count="760">
        <d v="2021-03-28T00:00:00"/>
        <d v="2022-10-29T00:00:00"/>
        <d v="2022-10-25T00:00:00"/>
        <d v="2019-01-21T00:00:00"/>
        <d v="2023-09-19T00:00:00"/>
        <d v="2019-06-05T00:00:00"/>
        <d v="2019-12-05T00:00:00"/>
        <d v="2020-04-06T00:00:00"/>
        <d v="2021-06-13T00:00:00"/>
        <d v="2022-07-31T00:00:00"/>
        <d v="2019-07-30T00:00:00"/>
        <d v="2019-04-18T00:00:00"/>
        <d v="2023-08-03T00:00:00"/>
        <d v="2018-12-05T00:00:00"/>
        <d v="2019-07-29T00:00:00"/>
        <d v="2019-12-01T00:00:00"/>
        <d v="2021-08-07T00:00:00"/>
        <d v="2020-06-30T00:00:00"/>
        <d v="2021-05-24T00:00:00"/>
        <d v="2020-07-15T00:00:00"/>
        <d v="2022-06-17T00:00:00"/>
        <d v="2020-12-30T00:00:00"/>
        <d v="2022-10-14T00:00:00"/>
        <d v="2021-06-25T00:00:00"/>
        <d v="2023-09-18T00:00:00"/>
        <d v="2019-02-09T00:00:00"/>
        <d v="2019-02-23T00:00:00"/>
        <d v="2020-07-05T00:00:00"/>
        <d v="2019-10-30T00:00:00"/>
        <d v="2020-03-26T00:00:00"/>
        <d v="2021-03-13T00:00:00"/>
        <d v="2021-02-08T00:00:00"/>
        <d v="2019-12-22T00:00:00"/>
        <d v="2021-10-07T00:00:00"/>
        <d v="2019-07-27T00:00:00"/>
        <d v="2019-07-08T00:00:00"/>
        <d v="2021-10-29T00:00:00"/>
        <d v="2020-11-20T00:00:00"/>
        <d v="2022-04-28T00:00:00"/>
        <d v="2023-07-04T00:00:00"/>
        <d v="2023-08-16T00:00:00"/>
        <d v="2019-09-13T00:00:00"/>
        <d v="2022-10-30T00:00:00"/>
        <d v="2020-02-13T00:00:00"/>
        <d v="2019-10-18T00:00:00"/>
        <d v="2021-08-20T00:00:00"/>
        <d v="2018-12-17T00:00:00"/>
        <d v="2022-06-07T00:00:00"/>
        <d v="2021-06-08T00:00:00"/>
        <d v="2023-10-02T00:00:00"/>
        <d v="2020-08-14T00:00:00"/>
        <d v="2020-06-25T00:00:00"/>
        <d v="2021-06-02T00:00:00"/>
        <d v="2023-02-22T00:00:00"/>
        <d v="2020-08-20T00:00:00"/>
        <d v="2022-12-01T00:00:00"/>
        <d v="2020-06-27T00:00:00"/>
        <d v="2018-11-18T00:00:00"/>
        <d v="2023-04-10T00:00:00"/>
        <d v="2020-12-09T00:00:00"/>
        <d v="2023-03-14T00:00:00"/>
        <d v="2021-04-17T00:00:00"/>
        <d v="2019-08-16T00:00:00"/>
        <d v="2019-10-21T00:00:00"/>
        <d v="2021-10-12T00:00:00"/>
        <d v="2022-07-30T00:00:00"/>
        <d v="2021-11-15T00:00:00"/>
        <d v="2019-08-10T00:00:00"/>
        <d v="2021-01-15T00:00:00"/>
        <d v="2019-07-13T00:00:00"/>
        <d v="2021-06-03T00:00:00"/>
        <d v="2019-03-19T00:00:00"/>
        <d v="2022-03-27T00:00:00"/>
        <d v="2021-09-30T00:00:00"/>
        <d v="2020-09-05T00:00:00"/>
        <d v="2019-11-21T00:00:00"/>
        <d v="2019-06-24T00:00:00"/>
        <d v="2019-11-01T00:00:00"/>
        <d v="2022-03-12T00:00:00"/>
        <d v="2023-04-28T00:00:00"/>
        <d v="2021-02-28T00:00:00"/>
        <d v="2019-05-07T00:00:00"/>
        <d v="2022-10-19T00:00:00"/>
        <d v="2018-12-15T00:00:00"/>
        <d v="2022-10-20T00:00:00"/>
        <d v="2022-12-17T00:00:00"/>
        <d v="2020-12-04T00:00:00"/>
        <d v="2023-07-02T00:00:00"/>
        <d v="2020-09-01T00:00:00"/>
        <d v="2020-05-07T00:00:00"/>
        <d v="2021-11-12T00:00:00"/>
        <d v="2019-07-03T00:00:00"/>
        <d v="2021-07-04T00:00:00"/>
        <d v="2020-07-28T00:00:00"/>
        <d v="2018-11-14T00:00:00"/>
        <d v="2019-01-27T00:00:00"/>
        <d v="2019-02-28T00:00:00"/>
        <d v="2019-08-24T00:00:00"/>
        <d v="2020-10-10T00:00:00"/>
        <d v="2021-04-23T00:00:00"/>
        <d v="2022-06-12T00:00:00"/>
        <d v="2019-03-25T00:00:00"/>
        <d v="2021-11-28T00:00:00"/>
        <d v="2021-05-08T00:00:00"/>
        <d v="2021-07-09T00:00:00"/>
        <d v="2022-11-01T00:00:00"/>
        <d v="2021-08-28T00:00:00"/>
        <d v="2021-07-17T00:00:00"/>
        <d v="2020-02-02T00:00:00"/>
        <d v="2021-08-11T00:00:00"/>
        <d v="2023-01-29T00:00:00"/>
        <d v="2022-11-26T00:00:00"/>
        <d v="2023-08-11T00:00:00"/>
        <d v="2020-08-26T00:00:00"/>
        <d v="2021-06-23T00:00:00"/>
        <d v="2019-10-25T00:00:00"/>
        <d v="2020-10-31T00:00:00"/>
        <d v="2019-05-16T00:00:00"/>
        <d v="2022-03-25T00:00:00"/>
        <d v="2023-01-17T00:00:00"/>
        <d v="2021-12-29T00:00:00"/>
        <d v="2019-02-17T00:00:00"/>
        <d v="2021-03-27T00:00:00"/>
        <d v="2022-09-17T00:00:00"/>
        <d v="2023-08-02T00:00:00"/>
        <d v="2020-07-16T00:00:00"/>
        <d v="2019-07-10T00:00:00"/>
        <d v="2022-04-09T00:00:00"/>
        <d v="2020-04-02T00:00:00"/>
        <d v="2018-12-04T00:00:00"/>
        <d v="2019-05-02T00:00:00"/>
        <d v="2021-08-03T00:00:00"/>
        <d v="2021-11-05T00:00:00"/>
        <d v="2019-02-10T00:00:00"/>
        <d v="2022-11-24T00:00:00"/>
        <d v="2018-12-21T00:00:00"/>
        <d v="2021-07-14T00:00:00"/>
        <d v="2020-12-10T00:00:00"/>
        <d v="2019-10-07T00:00:00"/>
        <d v="2020-11-08T00:00:00"/>
        <d v="2023-09-04T00:00:00"/>
        <d v="2023-07-29T00:00:00"/>
        <d v="2020-01-02T00:00:00"/>
        <d v="2022-06-08T00:00:00"/>
        <d v="2022-03-08T00:00:00"/>
        <d v="2021-11-09T00:00:00"/>
        <d v="2023-09-10T00:00:00"/>
        <d v="2020-04-01T00:00:00"/>
        <d v="2021-05-09T00:00:00"/>
        <d v="2019-01-12T00:00:00"/>
        <d v="2019-11-12T00:00:00"/>
        <d v="2023-02-25T00:00:00"/>
        <d v="2022-08-19T00:00:00"/>
        <d v="2023-09-28T00:00:00"/>
        <d v="2020-02-09T00:00:00"/>
        <d v="2023-06-14T00:00:00"/>
        <d v="2019-06-30T00:00:00"/>
        <d v="2022-04-27T00:00:00"/>
        <d v="2022-09-23T00:00:00"/>
        <d v="2022-12-21T00:00:00"/>
        <d v="2021-08-31T00:00:00"/>
        <d v="2019-04-12T00:00:00"/>
        <d v="2021-02-23T00:00:00"/>
        <d v="2019-04-21T00:00:00"/>
        <d v="2019-04-27T00:00:00"/>
        <d v="2022-03-04T00:00:00"/>
        <d v="2022-09-27T00:00:00"/>
        <d v="2023-06-25T00:00:00"/>
        <d v="2021-05-27T00:00:00"/>
        <d v="2019-02-11T00:00:00"/>
        <d v="2019-10-22T00:00:00"/>
        <d v="2020-05-02T00:00:00"/>
        <d v="2019-10-08T00:00:00"/>
        <d v="2020-07-17T00:00:00"/>
        <d v="2019-06-07T00:00:00"/>
        <d v="2022-08-05T00:00:00"/>
        <d v="2022-10-02T00:00:00"/>
        <d v="2022-09-30T00:00:00"/>
        <d v="2021-03-29T00:00:00"/>
        <d v="2022-06-05T00:00:00"/>
        <d v="2022-05-12T00:00:00"/>
        <d v="2023-03-10T00:00:00"/>
        <d v="2023-01-31T00:00:00"/>
        <d v="2023-10-11T00:00:00"/>
        <d v="2019-11-15T00:00:00"/>
        <d v="2022-11-05T00:00:00"/>
        <d v="2023-07-03T00:00:00"/>
        <d v="2019-03-08T00:00:00"/>
        <d v="2023-09-03T00:00:00"/>
        <d v="2023-06-03T00:00:00"/>
        <d v="2023-07-07T00:00:00"/>
        <d v="2021-12-22T00:00:00"/>
        <d v="2020-06-19T00:00:00"/>
        <d v="2018-12-13T00:00:00"/>
        <d v="2022-12-25T00:00:00"/>
        <d v="2023-03-11T00:00:00"/>
        <d v="2020-01-18T00:00:00"/>
        <d v="2023-07-10T00:00:00"/>
        <d v="2022-10-13T00:00:00"/>
        <d v="2019-04-29T00:00:00"/>
        <d v="2020-10-22T00:00:00"/>
        <d v="2019-11-27T00:00:00"/>
        <d v="2023-06-01T00:00:00"/>
        <d v="2019-09-19T00:00:00"/>
        <d v="2022-04-30T00:00:00"/>
        <d v="2019-08-01T00:00:00"/>
        <d v="2022-08-21T00:00:00"/>
        <d v="2021-10-02T00:00:00"/>
        <d v="2020-07-20T00:00:00"/>
        <d v="2020-12-22T00:00:00"/>
        <d v="2019-08-20T00:00:00"/>
        <d v="2023-05-24T00:00:00"/>
        <d v="2020-04-29T00:00:00"/>
        <d v="2021-12-23T00:00:00"/>
        <d v="2020-04-28T00:00:00"/>
        <d v="2021-09-01T00:00:00"/>
        <d v="2022-06-02T00:00:00"/>
        <d v="2022-10-15T00:00:00"/>
        <d v="2020-12-05T00:00:00"/>
        <d v="2020-11-25T00:00:00"/>
        <d v="2019-05-01T00:00:00"/>
        <d v="2023-01-15T00:00:00"/>
        <d v="2022-08-08T00:00:00"/>
        <d v="2022-01-04T00:00:00"/>
        <d v="2022-07-10T00:00:00"/>
        <d v="2023-08-01T00:00:00"/>
        <d v="2021-06-15T00:00:00"/>
        <d v="2020-03-25T00:00:00"/>
        <d v="2022-07-06T00:00:00"/>
        <d v="2022-12-08T00:00:00"/>
        <d v="2023-05-18T00:00:00"/>
        <d v="2020-06-22T00:00:00"/>
        <d v="2020-01-14T00:00:00"/>
        <d v="2023-06-10T00:00:00"/>
        <d v="2022-11-08T00:00:00"/>
        <d v="2021-03-09T00:00:00"/>
        <d v="2022-12-02T00:00:00"/>
        <d v="2020-12-15T00:00:00"/>
        <d v="2020-03-15T00:00:00"/>
        <d v="2021-08-27T00:00:00"/>
        <d v="2019-12-11T00:00:00"/>
        <d v="2019-12-30T00:00:00"/>
        <d v="2019-04-10T00:00:00"/>
        <d v="2020-02-06T00:00:00"/>
        <d v="2023-04-27T00:00:00"/>
        <d v="2020-03-09T00:00:00"/>
        <d v="2022-07-02T00:00:00"/>
        <d v="2021-02-06T00:00:00"/>
        <d v="2019-01-23T00:00:00"/>
        <d v="2023-08-14T00:00:00"/>
        <d v="2023-10-10T00:00:00"/>
        <d v="2023-09-16T00:00:00"/>
        <d v="2023-07-09T00:00:00"/>
        <d v="2021-11-25T00:00:00"/>
        <d v="2021-04-01T00:00:00"/>
        <d v="2020-08-06T00:00:00"/>
        <d v="2019-02-27T00:00:00"/>
        <d v="2021-10-23T00:00:00"/>
        <d v="2019-12-04T00:00:00"/>
        <d v="2020-09-25T00:00:00"/>
        <d v="2023-03-13T00:00:00"/>
        <d v="2022-04-20T00:00:00"/>
        <d v="2021-11-06T00:00:00"/>
        <d v="2021-03-12T00:00:00"/>
        <d v="2019-05-18T00:00:00"/>
        <d v="2020-02-16T00:00:00"/>
        <d v="2022-04-17T00:00:00"/>
        <d v="2020-02-04T00:00:00"/>
        <d v="2019-07-31T00:00:00"/>
        <d v="2018-11-09T00:00:00"/>
        <d v="2019-10-12T00:00:00"/>
        <d v="2022-07-16T00:00:00"/>
        <d v="2021-10-22T00:00:00"/>
        <d v="2021-12-16T00:00:00"/>
        <d v="2021-01-29T00:00:00"/>
        <d v="2023-09-09T00:00:00"/>
        <d v="2021-05-05T00:00:00"/>
        <d v="2021-01-10T00:00:00"/>
        <d v="2023-08-18T00:00:00"/>
        <d v="2022-08-27T00:00:00"/>
        <d v="2023-04-29T00:00:00"/>
        <d v="2019-10-13T00:00:00"/>
        <d v="2019-06-15T00:00:00"/>
        <d v="2020-05-12T00:00:00"/>
        <d v="2022-12-15T00:00:00"/>
        <d v="2023-03-31T00:00:00"/>
        <d v="2022-06-01T00:00:00"/>
        <d v="2022-11-22T00:00:00"/>
        <d v="2020-02-26T00:00:00"/>
        <d v="2023-02-05T00:00:00"/>
        <d v="2022-12-12T00:00:00"/>
        <d v="2019-08-02T00:00:00"/>
        <d v="2021-02-13T00:00:00"/>
        <d v="2019-07-07T00:00:00"/>
        <d v="2022-05-31T00:00:00"/>
        <d v="2023-03-03T00:00:00"/>
        <d v="2018-11-01T00:00:00"/>
        <d v="2021-05-13T00:00:00"/>
        <d v="2020-03-02T00:00:00"/>
        <d v="2022-11-03T00:00:00"/>
        <d v="2018-12-23T00:00:00"/>
        <d v="2020-10-03T00:00:00"/>
        <d v="2018-11-20T00:00:00"/>
        <d v="2019-02-02T00:00:00"/>
        <d v="2020-06-28T00:00:00"/>
        <d v="2019-01-01T00:00:00"/>
        <d v="2022-02-27T00:00:00"/>
        <d v="2021-04-13T00:00:00"/>
        <d v="2019-09-11T00:00:00"/>
        <d v="2023-03-23T00:00:00"/>
        <d v="2021-06-09T00:00:00"/>
        <d v="2022-07-24T00:00:00"/>
        <d v="2020-09-19T00:00:00"/>
        <d v="2020-01-09T00:00:00"/>
        <d v="2023-05-19T00:00:00"/>
        <d v="2020-01-03T00:00:00"/>
        <d v="2023-10-24T00:00:00"/>
        <d v="2019-09-14T00:00:00"/>
        <d v="2021-05-07T00:00:00"/>
        <d v="2023-03-29T00:00:00"/>
        <d v="2020-01-30T00:00:00"/>
        <d v="2019-08-09T00:00:00"/>
        <d v="2020-10-29T00:00:00"/>
        <d v="2023-05-09T00:00:00"/>
        <d v="2019-03-09T00:00:00"/>
        <d v="2020-07-18T00:00:00"/>
        <d v="2021-12-28T00:00:00"/>
        <d v="2019-09-29T00:00:00"/>
        <d v="2019-06-25T00:00:00"/>
        <d v="2019-03-04T00:00:00"/>
        <d v="2021-03-07T00:00:00"/>
        <d v="2022-02-01T00:00:00"/>
        <d v="2020-06-14T00:00:00"/>
        <d v="2023-05-17T00:00:00"/>
        <d v="2020-02-03T00:00:00"/>
        <d v="2018-11-07T00:00:00"/>
        <d v="2022-05-27T00:00:00"/>
        <d v="2020-07-30T00:00:00"/>
        <d v="2021-06-17T00:00:00"/>
        <d v="2019-06-14T00:00:00"/>
        <d v="2021-05-06T00:00:00"/>
        <d v="2021-12-12T00:00:00"/>
        <d v="2020-11-24T00:00:00"/>
        <d v="2023-04-11T00:00:00"/>
        <d v="2022-03-21T00:00:00"/>
        <d v="2020-12-31T00:00:00"/>
        <d v="2021-11-27T00:00:00"/>
        <d v="2020-02-29T00:00:00"/>
        <d v="2019-09-20T00:00:00"/>
        <d v="2020-12-14T00:00:00"/>
        <d v="2022-07-07T00:00:00"/>
        <d v="2023-07-06T00:00:00"/>
        <d v="2022-04-05T00:00:00"/>
        <d v="2023-08-26T00:00:00"/>
        <d v="2023-02-20T00:00:00"/>
        <d v="2019-06-16T00:00:00"/>
        <d v="2022-01-20T00:00:00"/>
        <d v="2018-11-17T00:00:00"/>
        <d v="2020-04-03T00:00:00"/>
        <d v="2019-07-09T00:00:00"/>
        <d v="2019-07-24T00:00:00"/>
        <d v="2020-02-24T00:00:00"/>
        <d v="2021-07-07T00:00:00"/>
        <d v="2020-05-22T00:00:00"/>
        <d v="2022-12-31T00:00:00"/>
        <d v="2022-03-29T00:00:00"/>
        <d v="2023-01-24T00:00:00"/>
        <d v="2022-12-27T00:00:00"/>
        <d v="2020-01-19T00:00:00"/>
        <d v="2019-05-12T00:00:00"/>
        <d v="2022-10-01T00:00:00"/>
        <d v="2019-03-22T00:00:00"/>
        <d v="2023-07-21T00:00:00"/>
        <d v="2023-09-01T00:00:00"/>
        <d v="2023-06-08T00:00:00"/>
        <d v="2019-07-14T00:00:00"/>
        <d v="2021-02-03T00:00:00"/>
        <d v="2022-03-23T00:00:00"/>
        <d v="2021-04-29T00:00:00"/>
        <d v="2020-03-13T00:00:00"/>
        <d v="2023-10-16T00:00:00"/>
        <d v="2021-06-05T00:00:00"/>
        <d v="2021-06-30T00:00:00"/>
        <d v="2021-02-10T00:00:00"/>
        <d v="2021-06-24T00:00:00"/>
        <d v="2020-03-31T00:00:00"/>
        <d v="2019-10-04T00:00:00"/>
        <d v="2019-08-23T00:00:00"/>
        <d v="2019-09-04T00:00:00"/>
        <d v="2019-11-16T00:00:00"/>
        <d v="2021-02-04T00:00:00"/>
        <d v="2019-02-05T00:00:00"/>
        <d v="2019-07-02T00:00:00"/>
        <d v="2021-10-10T00:00:00"/>
        <d v="2023-09-24T00:00:00"/>
        <d v="2020-10-16T00:00:00"/>
        <d v="2022-01-27T00:00:00"/>
        <d v="2023-07-11T00:00:00"/>
        <d v="2021-03-24T00:00:00"/>
        <d v="2021-08-18T00:00:00"/>
        <d v="2019-06-20T00:00:00"/>
        <d v="2021-03-06T00:00:00"/>
        <d v="2018-12-08T00:00:00"/>
        <d v="2019-05-14T00:00:00"/>
        <d v="2023-04-25T00:00:00"/>
        <d v="2020-03-28T00:00:00"/>
        <d v="2020-11-03T00:00:00"/>
        <d v="2022-02-08T00:00:00"/>
        <d v="2019-02-16T00:00:00"/>
        <d v="2022-08-15T00:00:00"/>
        <d v="2022-06-27T00:00:00"/>
        <d v="2020-08-23T00:00:00"/>
        <d v="2020-02-01T00:00:00"/>
        <d v="2021-01-04T00:00:00"/>
        <d v="2021-05-31T00:00:00"/>
        <d v="2020-03-24T00:00:00"/>
        <d v="2023-08-19T00:00:00"/>
        <d v="2022-02-10T00:00:00"/>
        <d v="2023-09-30T00:00:00"/>
        <d v="2020-08-09T00:00:00"/>
        <d v="2022-03-17T00:00:00"/>
        <d v="2022-11-02T00:00:00"/>
        <d v="2020-06-07T00:00:00"/>
        <d v="2018-11-21T00:00:00"/>
        <d v="2021-12-17T00:00:00"/>
        <d v="2020-09-26T00:00:00"/>
        <d v="2023-06-04T00:00:00"/>
        <d v="2020-06-23T00:00:00"/>
        <d v="2021-11-11T00:00:00"/>
        <d v="2021-12-10T00:00:00"/>
        <d v="2021-06-01T00:00:00"/>
        <d v="2021-01-11T00:00:00"/>
        <d v="2020-08-07T00:00:00"/>
        <d v="2023-07-16T00:00:00"/>
        <d v="2020-01-23T00:00:00"/>
        <d v="2021-02-07T00:00:00"/>
        <d v="2020-03-05T00:00:00"/>
        <d v="2021-08-16T00:00:00"/>
        <d v="2020-02-12T00:00:00"/>
        <d v="2023-10-28T00:00:00"/>
        <d v="2022-03-02T00:00:00"/>
        <d v="2019-04-04T00:00:00"/>
        <d v="2022-01-24T00:00:00"/>
        <d v="2019-01-10T00:00:00"/>
        <d v="2021-10-30T00:00:00"/>
        <d v="2020-05-13T00:00:00"/>
        <d v="2021-09-11T00:00:00"/>
        <d v="2021-02-24T00:00:00"/>
        <d v="2023-01-26T00:00:00"/>
        <d v="2022-05-05T00:00:00"/>
        <d v="2020-08-16T00:00:00"/>
        <d v="2022-02-06T00:00:00"/>
        <d v="2022-08-12T00:00:00"/>
        <d v="2020-09-07T00:00:00"/>
        <d v="2021-11-29T00:00:00"/>
        <d v="2023-01-08T00:00:00"/>
        <d v="2021-09-20T00:00:00"/>
        <d v="2021-08-19T00:00:00"/>
        <d v="2021-08-25T00:00:00"/>
        <d v="2021-09-02T00:00:00"/>
        <d v="2023-07-08T00:00:00"/>
        <d v="2021-04-14T00:00:00"/>
        <d v="2023-05-03T00:00:00"/>
        <d v="2022-01-03T00:00:00"/>
        <d v="2020-06-13T00:00:00"/>
        <d v="2023-07-15T00:00:00"/>
        <d v="2021-03-15T00:00:00"/>
        <d v="2021-07-19T00:00:00"/>
        <d v="2022-12-07T00:00:00"/>
        <d v="2019-09-18T00:00:00"/>
        <d v="2022-11-07T00:00:00"/>
        <d v="2020-12-26T00:00:00"/>
        <d v="2020-08-15T00:00:00"/>
        <d v="2021-12-01T00:00:00"/>
        <d v="2021-04-18T00:00:00"/>
        <d v="2019-11-28T00:00:00"/>
        <d v="2022-07-11T00:00:00"/>
        <d v="2020-04-10T00:00:00"/>
        <d v="2021-10-08T00:00:00"/>
        <d v="2021-09-22T00:00:00"/>
        <d v="2021-07-30T00:00:00"/>
        <d v="2020-10-13T00:00:00"/>
        <d v="2021-12-14T00:00:00"/>
        <d v="2022-01-19T00:00:00"/>
        <d v="2021-02-18T00:00:00"/>
        <d v="2020-10-17T00:00:00"/>
        <d v="2023-10-12T00:00:00"/>
        <d v="2019-04-08T00:00:00"/>
        <d v="2019-10-26T00:00:00"/>
        <d v="2022-07-03T00:00:00"/>
        <d v="2020-12-12T00:00:00"/>
        <d v="2018-12-01T00:00:00"/>
        <d v="2020-01-10T00:00:00"/>
        <d v="2023-03-16T00:00:00"/>
        <d v="2023-03-27T00:00:00"/>
        <d v="2020-09-15T00:00:00"/>
        <d v="2021-02-14T00:00:00"/>
        <d v="2022-05-19T00:00:00"/>
        <d v="2020-08-24T00:00:00"/>
        <d v="2021-10-21T00:00:00"/>
        <d v="2019-02-13T00:00:00"/>
        <d v="2022-02-15T00:00:00"/>
        <d v="2022-03-03T00:00:00"/>
        <d v="2021-03-19T00:00:00"/>
        <d v="2019-06-01T00:00:00"/>
        <d v="2020-04-11T00:00:00"/>
        <d v="2019-02-24T00:00:00"/>
        <d v="2020-02-23T00:00:00"/>
        <d v="2022-01-31T00:00:00"/>
        <d v="2018-11-05T00:00:00"/>
        <d v="2023-04-06T00:00:00"/>
        <d v="2021-06-06T00:00:00"/>
        <d v="2023-08-12T00:00:00"/>
        <d v="2020-03-07T00:00:00"/>
        <d v="2023-03-07T00:00:00"/>
        <d v="2018-11-25T00:00:00"/>
        <d v="2019-12-14T00:00:00"/>
        <d v="2020-08-05T00:00:00"/>
        <d v="2022-03-24T00:00:00"/>
        <d v="2021-03-30T00:00:00"/>
        <d v="2020-12-17T00:00:00"/>
        <d v="2022-10-26T00:00:00"/>
        <d v="2021-10-09T00:00:00"/>
        <d v="2019-03-07T00:00:00"/>
        <d v="2022-10-31T00:00:00"/>
        <d v="2022-04-14T00:00:00"/>
        <d v="2020-06-21T00:00:00"/>
        <d v="2022-02-24T00:00:00"/>
        <d v="2022-01-05T00:00:00"/>
        <d v="2023-04-13T00:00:00"/>
        <d v="2022-04-07T00:00:00"/>
        <d v="2022-05-10T00:00:00"/>
        <d v="2020-03-08T00:00:00"/>
        <d v="2020-04-30T00:00:00"/>
        <d v="2021-12-21T00:00:00"/>
        <d v="2022-03-31T00:00:00"/>
        <d v="2021-12-03T00:00:00"/>
        <d v="2022-12-28T00:00:00"/>
        <d v="2021-03-25T00:00:00"/>
        <d v="2020-01-06T00:00:00"/>
        <d v="2020-08-12T00:00:00"/>
        <d v="2022-11-17T00:00:00"/>
        <d v="2021-09-25T00:00:00"/>
        <d v="2019-04-17T00:00:00"/>
        <d v="2023-06-17T00:00:00"/>
        <d v="2019-06-04T00:00:00"/>
        <d v="2022-02-28T00:00:00"/>
        <d v="2021-07-29T00:00:00"/>
        <d v="2023-08-24T00:00:00"/>
        <d v="2020-12-28T00:00:00"/>
        <d v="2019-08-25T00:00:00"/>
        <d v="2023-04-02T00:00:00"/>
        <d v="2021-05-20T00:00:00"/>
        <d v="2018-12-30T00:00:00"/>
        <d v="2019-03-11T00:00:00"/>
        <d v="2021-01-24T00:00:00"/>
        <d v="2019-11-11T00:00:00"/>
        <d v="2019-10-02T00:00:00"/>
        <d v="2023-01-02T00:00:00"/>
        <d v="2021-09-12T00:00:00"/>
        <d v="2020-04-04T00:00:00"/>
        <d v="2019-11-17T00:00:00"/>
        <d v="2021-11-14T00:00:00"/>
        <d v="2019-09-05T00:00:00"/>
        <d v="2019-07-04T00:00:00"/>
        <d v="2021-02-17T00:00:00"/>
        <d v="2021-03-22T00:00:00"/>
        <d v="2022-12-18T00:00:00"/>
        <d v="2020-11-29T00:00:00"/>
        <d v="2023-07-28T00:00:00"/>
        <d v="2020-03-19T00:00:00"/>
        <d v="2023-02-19T00:00:00"/>
        <d v="2018-11-03T00:00:00"/>
        <d v="2023-05-10T00:00:00"/>
        <d v="2020-11-19T00:00:00"/>
        <d v="2022-08-29T00:00:00"/>
        <d v="2022-05-23T00:00:00"/>
        <d v="2019-12-06T00:00:00"/>
        <d v="2023-03-17T00:00:00"/>
        <d v="2019-10-05T00:00:00"/>
        <d v="2019-06-18T00:00:00"/>
        <d v="2022-03-14T00:00:00"/>
        <d v="2022-11-09T00:00:00"/>
        <d v="2023-04-03T00:00:00"/>
        <d v="2019-04-25T00:00:00"/>
        <d v="2021-05-25T00:00:00"/>
        <d v="2023-10-30T00:00:00"/>
        <d v="2021-12-13T00:00:00"/>
        <d v="2023-06-13T00:00:00"/>
        <d v="2019-10-31T00:00:00"/>
        <d v="2020-07-10T00:00:00"/>
        <d v="2020-03-17T00:00:00"/>
        <d v="2021-11-26T00:00:00"/>
        <d v="2020-01-11T00:00:00"/>
        <d v="2020-08-27T00:00:00"/>
        <d v="2020-05-26T00:00:00"/>
        <d v="2021-11-07T00:00:00"/>
        <d v="2020-10-20T00:00:00"/>
        <d v="2021-08-29T00:00:00"/>
        <d v="2023-04-05T00:00:00"/>
        <d v="2019-10-16T00:00:00"/>
        <d v="2020-01-24T00:00:00"/>
        <d v="2019-04-01T00:00:00"/>
        <d v="2020-04-20T00:00:00"/>
        <d v="2021-08-12T00:00:00"/>
        <d v="2023-04-12T00:00:00"/>
        <d v="2019-09-03T00:00:00"/>
        <d v="2022-08-25T00:00:00"/>
        <d v="2020-02-20T00:00:00"/>
        <d v="2019-12-12T00:00:00"/>
        <d v="2021-01-09T00:00:00"/>
        <d v="2019-04-26T00:00:00"/>
        <d v="2022-09-21T00:00:00"/>
        <d v="2019-06-06T00:00:00"/>
        <d v="2020-05-05T00:00:00"/>
        <d v="2022-11-29T00:00:00"/>
        <d v="2019-04-05T00:00:00"/>
        <d v="2021-04-11T00:00:00"/>
        <d v="2021-09-09T00:00:00"/>
        <d v="2022-01-26T00:00:00"/>
        <d v="2022-06-16T00:00:00"/>
        <d v="2020-12-07T00:00:00"/>
        <d v="2020-04-08T00:00:00"/>
        <d v="2021-08-24T00:00:00"/>
        <d v="2022-02-18T00:00:00"/>
        <d v="2022-08-03T00:00:00"/>
        <d v="2021-08-15T00:00:00"/>
        <d v="2020-09-14T00:00:00"/>
        <d v="2019-06-09T00:00:00"/>
        <d v="2019-09-26T00:00:00"/>
        <d v="2019-11-07T00:00:00"/>
        <d v="2021-03-17T00:00:00"/>
        <d v="2020-11-22T00:00:00"/>
        <d v="2022-10-27T00:00:00"/>
        <d v="2020-08-08T00:00:00"/>
        <d v="2022-08-11T00:00:00"/>
        <d v="2019-07-15T00:00:00"/>
        <d v="2020-03-04T00:00:00"/>
        <d v="2018-12-10T00:00:00"/>
        <d v="2021-04-19T00:00:00"/>
        <d v="2023-04-18T00:00:00"/>
        <d v="2023-04-16T00:00:00"/>
        <d v="2022-08-06T00:00:00"/>
        <d v="2020-02-10T00:00:00"/>
        <d v="2021-10-06T00:00:00"/>
        <d v="2022-09-18T00:00:00"/>
        <d v="2022-02-03T00:00:00"/>
        <d v="2022-07-26T00:00:00"/>
        <d v="2023-06-26T00:00:00"/>
        <d v="2019-09-27T00:00:00"/>
        <d v="2021-07-01T00:00:00"/>
        <d v="2021-03-02T00:00:00"/>
        <d v="2020-06-18T00:00:00"/>
        <d v="2020-08-25T00:00:00"/>
        <d v="2021-03-20T00:00:00"/>
        <d v="2020-10-05T00:00:00"/>
        <d v="2022-05-21T00:00:00"/>
        <d v="2020-11-11T00:00:00"/>
        <d v="2022-07-20T00:00:00"/>
        <d v="2022-07-13T00:00:00"/>
        <d v="2021-01-22T00:00:00"/>
        <d v="2023-04-26T00:00:00"/>
        <d v="2019-04-11T00:00:00"/>
        <d v="2023-03-09T00:00:00"/>
        <d v="2018-11-30T00:00:00"/>
        <d v="2022-05-16T00:00:00"/>
        <d v="2020-05-09T00:00:00"/>
        <d v="2022-06-24T00:00:00"/>
        <d v="2022-09-06T00:00:00"/>
        <d v="2022-04-24T00:00:00"/>
        <d v="2023-05-25T00:00:00"/>
        <d v="2022-06-26T00:00:00"/>
        <d v="2021-08-17T00:00:00"/>
        <d v="2020-10-12T00:00:00"/>
        <d v="2019-07-26T00:00:00"/>
        <d v="2021-01-19T00:00:00"/>
        <d v="2023-04-21T00:00:00"/>
        <d v="2022-04-15T00:00:00"/>
        <d v="2019-01-14T00:00:00"/>
        <d v="2019-01-09T00:00:00"/>
        <d v="2022-08-28T00:00:00"/>
        <d v="2023-04-23T00:00:00"/>
        <d v="2020-03-06T00:00:00"/>
        <d v="2022-03-05T00:00:00"/>
        <d v="2022-10-17T00:00:00"/>
        <d v="2020-11-12T00:00:00"/>
        <d v="2023-02-09T00:00:00"/>
        <d v="2023-07-25T00:00:00"/>
        <d v="2022-06-19T00:00:00"/>
        <d v="2021-09-19T00:00:00"/>
        <d v="2022-03-06T00:00:00"/>
        <d v="2023-08-25T00:00:00"/>
        <d v="2019-11-04T00:00:00"/>
        <d v="2020-07-12T00:00:00"/>
        <d v="2022-04-29T00:00:00"/>
        <d v="2022-10-09T00:00:00"/>
        <d v="2020-01-29T00:00:00"/>
        <d v="2023-06-22T00:00:00"/>
        <d v="2023-05-02T00:00:00"/>
        <d v="2023-08-05T00:00:00"/>
        <d v="2021-01-12T00:00:00"/>
        <d v="2022-07-25T00:00:00"/>
        <d v="2019-07-06T00:00:00"/>
        <d v="2020-08-21T00:00:00"/>
        <d v="2019-06-26T00:00:00"/>
        <d v="2023-01-27T00:00:00"/>
        <d v="2023-09-06T00:00:00"/>
        <d v="2023-01-28T00:00:00"/>
        <d v="2021-10-24T00:00:00"/>
        <d v="2021-04-10T00:00:00"/>
        <d v="2020-12-06T00:00:00"/>
        <d v="2023-09-02T00:00:00"/>
        <d v="2020-05-31T00:00:00"/>
        <d v="2023-04-22T00:00:00"/>
        <d v="2019-02-15T00:00:00"/>
        <d v="2023-10-08T00:00:00"/>
        <d v="2021-12-15T00:00:00"/>
        <d v="2019-02-07T00:00:00"/>
        <d v="2018-11-29T00:00:00"/>
        <d v="2019-06-21T00:00:00"/>
        <d v="2019-03-02T00:00:00"/>
        <d v="2022-09-29T00:00:00"/>
        <d v="2021-07-12T00:00:00"/>
        <d v="2020-01-13T00:00:00"/>
        <d v="2018-12-28T00:00:00"/>
        <d v="2022-11-23T00:00:00"/>
        <d v="2022-10-18T00:00:00"/>
        <d v="2022-06-14T00:00:00"/>
        <d v="2021-12-11T00:00:00"/>
        <d v="2018-11-10T00:00:00"/>
        <d v="2018-11-28T00:00:00"/>
        <d v="2021-09-05T00:00:00"/>
        <d v="2020-05-30T00:00:00"/>
        <d v="2020-07-29T00:00:00"/>
        <d v="2023-06-29T00:00:00"/>
        <d v="2020-03-03T00:00:00"/>
        <d v="2019-09-15T00:00:00"/>
        <d v="2019-06-13T00:00:00"/>
        <d v="2022-04-02T00:00:00"/>
        <d v="2022-10-24T00:00:00"/>
        <d v="2021-08-08T00:00:00"/>
        <d v="2019-05-28T00:00:00"/>
        <d v="2020-04-16T00:00:00"/>
        <d v="2022-03-07T00:00:00"/>
        <d v="2023-06-21T00:00:00"/>
        <d v="2022-10-06T00:00:00"/>
        <d v="2023-09-05T00:00:00"/>
        <d v="2023-03-02T00:00:00"/>
        <d v="2022-08-07T00:00:00"/>
        <d v="2019-07-21T00:00:00"/>
        <d v="2021-08-22T00:00:00"/>
        <d v="2022-03-26T00:00:00"/>
        <d v="2019-03-05T00:00:00"/>
        <d v="2021-10-28T00:00:00"/>
        <d v="2019-08-17T00:00:00"/>
        <d v="2021-12-07T00:00:00"/>
        <d v="2020-11-09T00:00:00"/>
        <d v="2022-03-16T00:00:00"/>
        <d v="2022-06-13T00:00:00"/>
        <m/>
      </sharedItems>
      <fieldGroup par="19"/>
    </cacheField>
    <cacheField name="Doctor" numFmtId="0">
      <sharedItems containsBlank="1"/>
    </cacheField>
    <cacheField name="Hospital" numFmtId="0">
      <sharedItems containsMixedTypes="1" containsNumber="1" containsInteger="1" minValue="999" maxValue="999" count="973">
        <s v="Bauer, Lee and Cantrell"/>
        <s v="Webb Ltd"/>
        <s v="Watson, Berger and Guerra"/>
        <s v="Silva, Adams and Price"/>
        <s v="Rich, Hart and Edwards"/>
        <s v="Smith Group"/>
        <s v="Morris PLC"/>
        <s v="Roberts-Elliott"/>
        <s v="Johnson, George and Shelton"/>
        <s v="Watkins Group"/>
        <s v="Wilkinson-Mcdonald"/>
        <s v="Cruz-Dean"/>
        <s v="White PLC"/>
        <s v="Lynch and Sons"/>
        <s v="Richardson-Osborn"/>
        <s v="Cox, Garcia and Nichols"/>
        <s v="Burch-White"/>
        <s v="Allen Group"/>
        <s v="Brown-Arnold"/>
        <s v="Mccormick LLC"/>
        <s v="Williamson Group"/>
        <s v="Saunders, Blake and Bell"/>
        <s v="Owens Ltd"/>
        <s v="Padilla and Sons"/>
        <s v="Chan-Brady"/>
        <s v="Anthony Ltd"/>
        <s v="Perez PLC"/>
        <s v="Gibson-Harrison"/>
        <s v="Lopez Group"/>
        <s v="Huff Group"/>
        <s v="Davis-Sanchez"/>
        <s v="Moore and Sons"/>
        <s v="Sanchez PLC"/>
        <s v="Miller Ltd"/>
        <s v="Keith, Berry and King"/>
        <s v="Lambert PLC"/>
        <s v="Delgado, Banks and Foster"/>
        <s v="Gutierrez-Kelly"/>
        <s v="Dawson-Palmer"/>
        <s v="Stephens and Sons"/>
        <s v="Forbes, Hill and Macias"/>
        <s v="Bridges, Garcia and Joyce"/>
        <s v="Williams, Hinton and Ray"/>
        <s v="Gallagher, Roberts and Horn"/>
        <s v="Taylor, Mckay and Sanchez"/>
        <s v="Ortiz-Hernandez"/>
        <s v="Wilkinson, Harvey and Lopez"/>
        <s v="Myers LLC"/>
        <s v="Curry Ltd"/>
        <s v="Nguyen-Smith"/>
        <s v="Larson-Montgomery"/>
        <s v="Jones Inc"/>
        <s v="Watson LLC"/>
        <s v="Carey PLC"/>
        <s v="Hill and Sons"/>
        <s v="Baker, Parker and Mcgee"/>
        <s v="Ford, Wilson and Davis"/>
        <s v="Baker Inc"/>
        <s v="Rosales, Lyons and Aguilar"/>
        <s v="Robinson-Armstrong"/>
        <s v="Johnson-Pierce"/>
        <s v="Russo, Mccall and Clark"/>
        <s v="Moore-Baker"/>
        <s v="Lawson, Hayden and Collins"/>
        <s v="Maxwell, James and Davis"/>
        <s v="Burke-Reed"/>
        <s v="Castillo Inc"/>
        <s v="Jenkins, Collins and Barajas"/>
        <s v="Collins, Ward and Jackson"/>
        <s v="Johnson Inc"/>
        <s v="Taylor and Sons"/>
        <s v="Smith-Ray"/>
        <s v="Chambers PLC"/>
        <s v="Boone, Smith and Riddle"/>
        <s v="Hernandez Ltd"/>
        <s v="Campbell, Graham and Rosario"/>
        <s v="Adams, Ibarra and Phillips"/>
        <s v="Crawford, Lewis and Austin"/>
        <s v="Hudson, Jackson and Bird"/>
        <s v="Young, Chang and Parker"/>
        <s v="Edwards Group"/>
        <s v="Moody, Daniels and Wilson"/>
        <s v="Gordon LLC"/>
        <s v="Smith, Roth and Green"/>
        <s v="Sanchez LLC"/>
        <s v="Nguyen-Johnson"/>
        <s v="Kerr LLC"/>
        <s v="Nguyen LLC"/>
        <s v="Vasquez Inc"/>
        <s v="Sims, King and Martin"/>
        <s v="Young, Warner and Taylor"/>
        <s v="Wilson, Andrews and Webb"/>
        <s v="Brady, Brown and Adams"/>
        <s v="Allen, Robinson and Campbell"/>
        <s v="Diaz-Ferguson"/>
        <s v="Calderon and Sons"/>
        <s v="Duffy, Potts and Rodgers"/>
        <s v="Walker-Mcguire"/>
        <s v="Kane-Alvarado"/>
        <s v="Haney-Morgan"/>
        <s v="Burton, Harris and Phillips"/>
        <s v="Williams-Arias"/>
        <s v="Robbins Ltd"/>
        <s v="Miller-Hall"/>
        <s v="Ramirez Inc"/>
        <s v="Mcdonald LLC"/>
        <s v="Baldwin, Lyons and Campbell"/>
        <s v="Jones, Brown and Murray"/>
        <s v="Davis, Dominguez and Morales"/>
        <s v="Estrada, Nguyen and Patterson"/>
        <s v="Hernandez-Walker"/>
        <s v="Hayes-Graham"/>
        <s v="Russell Ltd"/>
        <s v="Wood-Clark"/>
        <s v="Cook-Wright"/>
        <s v="Wilson, Thornton and Koch"/>
        <s v="Hill-Baker"/>
        <s v="Johnson Group"/>
        <s v="Smith, King and Anderson"/>
        <s v="Boyd PLC"/>
        <s v="Perez-Baker"/>
        <s v="Brown Inc"/>
        <s v="Wilson PLC"/>
        <s v="Stewart Inc"/>
        <s v="Harris and Sons"/>
        <s v="Morton Ltd"/>
        <s v="Brown-Baker"/>
        <s v="Castro, Robinson and Maldonado"/>
        <s v="King and Sons"/>
        <s v="Schneider, Payne and Miller"/>
        <s v="Rush, Owens and Johnson"/>
        <s v="Johnson-Cortez"/>
        <s v="Yang-Greene"/>
        <s v="Clark-Phillips"/>
        <s v="Goodwin, Li and Juarez"/>
        <s v="Hanna, Smith and Stone"/>
        <s v="Williams, Coleman and Moreno"/>
        <s v="Mcguire PLC"/>
        <s v="Hahn-Richardson"/>
        <s v="Miller-Ballard"/>
        <s v="York, Anderson and Miller"/>
        <s v="Holmes-Cummings"/>
        <s v="Lynch-Hamilton"/>
        <s v="Smith and Sons"/>
        <s v="Glass-Hess"/>
        <s v="Allen, Schneider and Robinson"/>
        <s v="Nunez-Miller"/>
        <s v="Bell, Mcknight and Willis"/>
        <s v="Sanders Ltd"/>
        <s v="Cox, Hartman and Young"/>
        <s v="Burns-Hoover"/>
        <s v="Salazar, Williams and Byrd"/>
        <s v="Ramirez, Graham and Wright"/>
        <s v="Henry-Clay"/>
        <s v="Pearson LLC"/>
        <s v="Snyder-Park"/>
        <s v="Orr, Bowers and Harris"/>
        <s v="Lester Ltd"/>
        <s v="Wright-Welch"/>
        <s v="Anderson, Burgess and Jones"/>
        <s v="Powell-Nguyen"/>
        <s v="Campbell-Shelton"/>
        <s v="Taylor-Kelly"/>
        <s v="Mayo-Lee"/>
        <s v="Goodwin-Garcia"/>
        <s v="Nguyen, Thompson and Mckinney"/>
        <s v="Peterson-Morris"/>
        <s v="Davies, Smith and Richards"/>
        <s v="Lawson LLC"/>
        <s v="Hill, Valencia and Ferguson"/>
        <s v="Perry, Edwards and Gray"/>
        <s v="Jones-Owens"/>
        <s v="Wagner, Mora and Watson"/>
        <s v="Hernandez-Callahan"/>
        <s v="Morgan-Wilson"/>
        <s v="Harris-Moore"/>
        <s v="Jackson-Le"/>
        <s v="Garcia Ltd"/>
        <s v="Adams, Garcia and Dudley"/>
        <s v="Jacobs, Walters and Flores"/>
        <s v="Charles-Owen"/>
        <s v="Higgins-Robinson"/>
        <s v="Potter Ltd"/>
        <s v="Vaughn PLC"/>
        <s v="Daniel, Branch and Molina"/>
        <s v="Rodriguez and Sons"/>
        <s v="Gray, Scott and Hernandez"/>
        <s v="Robinson-Odonnell"/>
        <s v="Summers, Travis and Price"/>
        <s v="Hunter Group"/>
        <s v="Robinson, Pitts and Hill"/>
        <s v="Franklin Group"/>
        <s v="Douglas-Rodriguez"/>
        <s v="Clark-Todd"/>
        <s v="Lawson Ltd"/>
        <s v="Jones, Martinez and Moore"/>
        <s v="Hayes Ltd"/>
        <s v="Young-Cole"/>
        <s v="Morris Inc"/>
        <s v="Davis Inc"/>
        <s v="Sweeney Group"/>
        <s v="Moore, Simmons and Norris"/>
        <s v="Sanchez Ltd"/>
        <s v="Moreno, Maldonado and Benjamin"/>
        <s v="Lane and Sons"/>
        <s v="Collier and Sons"/>
        <s v="Mcknight-Hernandez"/>
        <s v="Copeland-Smith"/>
        <s v="Harris, Bailey and Le"/>
        <s v="Adkins, Morales and Maynard"/>
        <s v="Andrews, Mcguire and Turner"/>
        <s v="Foster Inc"/>
        <s v="Smith-Robinson"/>
        <s v="Little, Fuller and Riddle"/>
        <s v="Torres, Miller and Franklin"/>
        <s v="Edwards, Salinas and Snyder"/>
        <s v="Glover and Sons"/>
        <s v="Mann-Wood"/>
        <s v="Martinez-Francis"/>
        <s v="Schmidt, Jackson and Luna"/>
        <s v="Rios-Pratt"/>
        <s v="Schwartz PLC"/>
        <s v="Johnson and Sons"/>
        <s v="Frazier, Graham and Taylor"/>
        <s v="Price, Stevens and Singh"/>
        <s v="Stokes-Johnson"/>
        <s v="Bell LLC"/>
        <s v="Gilbert-Moody"/>
        <s v="Young and Sons"/>
        <s v="Robinson Ltd"/>
        <s v="Wright-Hart"/>
        <s v="Turner, Wallace and Reeves"/>
        <s v="Lynch-Garrett"/>
        <s v="Hopkins, Ellison and Duran"/>
        <s v="Williams LLC"/>
        <s v="Thompson PLC"/>
        <s v="Carson, Hernandez and Gallagher"/>
        <s v="Newman-Kline"/>
        <s v="Daniel, Scott and Fox"/>
        <s v="Howe, Wilson and Davis"/>
        <s v="Duke Group"/>
        <s v="Sanders and Sons"/>
        <s v="Cook-Thompson"/>
        <s v="Smith-Davila"/>
        <s v="Chandler Group"/>
        <s v="Gray, Cobb and Robinson"/>
        <s v="Tate Ltd"/>
        <s v="Miller LLC"/>
        <s v="Meyer Ltd"/>
        <s v="English, Brown and Weeks"/>
        <s v="Arnold, Pugh and Brown"/>
        <s v="Mccann, Carey and Brown"/>
        <s v="Mendoza-Lee"/>
        <s v="Neal, Walton and Henderson"/>
        <s v="Parker Inc"/>
        <s v="Davis-Allen"/>
        <s v="Baird LLC"/>
        <s v="Hall-Mccoy"/>
        <s v="Smith-Jones"/>
        <s v="Meyer Inc"/>
        <s v="Hudson Ltd"/>
        <s v="Cook Ltd"/>
        <s v="Hernandez, Hunt and Clark"/>
        <s v="Taylor LLC"/>
        <s v="Olson Ltd"/>
        <s v="Marshall, Bolton and Bridges"/>
        <s v="Lee, Whitaker and Murphy"/>
        <s v="Thomas Inc"/>
        <s v="Lee, Rasmussen and Anderson"/>
        <s v="Everett-Flynn"/>
        <s v="Cole-Love"/>
        <s v="Cline-Young"/>
        <s v="Brewer, Mccarthy and Wilson"/>
        <s v="Owens PLC"/>
        <s v="Hess-Robinson"/>
        <s v="Waters, Reeves and Navarro"/>
        <s v="Kim and Sons"/>
        <s v="Lane-Quinn"/>
        <s v="Hamilton-Dawson"/>
        <s v="Rosales-Mendoza"/>
        <s v="Bentley Ltd"/>
        <s v="Randall, Pitts and Rodriguez"/>
        <s v="Nelson, Baker and Peterson"/>
        <s v="Thompson, Russell and Carlson"/>
        <s v="Bryant, Thomas and Townsend"/>
        <s v="Bennett, Taylor and Savage"/>
        <s v="Martinez, Nolan and Ray"/>
        <s v="Foster-Adams"/>
        <s v="Burton-Hopkins"/>
        <s v="Robinson, Franklin and Perry"/>
        <s v="Carter-Young"/>
        <s v="Hall LLC"/>
        <s v="Maynard-Gill"/>
        <s v="Singleton, Cross and Jordan"/>
        <s v="Choi, Stone and Gonzalez"/>
        <s v="James and Sons"/>
        <s v="Reed-Parker"/>
        <s v="Hill LLC"/>
        <s v="Smith LLC"/>
        <s v="Harvey-Lewis"/>
        <s v="Collier, Nicholson and Hill"/>
        <s v="Koch-Reynolds"/>
        <s v="Burke, Griffin and Cooper"/>
        <s v="Gregory-Anderson"/>
        <s v="Owens-Ford"/>
        <s v="Hayes, Collins and Terrell"/>
        <s v="Miller PLC"/>
        <s v="Harris-Greene"/>
        <s v="Ferguson-Reyes"/>
        <s v="Carter, Simmons and Russo"/>
        <s v="Brown-Golden"/>
        <s v="Johnson, Stephenson and Meyer"/>
        <s v="Chan PLC"/>
        <s v="Sanford-Shaffer"/>
        <s v="Diaz-Ray"/>
        <s v="Miller, Griffith and George"/>
        <s v="Schultz-Powers"/>
        <s v="Miranda, Nguyen and Obrien"/>
        <s v="Johnson-Murphy"/>
        <s v="Cole and Sons"/>
        <s v="Valencia, Rice and Reed"/>
        <s v="Williams-Reeves"/>
        <s v="Wood-Krause"/>
        <s v="Olsen-Morrison"/>
        <s v="Young, Hicks and Garrett"/>
        <s v="Silva and Sons"/>
        <s v="Silva-Stephenson"/>
        <s v="Jones-Dillon"/>
        <s v="Olson-Cooper"/>
        <s v="Mendoza, Mccann and Rodriguez"/>
        <s v="Cooper-Diaz"/>
        <s v="Flores-Key"/>
        <s v="Morris, Bowman and Nelson"/>
        <s v="Dominguez-Nelson"/>
        <s v="Nichols Ltd"/>
        <s v="Martin, Marshall and Willis"/>
        <s v="Reyes and Sons"/>
        <s v="Little-Spencer"/>
        <s v="Tanner-Stanton"/>
        <s v="Russell-Rubio"/>
        <s v="Yoder Inc"/>
        <s v="Olsen-Johnson"/>
        <s v="Harrison-Tanner"/>
        <s v="Brooks, Williams and Long"/>
        <s v="Rodriguez, Ellis and Young"/>
        <s v="Henderson, Arias and Snyder"/>
        <s v="Munoz, Sanchez and Adams"/>
        <s v="Cline, Murphy and Stevens"/>
        <s v="Reyes, May and Smith"/>
        <s v="Lopez PLC"/>
        <s v="Rodriguez LLC"/>
        <s v="Chen-Patterson"/>
        <s v="Berry, Stone and Wood"/>
        <s v="Young, Martin and Johnson"/>
        <s v="Rodgers-Walker"/>
        <s v="Johnson, Cook and Morris"/>
        <s v="Martinez PLC"/>
        <s v="Aguilar-Lambert"/>
        <s v="Gonzalez, Shepherd and Jacobs"/>
        <s v="Jordan-Lawson"/>
        <s v="Casey, Jefferson and Carlson"/>
        <s v="Johnson Ltd"/>
        <s v="Gray, Andersen and Williams"/>
        <s v="Casey-Thomas"/>
        <s v="Schmidt Ltd"/>
        <s v="Huber, Todd and Martin"/>
        <s v="Dean, Duncan and Lamb"/>
        <s v="Caldwell, Patton and Scott"/>
        <s v="Hernandez, Ramos and Gutierrez"/>
        <s v="Young Group"/>
        <s v="Gay, Ortiz and Smith"/>
        <s v="Johnson, Carlson and Pratt"/>
        <s v="Stevens, Dawson and Davenport"/>
        <s v="Parker-Higgins"/>
        <s v="Santiago-Moon"/>
        <s v="Henry LLC"/>
        <s v="Oliver, Perez and Thomas"/>
        <s v="Johnson, Brewer and Hudson"/>
        <s v="Murphy-Edwards"/>
        <s v="Tran-Morris"/>
        <s v="Silva Group"/>
        <s v="Snyder PLC"/>
        <s v="Moore Ltd"/>
        <s v="Craig Group"/>
        <s v="Martin and Sons"/>
        <s v="Lewis-Boone"/>
        <s v="Finley-Bradley"/>
        <s v="Berry-Gallagher"/>
        <s v="Liu-Hunt"/>
        <s v="Gutierrez-Jackson"/>
        <s v="Greer-Anderson"/>
        <s v="Acosta, Thompson and Schultz"/>
        <s v="Rivera-Delgado"/>
        <s v="Lopez-Morales"/>
        <s v="Williams-Henderson"/>
        <s v="Ingram Inc"/>
        <s v="James-Valenzuela"/>
        <s v="Rojas-Cook"/>
        <s v="Brown-Nielsen"/>
        <s v="Hardin, Cortez and Bailey"/>
        <s v="Phillips-Johnson"/>
        <s v="Booker Inc"/>
        <s v="Shaw, Hernandez and Ford"/>
        <s v="Austin LLC"/>
        <s v="Aguirre LLC"/>
        <s v="Miller, Ryan and Rodriguez"/>
        <s v="Carlson-Quinn"/>
        <s v="Brown Ltd"/>
        <s v="Nelson LLC"/>
        <s v="Johnson-Perry"/>
        <s v="Jensen-Howard"/>
        <s v="Stephenson-Hill"/>
        <s v="Frazier, Bolton and Hensley"/>
        <s v="Reyes Inc"/>
        <s v="Bennett-Hooper"/>
        <s v="Mendez PLC"/>
        <s v="Wood, Howard and Reed"/>
        <s v="Christian LLC"/>
        <s v="Thomas, Hill and Hart"/>
        <s v="Kerr Group"/>
        <s v="Harrison Group"/>
        <s v="Silva-Rodriguez"/>
        <s v="House-Boyle"/>
        <s v="Logan-Hughes"/>
        <s v="Winters and Sons"/>
        <s v="Mann, Sanchez and Bailey"/>
        <s v="Wright PLC"/>
        <s v="Foster-Reeves"/>
        <s v="Lawson Inc"/>
        <s v="George-Lawrence"/>
        <s v="Young, Scott and Franco"/>
        <s v="Caldwell-Ford"/>
        <s v="Saunders-Hudson"/>
        <s v="Brown LLC"/>
        <s v="Hale Ltd"/>
        <s v="Wolfe Ltd"/>
        <s v="Cruz, Harris and Murray"/>
        <s v="Castaneda-Hardy"/>
        <s v="Wiggins Ltd"/>
        <s v="Baker-Aguirre"/>
        <s v="Patton and Sons"/>
        <s v="Bush-Lutz"/>
        <s v="Richardson-Haas"/>
        <s v="Sims PLC"/>
        <s v="Estrada-Sawyer"/>
        <s v="Hunter and Sons"/>
        <s v="Schwartz, Lowery and Anderson"/>
        <s v="Lin Inc"/>
        <s v="Mills-Montgomery"/>
        <s v="Jimenez and Sons"/>
        <s v="Scott, Carrillo and Frank"/>
        <s v="Herrera Inc"/>
        <s v="Briggs-Campos"/>
        <s v="Spencer Ltd"/>
        <s v="Williams-Lopez"/>
        <s v="Nunez-Morton"/>
        <s v="Jackson, Rich and Rivera"/>
        <s v="Lara, Ward and Brown"/>
        <s v="Sparks and Sons"/>
        <s v="Gilbert, Perkins and Camacho"/>
        <s v="Moyer-Vasquez"/>
        <s v="Murphy and Sons"/>
        <s v="Rodgers-Wallace"/>
        <s v="Mason, Baker and Smith"/>
        <s v="Hawkins Ltd"/>
        <s v="Escobar PLC"/>
        <s v="Allen and Sons"/>
        <s v="Haney Ltd"/>
        <s v="Thomas-Silva"/>
        <s v="Mueller, Evans and Simpson"/>
        <s v="Zimmerman, Salinas and Hill"/>
        <s v="Cunningham Ltd"/>
        <s v="Peters Ltd"/>
        <s v="Coffey, Howell and Sanders"/>
        <s v="Campbell Ltd"/>
        <s v="Miller-Andrews"/>
        <s v="Mahoney Inc"/>
        <s v="Davies-Holloway"/>
        <s v="Hood Ltd"/>
        <s v="Taylor, Ross and Hanna"/>
        <s v="Thomas Group"/>
        <s v="Herrera Group"/>
        <s v="Torres and Sons"/>
        <s v="Miller-Perry"/>
        <s v="Phillips, Wilkinson and Garza"/>
        <s v="Rodgers, Martin and Bridges"/>
        <s v="Harper-Gray"/>
        <s v="Donaldson, Wilson and Martin"/>
        <s v="Brock-Parker"/>
        <s v="Smith, Lopez and Taylor"/>
        <s v="Diaz-Smith"/>
        <s v="Myers, Randall and Williams"/>
        <s v="Snyder, Banks and Austin"/>
        <s v="Riddle PLC"/>
        <s v="Grimes Group"/>
        <s v="Arnold Group"/>
        <s v="Diaz Group"/>
        <s v="Flores Group"/>
        <s v="Porter, Smith and Allison"/>
        <s v="Morgan PLC"/>
        <s v="Sparks, Figueroa and Carroll"/>
        <s v="Summers PLC"/>
        <s v="Bright LLC"/>
        <s v="Rhodes, Jones and Gomez"/>
        <s v="Alvarez, Norman and Barrera"/>
        <s v="Walton Inc"/>
        <s v="Willis Inc"/>
        <s v="Bass, Larson and Williams"/>
        <s v="Yu, Garcia and Jones"/>
        <s v="Barrera Ltd"/>
        <s v="Phillips-Cooke"/>
        <s v="Smith-Mercado"/>
        <s v="Holmes Ltd"/>
        <s v="Lewis-Nelson"/>
        <s v="Francis, Williams and Richardson"/>
        <s v="Lewis Group"/>
        <s v="Dawson, Yang and Hood"/>
        <s v="Arnold, Conner and Morris"/>
        <s v="Gonzalez Inc"/>
        <s v="Le-Vargas"/>
        <s v="Watts, Rodriguez and Conrad"/>
        <s v="Fleming-Lee"/>
        <s v="Miles Group"/>
        <s v="Reilly LLC"/>
        <s v="Stevens-Obrien"/>
        <s v="Hester, Dominguez and Williams"/>
        <s v="Malone, Thompson and Mejia"/>
        <s v="Jones and Sons"/>
        <s v="Russell and Sons"/>
        <s v="Patrick, Bush and Smith"/>
        <s v="Benson PLC"/>
        <s v="Hawkins-Burns"/>
        <s v="Esparza and Sons"/>
        <s v="Morris-Hughes"/>
        <s v="Diaz and Sons"/>
        <s v="Shepard Ltd"/>
        <s v="Lowe-Lynch"/>
        <s v="Little-Tucker"/>
        <s v="Mccormick Inc"/>
        <s v="Rivera-Carr"/>
        <s v="Kaiser Inc"/>
        <s v="Davis, Baker and Anderson"/>
        <s v="Mcdonald-Martinez"/>
        <s v="May, Holmes and Walsh"/>
        <s v="Michael-Choi"/>
        <s v="Perkins-Bryan"/>
        <s v="Ortega, Smith and Bartlett"/>
        <s v="Harper, Williams and Miller"/>
        <s v="Martin-Mcguire"/>
        <s v="Aguilar-Obrien"/>
        <s v="Morgan-Jennings"/>
        <s v="Wallace-Santiago"/>
        <s v="Hudson-Wagner"/>
        <s v="Huang Inc"/>
        <s v="Cole, Gutierrez and Matthews"/>
        <s v="Alvarez-Vazquez"/>
        <s v="Howell-Johnston"/>
        <s v="Duncan Group"/>
        <s v="Long and Sons"/>
        <s v="Hall-Allen"/>
        <s v="Bennett, Young and Patel"/>
        <s v="Rivera-Brewer"/>
        <s v="Simpson, Medina and Hensley"/>
        <s v="Kelly Ltd"/>
        <s v="Lawrence-Jackson"/>
        <s v="Garza-Everett"/>
        <s v="Mcintyre, Stein and Jones"/>
        <s v="Norris-Robinson"/>
        <s v="Freeman Inc"/>
        <s v="Jones, Harris and Ward"/>
        <s v="Mitchell-Simmons"/>
        <s v="Rodriguez-Robertson"/>
        <s v="Montgomery-Ramos"/>
        <s v="Scott, Mcguire and Jones"/>
        <s v="Brown-Cunningham"/>
        <s v="Wright, Riggs and Lin"/>
        <s v="Anderson LLC"/>
        <s v="Franklin and Sons"/>
        <s v="Woods-Jones"/>
        <s v="Stokes Inc"/>
        <s v="Edwards-Clarke"/>
        <s v="Clark LLC"/>
        <s v="Kennedy, Rivas and Payne"/>
        <s v="Johnson, Smith and Clark"/>
        <s v="Miles, Davis and Dougherty"/>
        <s v="Ferguson-Bennett"/>
        <s v="Hopkins Group"/>
        <s v="Nelson-Marshall"/>
        <s v="Jackson-Bauer"/>
        <s v="Johnson-Parsons"/>
        <s v="Lyons-Price"/>
        <s v="Turner Group"/>
        <s v="Beck, Collins and Bush"/>
        <s v="Weaver Inc"/>
        <s v="Anderson-Mason"/>
        <s v="Ramos PLC"/>
        <s v="Brown and Sons"/>
        <s v="Jimenez-Andrade"/>
        <s v="Nelson, Chavez and Pollard"/>
        <s v="Martinez-Webb"/>
        <s v="Campbell PLC"/>
        <s v="Long-Leblanc"/>
        <s v="Lambert and Sons"/>
        <s v="Price, Wilkins and Brock"/>
        <s v="Freeman-Perez"/>
        <s v="Smith, Howard and Kent"/>
        <s v="Solomon, Cooper and Hawkins"/>
        <s v="Taylor-Gray"/>
        <s v="English-Davis"/>
        <s v="Clark, Anderson and Rodriguez"/>
        <s v="Cunningham and Sons"/>
        <s v="Rocha and Sons"/>
        <s v="Mason-Kelly"/>
        <s v="Green, Atkins and Anderson"/>
        <s v="Thomas-Anderson"/>
        <s v="Hudson-James"/>
        <s v="Duncan, Whitaker and Phelps"/>
        <s v="Richardson, Rodriguez and Moore"/>
        <s v="Smith, Edwards and Obrien"/>
        <s v="Jackson Inc"/>
        <s v="Evans-Todd"/>
        <s v="King-Baker"/>
        <s v="Smith-Petersen"/>
        <s v="Price-Pena"/>
        <s v="Ross-Kelly"/>
        <s v="Lee-Cruz"/>
        <s v="Townsend-Lee"/>
        <s v="Solomon and Sons"/>
        <s v="Wagner PLC"/>
        <s v="Cox-Lowe"/>
        <s v="Camacho-Jones"/>
        <s v="Preston Group"/>
        <s v="Dickerson, Alvarado and Wilkerson"/>
        <s v="Myers, Clark and Mccarty"/>
        <s v="Myers-Allen"/>
        <s v="Schroeder, Lee and Perry"/>
        <s v="Green PLC"/>
        <s v="Lewis Ltd"/>
        <s v="Martinez and Sons"/>
        <s v="Horn-Norris"/>
        <s v="Collins-Aguilar"/>
        <s v="Clark-Rice"/>
        <s v="Zamora-Brown"/>
        <s v="Mosley Inc"/>
        <s v="Wallace-Hamilton"/>
        <s v="Bennett Ltd"/>
        <s v="Rice Group"/>
        <s v="Mclean-Willis"/>
        <s v="Lopez, Foster and Cooper"/>
        <s v="Cook, Lee and Hall"/>
        <s v="James, Lindsey and Shepherd"/>
        <s v="Burgess-Herrera"/>
        <s v="Richardson-Powell"/>
        <s v="Miller Group"/>
        <s v="Oneal LLC"/>
        <s v="Walsh, Ortiz and Elliott"/>
        <s v="Collins PLC"/>
        <s v="Lopez-Mason"/>
        <s v="Garcia-Pollard"/>
        <s v="Ray-Hoffman"/>
        <s v="Le, Casey and Boyer"/>
        <s v="Goodman-Smith"/>
        <s v="Tucker, Burch and Gibson"/>
        <s v="Sexton, Dyer and Clarke"/>
        <s v="Dawson-Harding"/>
        <s v="Torres Group"/>
        <s v="Jensen Ltd"/>
        <s v="Mooney Inc"/>
        <s v="Salazar-Hampton"/>
        <s v="Smith-Parks"/>
        <s v="Turner-Cowan"/>
        <s v="Rose, Wilson and Hays"/>
        <s v="Stark, Cunningham and Nelson"/>
        <s v="Cunningham, Mathis and Carr"/>
        <s v="Goodwin LLC"/>
        <s v="Flores Inc"/>
        <s v="Peck-Cooper"/>
        <s v="Mccoy-Ibarra"/>
        <s v="Cox, Marshall and Alexander"/>
        <s v="Roberson-Hubbard"/>
        <s v="Scott and Sons"/>
        <s v="Beck, Gonzalez and Tanner"/>
        <s v="Beck, Bailey and Farrell"/>
        <s v="Wheeler, Bryant and Johns"/>
        <s v="Martinez Ltd"/>
        <s v="Ward, Mann and Thomas"/>
        <s v="Massey, Moore and Sanchez"/>
        <s v="Brown-Green"/>
        <s v="Jackson-Steele"/>
        <s v="Hernandez-Mendoza"/>
        <s v="Tran, Moody and Sellers"/>
        <s v="Smith Inc"/>
        <s v="Macdonald, Graves and English"/>
        <s v="Saunders, Welch and Palmer"/>
        <s v="Powell LLC"/>
        <s v="Watson, Johnson and Alvarez"/>
        <s v="King-Reynolds"/>
        <s v="Marshall LLC"/>
        <s v="Valencia, Brock and Copeland"/>
        <s v="Sanders-Medina"/>
        <s v="Gutierrez Inc"/>
        <s v="Bond Inc"/>
        <s v="Watkins, Brooks and Bates"/>
        <s v="Wong Inc"/>
        <s v="Simmons Ltd"/>
        <s v="Miller, Lawrence and Hernandez"/>
        <s v="Price and Sons"/>
        <s v="Hess-Lowe"/>
        <s v="Cameron LLC"/>
        <s v="Lopez Inc"/>
        <s v="Page Ltd"/>
        <s v="Gray, Santos and Garcia"/>
        <s v="Warner and Sons"/>
        <s v="Brock LLC"/>
        <s v="Rojas, Walker and Oneal"/>
        <s v="Frederick-Moore"/>
        <s v="Thomas, Kelley and Shelton"/>
        <s v="Ibarra and Sons"/>
        <s v="Landry, Briggs and Pitts"/>
        <s v="Bryant, Conley and Williams"/>
        <s v="Hinton and Sons"/>
        <s v="Wall PLC"/>
        <s v="Macias-Ramsey"/>
        <s v="Rasmussen-Williams"/>
        <s v="Kemp Inc"/>
        <s v="Quinn, Grant and Evans"/>
        <s v="Clark-Shaw"/>
        <s v="Brown PLC"/>
        <s v="George, Neal and Acevedo"/>
        <s v="Ray, Shields and Bennett"/>
        <s v="Perkins, Cunningham and Johnson"/>
        <s v="Acevedo and Sons"/>
        <s v="Lopez-Robinson"/>
        <s v="Long, Richards and Scott"/>
        <s v="Martin LLC"/>
        <s v="Mann-Wilson"/>
        <s v="Gates Ltd"/>
        <s v="Anderson and Sons"/>
        <s v="Jones Ltd"/>
        <s v="Montgomery LLC"/>
        <s v="Alexander, Hill and Stout"/>
        <s v="Swanson, Freeman and Porter"/>
        <s v="Short Ltd"/>
        <s v="Marquez, Rodriguez and Sweeney"/>
        <s v="Browning PLC"/>
        <s v="Short LLC"/>
        <s v="Dawson Ltd"/>
        <s v="Rice-Hunter"/>
        <s v="Campbell, Carter and Butler"/>
        <s v="West-Mullins"/>
        <s v="Riley PLC"/>
        <s v="Collins, Dougherty and Miller"/>
        <s v="Gallagher-Horton"/>
        <s v="Knight-Pena"/>
        <s v="Jones, Cook and Fuentes"/>
        <s v="Brown, Carter and Valencia"/>
        <s v="Potter and Sons"/>
        <s v="Williams Ltd"/>
        <s v="Collier Group"/>
        <s v="Perez, Ray and Combs"/>
        <s v="Bowers Group"/>
        <s v="Evans-Shah"/>
        <s v="Hamilton-Gill"/>
        <s v="Anderson, Brown and Fisher"/>
        <s v="Morales, Ferrell and Clark"/>
        <s v="Ortega-Parsons"/>
        <s v="Benson-Whitney"/>
        <s v="Hartman, Zhang and Zimmerman"/>
        <s v="Vasquez LLC"/>
        <s v="Crane, Mata and Cole"/>
        <s v="Smith, Jones and Jackson"/>
        <s v="Johnson-Miller"/>
        <s v="Gonzalez-Coleman"/>
        <s v="Cruz-Jones"/>
        <s v="Carr and Sons"/>
        <s v="Huang-Osborn"/>
        <s v="Blankenship, Flores and Garrett"/>
        <s v="Ortega and Sons"/>
        <s v="Ayala-Hill"/>
        <s v="Rose Inc"/>
        <s v="Malone Inc"/>
        <s v="Torres-Aguirre"/>
        <s v="Ward Inc"/>
        <s v="Lawson-Gomez"/>
        <s v="Flores, Soto and Weaver"/>
        <s v="King Group"/>
        <s v="Cook, Blake and Martinez"/>
        <s v="Hernandez and Sons"/>
        <s v="Merritt Inc"/>
        <s v="Johnson, Richardson and Sims"/>
        <s v="Kim-Morris"/>
        <s v="Ward Group"/>
        <s v="Yates LLC"/>
        <s v="Oneal, Willis and Gross"/>
        <s v="Hines PLC"/>
        <s v="Orozco PLC"/>
        <s v="Alvarez Group"/>
        <s v="Bishop-Powell"/>
        <s v="Robbins-Pierce"/>
        <s v="Barry LLC"/>
        <s v="Barnett-Davis"/>
        <s v="Combs, Martinez and Mason"/>
        <s v="Graves LLC"/>
        <s v="Miller-Grimes"/>
        <s v="Hebert Group"/>
        <s v="Scott Ltd"/>
        <s v="Morgan-Yang"/>
        <s v="Barajas, Molina and Dixon"/>
        <s v="Mathews Ltd"/>
        <s v="Benson Inc"/>
        <s v="Vargas-Rangel"/>
        <s v="Johnson, Brown and Henderson"/>
        <s v="Randolph-Hatfield"/>
        <s v="Stewart-Mcintosh"/>
        <s v="Ramirez PLC"/>
        <s v="Schroeder LLC"/>
        <s v="Acosta-Bailey"/>
        <s v="Perez-Park"/>
        <s v="Stevens-Patterson"/>
        <s v="Crawford-Smith"/>
        <s v="Williams Inc"/>
        <s v="Castillo-Perez"/>
        <s v="Pennington, Murphy and Chavez"/>
        <s v="Bell, Nunez and Davis"/>
        <s v="Alvarado LLC"/>
        <s v="Austin-Perez"/>
        <s v="Bryant-Hubbard"/>
        <s v="Shaw PLC"/>
        <s v="Carter-Farmer"/>
        <s v="Kelley Ltd"/>
        <s v="Reynolds Inc"/>
        <s v="Howell, Burgess and Johnson"/>
        <s v="Davis and Sons"/>
        <s v="Cook, White and Davis"/>
        <s v="Whitaker-Harris"/>
        <s v="Thomas, Swanson and Nelson"/>
        <s v="Parker, Perez and Pearson"/>
        <s v="Casey LLC"/>
        <s v="Mendoza LLC"/>
        <s v="Snow Group"/>
        <s v="Castro LLC"/>
        <s v="Robertson PLC"/>
        <s v="Ramirez, Martinez and Robinson"/>
        <s v="Nelson, Zuniga and Martinez"/>
        <s v="Thomas-Evans"/>
        <s v="Shelton-Johnson"/>
        <s v="Cruz-Palmer"/>
        <s v="Noble-Weber"/>
        <s v="Price Inc"/>
        <s v="Thomas-Cole"/>
        <s v="Walton LLC"/>
        <s v="Patton, Davis and Wilson"/>
        <s v="Harris LLC"/>
        <s v="Short, Glass and Morgan"/>
        <s v="Roth, Goodman and Green"/>
        <s v="Martinez, King and Estrada"/>
        <s v="Nelson-Smith"/>
        <s v="Mcknight-Mclean"/>
        <s v="Brown, Green and Diaz"/>
        <s v="Watkins Inc"/>
        <s v="Espinoza Group"/>
        <s v="Ford-Perry"/>
        <s v="Pugh-Rogers"/>
        <s v="Jefferson Inc"/>
        <s v="White Group"/>
        <s v="Simpson Group"/>
        <s v="Woods Ltd"/>
        <s v="Smith Ltd"/>
        <s v="Anderson, Chase and Anderson"/>
        <s v="Herrera-Wilson"/>
        <s v="Nichols, Stone and Mills"/>
        <s v="Drake and Sons"/>
        <s v="Robinson, Wallace and Johns"/>
        <s v="Parker-Lopez"/>
        <s v="Jordan Inc"/>
        <s v="Robinson-Daugherty"/>
        <s v="Chambers Inc"/>
        <s v="Boyd, Miller and Lopez"/>
        <s v="Pena, Martinez and Chavez"/>
        <s v="Wong-House"/>
        <s v="Ward-Anderson"/>
        <s v="Johnson, Francis and Lopez"/>
        <s v="Martin, Briggs and Spears"/>
        <s v="Hall Group"/>
        <s v="Walters-Burns"/>
        <s v="Byrd, Clark and Medina"/>
        <s v="Morris-Terry"/>
        <s v="Peterson-Brandt"/>
        <s v="Lester, Campos and Ballard"/>
        <s v="Cox-Townsend"/>
        <s v="Nelson and Sons"/>
        <s v="Simpson-Shaw"/>
        <s v="Mitchell-Mcdowell"/>
        <s v="Jordan-Glover"/>
        <s v="Warner-Hines"/>
        <s v="Morrow, Nelson and Castillo"/>
        <s v="Leon Group"/>
        <s v="Harvey-Miller"/>
        <s v="Pruitt, Butler and Gonzales"/>
        <s v="Wright and Sons"/>
        <s v="Webb-Anderson"/>
        <s v="Roy Ltd"/>
        <s v="Mccormick, Cohen and Ryan"/>
        <s v="Harper, Daniel and Brown"/>
        <s v="Parks Ltd"/>
        <s v="Whitaker, Silva and Thomas"/>
        <s v="Duarte Inc"/>
        <s v="Fletcher-Lee"/>
        <s v="Jordan-Sosa"/>
        <s v="Mills, Simpson and Morrison"/>
        <s v="Miller, Dixon and Baker"/>
        <s v="Bowman LLC"/>
        <s v="Cole-Fox"/>
        <s v="Gilbert and Sons"/>
        <s v="Crawford LLC"/>
        <s v="Jarvis, Walker and Grant"/>
        <s v="White, Mclean and Miller"/>
        <s v="Murphy-Mason"/>
        <s v="Hancock, Bryant and Andrews"/>
        <s v="Rhodes Ltd"/>
        <s v="Diaz, Fox and Harper"/>
        <s v="Schaefer and Sons"/>
        <s v="Smith, Cantrell and Norton"/>
        <s v="Cook, Leach and Fernandez"/>
        <s v="Stephens Group"/>
        <s v="Hoover Inc"/>
        <s v="White Ltd"/>
        <s v="Nguyen-Ball"/>
        <s v="Hayes Inc"/>
        <s v="Reyes-Scott"/>
        <s v="Garrett and Sons"/>
        <s v="Cooper, Warner and Merritt"/>
        <s v="Hurley, Henry and Richards"/>
        <s v="Davis, Barrett and Mitchell"/>
        <s v="Ellis-Davis"/>
        <s v="Cook-Benton"/>
        <s v="Decker-Johnson"/>
        <s v="Collins, Holmes and Everett"/>
        <s v="Young, Campbell and Price"/>
        <s v="Jackson, French and Johnson"/>
        <s v="Zuniga-Johnson"/>
        <s v="Richardson Inc"/>
        <s v="Wheeler, Hughes and Perkins"/>
        <s v="Williams-Zimmerman"/>
        <s v="Harrison PLC"/>
        <s v="Morris, Schwartz and Wilson"/>
        <s v="Nixon, Evans and Bradley"/>
        <s v="Montoya Group"/>
        <s v="Moran, Hardy and Zhang"/>
        <s v="Reynolds-Miranda"/>
        <s v="Brown-Ford"/>
        <s v="Clarke-Gonzalez"/>
        <s v="Orr PLC"/>
        <s v="Jones-Austin"/>
        <s v="Watts Inc"/>
        <s v="Johnson, King and Hart"/>
        <s v="Brown-Mckee"/>
        <s v="Barton, Reed and Fitzpatrick"/>
        <s v="Ford PLC"/>
        <s v="Roberson, Boyd and Harris"/>
        <s v="Carlson Ltd"/>
        <s v="Mccoy-Mahoney"/>
        <s v="Williams Group"/>
        <s v="Griffin, Williamson and Burton"/>
        <s v="Gibbs-Davis"/>
        <s v="Johnson, Hull and Pratt"/>
        <s v="Lee, Hunter and Stone"/>
        <s v="Rogers Group"/>
        <s v="Manning-Brown"/>
        <s v="Wright Group"/>
        <s v="Hill Ltd"/>
        <s v="Sharp, Fuller and Cruz"/>
        <n v="999"/>
      </sharedItems>
    </cacheField>
    <cacheField name="Insurance Provider" numFmtId="0">
      <sharedItems containsBlank="1" count="6">
        <s v="Cigna"/>
        <s v="Aetna"/>
        <s v="Medicare"/>
        <s v="Blue Cross"/>
        <s v="UnitedHealthcare"/>
        <m/>
      </sharedItems>
    </cacheField>
    <cacheField name="Billing Amount" numFmtId="0">
      <sharedItems containsString="0" containsBlank="1" containsNumber="1" minValue="1000.18083702175" maxValue="49974.8065919699" count="1000">
        <n v="40482.860919821796"/>
        <n v="30203.557649485701"/>
        <n v="3673.0429478707401"/>
        <n v="20230.445508408899"/>
        <n v="48960.840964328199"/>
        <n v="33632.929738282"/>
        <n v="49142.724307598597"/>
        <n v="27165.334847019101"/>
        <n v="21965.0796562785"/>
        <n v="6787.5339903715403"/>
        <n v="7237.04059480877"/>
        <n v="5412.6890448185704"/>
        <n v="13759.8438124075"/>
        <n v="24261.161682174199"/>
        <n v="34465.8248756373"/>
        <n v="41082.614871218502"/>
        <n v="27174.942906232402"/>
        <n v="7075.04249268287"/>
        <n v="39533.378201419997"/>
        <n v="32573.7247492395"/>
        <n v="29711.4484885532"/>
        <n v="1997.33276127046"/>
        <n v="48192.648606367104"/>
        <n v="6786.99988852962"/>
        <n v="7061.8424395512502"/>
        <n v="18605.860442632398"/>
        <n v="7219.4662530414098"/>
        <n v="43134.404352418002"/>
        <n v="19630.673492911399"/>
        <n v="4858.1824806072"/>
        <n v="10776.4006344024"/>
        <n v="40894.212139742303"/>
        <n v="25682.586677854"/>
        <n v="13650.4875897607"/>
        <n v="6777.2293137999905"/>
        <n v="29222.327183056801"/>
        <n v="25646.982769784801"/>
        <n v="42322.889901344803"/>
        <n v="44419.9854240887"/>
        <n v="44019.0774476476"/>
        <n v="26440.396725683899"/>
        <n v="25726.2988873088"/>
        <n v="40088.251914106397"/>
        <n v="19528.401762947698"/>
        <n v="45839.002243320101"/>
        <n v="36912.1867054697"/>
        <n v="14870.6272512614"/>
        <n v="29986.1162785856"/>
        <n v="31726.597160656602"/>
        <n v="30732.6983833657"/>
        <n v="9305.99996214169"/>
        <n v="17171.201075165602"/>
        <n v="39541.663943074498"/>
        <n v="5516.7041853713999"/>
        <n v="21859.773421427199"/>
        <n v="29285.344053736499"/>
        <n v="31644.800997890699"/>
        <n v="42968.272698491099"/>
        <n v="25489.361897336799"/>
        <n v="5092.74967506549"/>
        <n v="23210.812334885301"/>
        <n v="22815.891209293699"/>
        <n v="24428.301687721101"/>
        <n v="30101.6790072941"/>
        <n v="26925.895178152899"/>
        <n v="13073.288022564"/>
        <n v="17241.116362635599"/>
        <n v="14083.523234672901"/>
        <n v="48047.652589528203"/>
        <n v="20846.383322027901"/>
        <n v="1733.3650274449601"/>
        <n v="22081.278260597199"/>
        <n v="32465.1285180216"/>
        <n v="22697.415826541801"/>
        <n v="45969.6102500739"/>
        <n v="26051.414457974799"/>
        <n v="28440.881391974199"/>
        <n v="37736.472654193698"/>
        <n v="10179.756432705701"/>
        <n v="44358.0270789676"/>
        <n v="36443.765527358097"/>
        <n v="38730.9132823076"/>
        <n v="31008.4793081241"/>
        <n v="21815.834706117301"/>
        <n v="49270.072507326702"/>
        <n v="16280.909098145999"/>
        <n v="17531.212779067198"/>
        <n v="38872.645222723702"/>
        <n v="39875.215878852301"/>
        <n v="9812.1798241314991"/>
        <n v="8129.3584987025797"/>
        <n v="26105.143432276102"/>
        <n v="37421.296659936001"/>
        <n v="1452.0538192226099"/>
        <n v="43311.759415349501"/>
        <n v="20080.297644905098"/>
        <n v="7135.0884567345101"/>
        <n v="39472.193756529203"/>
        <n v="25420.211238027801"/>
        <n v="49035.206927040497"/>
        <n v="44336.269154592403"/>
        <n v="7114.39032496049"/>
        <n v="25159.923894608299"/>
        <n v="19955.344980386999"/>
        <n v="12318.402603786701"/>
        <n v="39329.114309021497"/>
        <n v="12442.557385800599"/>
        <n v="42727.0625792098"/>
        <n v="18086.3441835638"/>
        <n v="21591.8361676924"/>
        <n v="1256.47907173921"/>
        <n v="25004.2686095141"/>
        <n v="21293.018508273199"/>
        <n v="44226.342901835997"/>
        <n v="11296.5660235747"/>
        <n v="49576.874032886102"/>
        <n v="38797.570160700299"/>
        <n v="3484.9172789396198"/>
        <n v="27564.3597271912"/>
        <n v="6982.3929075024598"/>
        <n v="22522.363384853201"/>
        <n v="45477.909138649302"/>
        <n v="13546.8172493648"/>
        <n v="35415.682226921097"/>
        <n v="4871.0131841336797"/>
        <n v="2212.4779186830401"/>
        <n v="13271.716783215101"/>
        <n v="23660.216628296101"/>
        <n v="27740.621895862001"/>
        <n v="17514.335725622899"/>
        <n v="9824.2650462846104"/>
        <n v="16609.311817449801"/>
        <n v="12547.100881090701"/>
        <n v="31670.263275760299"/>
        <n v="18290.276536766702"/>
        <n v="44595.209917483298"/>
        <n v="37589.305795129803"/>
        <n v="30615.009101675201"/>
        <n v="29737.635840160401"/>
        <n v="26137.148020363002"/>
        <n v="17774.513460335798"/>
        <n v="5181.7973294712801"/>
        <n v="11057.975641406199"/>
        <n v="9530.4477557268892"/>
        <n v="27793.874151156899"/>
        <n v="22325.858487842601"/>
        <n v="26531.6982940903"/>
        <n v="6264.5528465513498"/>
        <n v="28394.399066466602"/>
        <n v="45213.537626419602"/>
        <n v="22356.082268250699"/>
        <n v="4098.8542028788597"/>
        <n v="17704.741580046099"/>
        <n v="43535.609044458201"/>
        <n v="44047.144241884198"/>
        <n v="42007.244350615998"/>
        <n v="32263.6221565624"/>
        <n v="4377.6019867773703"/>
        <n v="20707.319633024901"/>
        <n v="30328.0815505709"/>
        <n v="7154.9566998575101"/>
        <n v="13318.195486021499"/>
        <n v="4740.1090264370896"/>
        <n v="23708.647050401902"/>
        <n v="47881.281107418901"/>
        <n v="39298.313979066799"/>
        <n v="25651.524166615702"/>
        <n v="25944.5873699082"/>
        <n v="17743.968519301001"/>
        <n v="36936.7877416013"/>
        <n v="21341.2388427238"/>
        <n v="41058.233873784498"/>
        <n v="11548.830510952301"/>
        <n v="7375.7026775905197"/>
        <n v="1580.52389936031"/>
        <n v="43321.063241324402"/>
        <n v="25362.314192783499"/>
        <n v="41051.670280796803"/>
        <n v="46144.939718407099"/>
        <n v="23303.3220921969"/>
        <n v="3552.8587362936801"/>
        <n v="46323.269465520301"/>
        <n v="25970.8661387596"/>
        <n v="6752.4163709619397"/>
        <n v="34712.191114827998"/>
        <n v="41319.500315655103"/>
        <n v="1621.74136483954"/>
        <n v="24357.6078664628"/>
        <n v="42208.7987493162"/>
        <n v="33301.630993388098"/>
        <n v="42655.642055873002"/>
        <n v="45925.071772642601"/>
        <n v="11289.847591874301"/>
        <n v="32654.992245896701"/>
        <n v="18272.8255390097"/>
        <n v="28473.0312307065"/>
        <n v="35815.455846479301"/>
        <n v="1166.7713188498301"/>
        <n v="35381.349101178901"/>
        <n v="38734.813541835101"/>
        <n v="41324.848355036898"/>
        <n v="23674.450003124199"/>
        <n v="43169.871554592501"/>
        <n v="4865.5518374109097"/>
        <n v="23147.662039422601"/>
        <n v="26191.855680458099"/>
        <n v="21025.566735250799"/>
        <n v="28481.455529918599"/>
        <n v="44724.882707224198"/>
        <n v="22547.496004173601"/>
        <n v="20480.127366492499"/>
        <n v="48716.2891071493"/>
        <n v="10753.757615365401"/>
        <n v="40930.336700342901"/>
        <n v="27593.645082180599"/>
        <n v="41417.844339025498"/>
        <n v="6070.7903873286596"/>
        <n v="43495.230345054202"/>
        <n v="4872.5220386779602"/>
        <n v="37113.070252732701"/>
        <n v="41414.986529870999"/>
        <n v="49125.157745441698"/>
        <n v="12287.139440438399"/>
        <n v="3717.53276817495"/>
        <n v="23968.316918250101"/>
        <n v="37246.819154310397"/>
        <n v="23961.069814057901"/>
        <n v="17282.783447122001"/>
        <n v="5974.9702052410903"/>
        <n v="47633.196118288397"/>
        <n v="12798.3544363728"/>
        <n v="1923.9067941825499"/>
        <n v="24181.192758454599"/>
        <n v="19218.4785931769"/>
        <n v="24341.762471661499"/>
        <n v="48488.178087849999"/>
        <n v="43882.561949005802"/>
        <n v="1897.4554096945701"/>
        <n v="42621.4496468406"/>
        <n v="49666.605650203499"/>
        <n v="23549.230665817198"/>
        <n v="7140.7738327770403"/>
        <n v="49528.921182529702"/>
        <n v="49359.792061706001"/>
        <n v="5098.66312754721"/>
        <n v="5936.8544278852396"/>
        <n v="33563.158863442797"/>
        <n v="3345.7034888083399"/>
        <n v="34295.819419245898"/>
        <n v="41749.141427979703"/>
        <n v="33952.609194823002"/>
        <n v="1032.2630866161501"/>
        <n v="15731.156626312701"/>
        <n v="14230.466490795699"/>
        <n v="25768.149233251101"/>
        <n v="16043.1491710517"/>
        <n v="25429.8307772794"/>
        <n v="26642.918529735602"/>
        <n v="43475.285098582797"/>
        <n v="7942.8532858935896"/>
        <n v="29057.337887835201"/>
        <n v="29289.652600969199"/>
        <n v="1606.28519137338"/>
        <n v="31583.552791260099"/>
        <n v="22780.1269681538"/>
        <n v="2754.2413838719699"/>
        <n v="9007.9678662207698"/>
        <n v="9100.1868535414796"/>
        <n v="21198.6547266212"/>
        <n v="29736.48579821"/>
        <n v="8381.3283568794595"/>
        <n v="26642.367639766198"/>
        <n v="22749.284138765299"/>
        <n v="46868.408184011001"/>
        <n v="12617.4853012448"/>
        <n v="16487.676785652198"/>
        <n v="18696.998297113201"/>
        <n v="28414.392830500499"/>
        <n v="29401.013622756"/>
        <n v="35830.270020977201"/>
        <n v="34573.602126393002"/>
        <n v="45847.1214542573"/>
        <n v="37318.522530848197"/>
        <n v="46859.3008095025"/>
        <n v="7164.8861716619103"/>
        <n v="16085.7375091101"/>
        <n v="22223.7458220634"/>
        <n v="36594.910736133097"/>
        <n v="8895.1372878217207"/>
        <n v="26172.079063597601"/>
        <n v="2169.8000252912502"/>
        <n v="36267.530045910098"/>
        <n v="3623.4082314146499"/>
        <n v="20649.3872071603"/>
        <n v="11169.2994795705"/>
        <n v="47469.0831666714"/>
        <n v="18991.0732225217"/>
        <n v="21470.4177381972"/>
        <n v="31040.1811841337"/>
        <n v="39031.362644016801"/>
        <n v="43128.452163460403"/>
        <n v="17061.046663657198"/>
        <n v="39734.995117091101"/>
        <n v="6850.97280044338"/>
        <n v="17745.867166260799"/>
        <n v="3380.7723809302502"/>
        <n v="47304.064845475099"/>
        <n v="3991.7558288253899"/>
        <n v="49910.077615104601"/>
        <n v="25403.265432304499"/>
        <n v="14267.909879475001"/>
        <n v="11167.184062665699"/>
        <n v="17245.167346985501"/>
        <n v="24982.0468727966"/>
        <n v="22788.2360263767"/>
        <n v="49401.132727330703"/>
        <n v="37817.354738951697"/>
        <n v="31911.129134091199"/>
        <n v="4327.0071764370896"/>
        <n v="11876.3022877529"/>
        <n v="42610.704562629297"/>
        <n v="34730.2311812142"/>
        <n v="4433.9509563254896"/>
        <n v="4357.9280469576397"/>
        <n v="9976.2357320533902"/>
        <n v="7971.3156463714304"/>
        <n v="1996.3107212810501"/>
        <n v="32934.472752273403"/>
        <n v="29563.971418990299"/>
        <n v="35921.2499751328"/>
        <n v="19286.4818152915"/>
        <n v="8487.4387121098098"/>
        <n v="16887.3025338394"/>
        <n v="19760.568704282799"/>
        <n v="45391.284642001199"/>
        <n v="23327.642713751"/>
        <n v="22964.5130258465"/>
        <n v="3240.3099231891301"/>
        <n v="47452.4418761653"/>
        <n v="36439.078449532302"/>
        <n v="33771.617147745201"/>
        <n v="8476.7408719127907"/>
        <n v="39008.290881766799"/>
        <n v="40325.071393983002"/>
        <n v="25146.9666533932"/>
        <n v="31600.772077491099"/>
        <n v="28751.332434017"/>
        <n v="33571.516571357999"/>
        <n v="30217.251132772199"/>
        <n v="5061.5932847128397"/>
        <n v="26442.3587502392"/>
        <n v="6098.4602764132096"/>
        <n v="46161.707930600001"/>
        <n v="45434.409732783599"/>
        <n v="41787.188127198096"/>
        <n v="46304.035954818697"/>
        <n v="29272.274469788201"/>
        <n v="46231.7325101553"/>
        <n v="33776.799588303998"/>
        <n v="11272.0877660565"/>
        <n v="13962.4277750975"/>
        <n v="4002.8241565255998"/>
        <n v="36906.240483643101"/>
        <n v="46133.541648337399"/>
        <n v="28265.168342965098"/>
        <n v="9221.5702656110097"/>
        <n v="15622.6936871907"/>
        <n v="26419.324812573901"/>
        <n v="44935.269696984702"/>
        <n v="35327.496805934599"/>
        <n v="6849.0152740529902"/>
        <n v="16520.401042826099"/>
        <n v="23907.335315170301"/>
        <n v="4890.9526970876605"/>
        <n v="25926.948542070601"/>
        <n v="41708.409184186799"/>
        <n v="18524.743950500499"/>
        <n v="39086.987872830097"/>
        <n v="39174.539019406402"/>
        <n v="11504.2435255"/>
        <n v="26655.7709973124"/>
        <n v="1769.4794225964399"/>
        <n v="30137.596269944999"/>
        <n v="10705.098399640699"/>
        <n v="9731.39531830136"/>
        <n v="30845.782022184401"/>
        <n v="31359.518931029099"/>
        <n v="23360.658613186599"/>
        <n v="19037.819963447098"/>
        <n v="11523.996974043799"/>
        <n v="10159.6708344095"/>
        <n v="43547.772222266904"/>
        <n v="39323.851303983"/>
        <n v="2628.9478199845598"/>
        <n v="49565.021330192903"/>
        <n v="27603.996209706202"/>
        <n v="6628.3561385704197"/>
        <n v="25511.207481400499"/>
        <n v="11391.1221602653"/>
        <n v="47900.188645302696"/>
        <n v="36200.574823271003"/>
        <n v="45853.988019674602"/>
        <n v="19710.535332992898"/>
        <n v="19989.167918245999"/>
        <n v="14029.2069505289"/>
        <n v="34855.727260136897"/>
        <n v="5411.4145455129101"/>
        <n v="43750.163335970901"/>
        <n v="29878.881332256002"/>
        <n v="31097.836432076601"/>
        <n v="25948.507189184002"/>
        <n v="19180.357681207701"/>
        <n v="2397.2433727984098"/>
        <n v="32362.671074725698"/>
        <n v="13393.830698773199"/>
        <n v="7515.1067261651497"/>
        <n v="12042.408939254799"/>
        <n v="47716.541559324003"/>
        <n v="33070.804942685398"/>
        <n v="45444.293735330597"/>
        <n v="17370.674028876401"/>
        <n v="8144.4999172053604"/>
        <n v="47508.000179159601"/>
        <n v="10160.5792785794"/>
        <n v="17656.038396248801"/>
        <n v="5706.4381417368004"/>
        <n v="35296.607397482003"/>
        <n v="25817.6951849426"/>
        <n v="28792.0506208064"/>
        <n v="18793.673611654802"/>
        <n v="24609.374626807199"/>
        <n v="26851.736552517501"/>
        <n v="47295.557512958803"/>
        <n v="20592.203163869199"/>
        <n v="1308.45051112281"/>
        <n v="31603.4642899963"/>
        <n v="16579.523111324699"/>
        <n v="26589.433270353598"/>
        <n v="10230.631506124"/>
        <n v="32007.352858773302"/>
        <n v="13794.7204420814"/>
        <n v="32681.888295183599"/>
        <n v="37527.7115142537"/>
        <n v="29696.191641405701"/>
        <n v="42494.658488975401"/>
        <n v="10342.836123527301"/>
        <n v="16171.9485556363"/>
        <n v="18898.603555373898"/>
        <n v="47695.933068269602"/>
        <n v="25359.564504504298"/>
        <n v="5290.3970617896503"/>
        <n v="9766.8238671046602"/>
        <n v="17892.930585551301"/>
        <n v="1720.11865579955"/>
        <n v="12517.3831162815"/>
        <n v="2534.7004700955599"/>
        <n v="29004.148319391199"/>
        <n v="9880.3931415524294"/>
        <n v="9781.2278771511592"/>
        <n v="4861.5983494601196"/>
        <n v="18089.133069620901"/>
        <n v="28158.3277655569"/>
        <n v="34386.586353979103"/>
        <n v="34595.328394890697"/>
        <n v="15847.4402458235"/>
        <n v="44535.253036195601"/>
        <n v="7858.3987309716304"/>
        <n v="37667.4122573395"/>
        <n v="41295.399748056399"/>
        <n v="25286.452650626499"/>
        <n v="20948.868408245198"/>
        <n v="5674.2143374650004"/>
        <n v="12935.413249863501"/>
        <n v="3535.0118812478199"/>
        <n v="6575.1394679001396"/>
        <n v="19095.937815324301"/>
        <n v="31155.404271297299"/>
        <n v="8508.1495565135592"/>
        <n v="44147.7935461421"/>
        <n v="32010.078697996199"/>
        <n v="34241.758927837102"/>
        <n v="42431.391270283901"/>
        <n v="6537.1469441774498"/>
        <n v="22805.877722145298"/>
        <n v="2089.9212968616198"/>
        <n v="25436.9947196715"/>
        <n v="12831.046557387501"/>
        <n v="28792.6319746318"/>
        <n v="49053.356073379"/>
        <n v="29898.8944238105"/>
        <n v="16011.956739589299"/>
        <n v="23559.596143840899"/>
        <n v="20293.670726972599"/>
        <n v="37081.460987861101"/>
        <n v="1608.6917926893"/>
        <n v="43865.899919224597"/>
        <n v="16479.896915585301"/>
        <n v="45218.396855689702"/>
        <n v="42685.190003543503"/>
        <n v="1523.10601988182"/>
        <n v="30219.840568138901"/>
        <n v="22269.5569739936"/>
        <n v="9548.4011594508502"/>
        <n v="16471.376988443"/>
        <n v="44941.230443883796"/>
        <n v="29531.968949386301"/>
        <n v="6897.1003201639996"/>
        <n v="30304.653849840699"/>
        <n v="44655.699075422199"/>
        <n v="37867.019332053897"/>
        <n v="35954.786568013304"/>
        <n v="24305.533702188499"/>
        <n v="17219.172491391098"/>
        <n v="35699.311529053499"/>
        <n v="17835.9505418435"/>
        <n v="17166.802113751899"/>
        <n v="18904.738199568299"/>
        <n v="28004.3415366876"/>
        <n v="29497.374026784499"/>
        <n v="10571.488648119701"/>
        <n v="6972.1480034604401"/>
        <n v="22331.280156199198"/>
        <n v="7425.0216551047697"/>
        <n v="15773.9011829143"/>
        <n v="35791.956328527303"/>
        <n v="22542.0479113644"/>
        <n v="24274.1416006244"/>
        <n v="1318.43028055172"/>
        <n v="31740.4913383698"/>
        <n v="32288.973244691399"/>
        <n v="20190.809336263901"/>
        <n v="22773.131100555202"/>
        <n v="24714.114762172401"/>
        <n v="14722.0648697956"/>
        <n v="9199.6683013407692"/>
        <n v="4835.9456495254099"/>
        <n v="30810.306086750999"/>
        <n v="32942.424029015201"/>
        <n v="2843.95677061999"/>
        <n v="22706.167498746101"/>
        <n v="11762.2236337389"/>
        <n v="3975.0745246014399"/>
        <n v="44300.249721893102"/>
        <n v="43137.280682502002"/>
        <n v="21787.948212606501"/>
        <n v="2023.5218195800101"/>
        <n v="31587.212506815002"/>
        <n v="5901.1451563276796"/>
        <n v="33811.6857725144"/>
        <n v="47443.997596779598"/>
        <n v="11610.3934897167"/>
        <n v="14317.3807033377"/>
        <n v="44033.886315806201"/>
        <n v="42419.108944818698"/>
        <n v="5859.6333361780398"/>
        <n v="47022.685315857801"/>
        <n v="29642.721664368699"/>
        <n v="37662.669620134002"/>
        <n v="36744.037879934702"/>
        <n v="47902.623834897502"/>
        <n v="43281.866852347302"/>
        <n v="13364.2847821496"/>
        <n v="19279.2602148195"/>
        <n v="17232.967197593702"/>
        <n v="24921.3156336795"/>
        <n v="41814.424468231598"/>
        <n v="35869.406412032302"/>
        <n v="47788.800990939402"/>
        <n v="7898.4103950542303"/>
        <n v="43535.022572040398"/>
        <n v="49213.851670691998"/>
        <n v="19972.934865547501"/>
        <n v="12779.4190671751"/>
        <n v="30453.292560833601"/>
        <n v="45537.194394455299"/>
        <n v="16931.636008434802"/>
        <n v="22787.279244194298"/>
        <n v="18198.873724591798"/>
        <n v="14964.071601818399"/>
        <n v="30711.598690891798"/>
        <n v="46461.822523561801"/>
        <n v="37374.026136089"/>
        <n v="11287.4155066394"/>
        <n v="46515.229091929803"/>
        <n v="41468.332017550601"/>
        <n v="26193.2085927064"/>
        <n v="26790.385718866801"/>
        <n v="34056.929869869899"/>
        <n v="26652.026299642599"/>
        <n v="36610.928816561398"/>
        <n v="19562.897808925401"/>
        <n v="3345.5786412335001"/>
        <n v="40368.630785273599"/>
        <n v="5470.2096868912504"/>
        <n v="28835.350190062702"/>
        <n v="43266.509988288599"/>
        <n v="26525.9938053716"/>
        <n v="28319.6755694606"/>
        <n v="9029.1262906193097"/>
        <n v="1832.9666020570901"/>
        <n v="42550.621840623397"/>
        <n v="17426.341356949"/>
        <n v="43237.628114582098"/>
        <n v="34572.735332712298"/>
        <n v="24913.552651652499"/>
        <n v="38992.272171401397"/>
        <n v="31263.338122602599"/>
        <n v="8945.8235481350603"/>
        <n v="22862.2085047568"/>
        <n v="41011.119021858598"/>
        <n v="11798.2726351124"/>
        <n v="3882.0701209196"/>
        <n v="44256.649307948101"/>
        <n v="14691.2500422577"/>
        <n v="16817.144711016401"/>
        <n v="33925.020143291396"/>
        <n v="39221.777868764701"/>
        <n v="47034.494024767497"/>
        <n v="22314.3939445703"/>
        <n v="13906.8694714536"/>
        <n v="31303.647868426298"/>
        <n v="33335.1130679091"/>
        <n v="17394.994264453198"/>
        <n v="2095.1559258625798"/>
        <n v="47704.581793904799"/>
        <n v="47813.995206288702"/>
        <n v="24371.732446723701"/>
        <n v="11837.391382902901"/>
        <n v="26673.328841946299"/>
        <n v="26553.981812972201"/>
        <n v="2485.6164321579599"/>
        <n v="24903.037269738601"/>
        <n v="47776.286882583197"/>
        <n v="21078.4949198867"/>
        <n v="39757.648726368701"/>
        <n v="18161.7519776521"/>
        <n v="23888.3566790236"/>
        <n v="10591.269644030701"/>
        <n v="13137.632496612699"/>
        <n v="28710.513951077999"/>
        <n v="8596.5544156842207"/>
        <n v="7277.3983593862704"/>
        <n v="48627.347605697702"/>
        <n v="37722.509427610697"/>
        <n v="42041.612745959399"/>
        <n v="24406.045621389701"/>
        <n v="22139.971997018201"/>
        <n v="16774.274514532801"/>
        <n v="28830.350438624198"/>
        <n v="18200.7579970607"/>
        <n v="28830.111661622199"/>
        <n v="15723.024459754"/>
        <n v="21498.028085345701"/>
        <n v="3973.8494321007702"/>
        <n v="41850.874957626198"/>
        <n v="7878.6178145092799"/>
        <n v="32052.2246306741"/>
        <n v="37490.983363528103"/>
        <n v="20832.6812831565"/>
        <n v="38068.852152684798"/>
        <n v="14630.921981044001"/>
        <n v="10942.246708037699"/>
        <n v="45936.951134160001"/>
        <n v="19484.051239743199"/>
        <n v="24559.759287261699"/>
        <n v="13669.3777441648"/>
        <n v="39573.5214515138"/>
        <n v="43274.069749161601"/>
        <n v="29149.762262739499"/>
        <n v="23391.794052756999"/>
        <n v="23517.461851862099"/>
        <n v="35343.111751667799"/>
        <n v="23918.812512706201"/>
        <n v="32613.241610463501"/>
        <n v="33700.449514461703"/>
        <n v="9932.1914896947801"/>
        <n v="4779.8943570511101"/>
        <n v="1273.56348925465"/>
        <n v="6584.5438345926696"/>
        <n v="16236.0949437257"/>
        <n v="32220.039227316"/>
        <n v="23777.795524651901"/>
        <n v="5538.7618741275701"/>
        <n v="1872.6240696749501"/>
        <n v="42381.336872681502"/>
        <n v="27302.7152189101"/>
        <n v="38598.059722040198"/>
        <n v="7452.9262758659097"/>
        <n v="40340.5304226113"/>
        <n v="41216.676922241801"/>
        <n v="35155.664221050698"/>
        <n v="31546.520202372001"/>
        <n v="24048.266596627702"/>
        <n v="23274.304046522699"/>
        <n v="36946.0002673298"/>
        <n v="8771.4051364220704"/>
        <n v="39593.435761130801"/>
        <n v="43613.488432298502"/>
        <n v="17902.6463938095"/>
        <n v="10803.730343659499"/>
        <n v="3866.3370522312298"/>
        <n v="13251.9306679295"/>
        <n v="2634.75786257133"/>
        <n v="6852.5010547742904"/>
        <n v="37744.299585288798"/>
        <n v="10643.351924430901"/>
        <n v="36496.775644225003"/>
        <n v="43699.093392209499"/>
        <n v="21005.634447377201"/>
        <n v="43952.390215232503"/>
        <n v="19925.361214557499"/>
        <n v="13608.1789673241"/>
        <n v="35307.197478873801"/>
        <n v="5244.5079796949103"/>
        <n v="11113.373663116599"/>
        <n v="35490.262673802499"/>
        <n v="5223.9589452186301"/>
        <n v="10398.8414313658"/>
        <n v="15469.681276723801"/>
        <n v="41603.680766907499"/>
        <n v="41995.8722771537"/>
        <n v="19789.252541621201"/>
        <n v="18364.414653784501"/>
        <n v="12680.7305210584"/>
        <n v="37904.395334017099"/>
        <n v="16653.861241303501"/>
        <n v="35725.015997527997"/>
        <n v="16118.1665359169"/>
        <n v="38384.833839941202"/>
        <n v="14578.9130118227"/>
        <n v="19532.532787234701"/>
        <n v="37031.667951122399"/>
        <n v="39737.329479595399"/>
        <n v="48934.269264303897"/>
        <n v="25129.1759518902"/>
        <n v="20131.649878843"/>
        <n v="18225.084077363401"/>
        <n v="33283.284696003"/>
        <n v="28429.3070566602"/>
        <n v="39300.532140015901"/>
        <n v="22616.997534497601"/>
        <n v="37006.724829498598"/>
        <n v="22979.213540298901"/>
        <n v="11571.5707776116"/>
        <n v="45970.025398204401"/>
        <n v="2737.6761092319098"/>
        <n v="5767.5005933531002"/>
        <n v="40372.1167404589"/>
        <n v="42294.905321713901"/>
        <n v="26875.034080236601"/>
        <n v="4159.8516752477699"/>
        <n v="29381.579599553599"/>
        <n v="45779.075188684299"/>
        <n v="47030.328586837903"/>
        <n v="35536.835399326897"/>
        <n v="42182.749765012202"/>
        <n v="36653.518666295698"/>
        <n v="45454.866124597997"/>
        <n v="39459.436269374499"/>
        <n v="8941.4695186572699"/>
        <n v="24509.041814010201"/>
        <n v="24578.184988308501"/>
        <n v="41767.212328260401"/>
        <n v="30326.548123541201"/>
        <n v="36183.545475962899"/>
        <n v="26984.721435077601"/>
        <n v="43949.346582265898"/>
        <n v="13176.7874560946"/>
        <n v="16036.1099900234"/>
        <n v="37502.404710407798"/>
        <n v="37771.758993319199"/>
        <n v="9198.0711778946607"/>
        <n v="36750.887988822797"/>
        <n v="35939.431931536703"/>
        <n v="21763.630917301401"/>
        <n v="2936.56560925742"/>
        <n v="18782.955727177799"/>
        <n v="48637.890352783099"/>
        <n v="10492.799553848799"/>
        <n v="13749.9682801294"/>
        <n v="49974.8065919699"/>
        <n v="42871.494053100803"/>
        <n v="42051.0940935705"/>
        <n v="37419.016623861004"/>
        <n v="46131.070315783902"/>
        <n v="13080.6653248565"/>
        <n v="13376.2396198346"/>
        <n v="40262.311514233799"/>
        <n v="34789.575955781103"/>
        <n v="26060.673368682299"/>
        <n v="2940.42670131981"/>
        <n v="47901.752835386302"/>
        <n v="35302.054252977301"/>
        <n v="22519.3361781245"/>
        <n v="11784.941422681901"/>
        <n v="6185.9035295528402"/>
        <n v="6442.9682166496304"/>
        <n v="12470.769598304199"/>
        <n v="6907.8650863167204"/>
        <n v="23600.1110335372"/>
        <n v="45032.998617150901"/>
        <n v="42307.779652791301"/>
        <n v="12248.5769522058"/>
        <n v="10724.0332469315"/>
        <n v="44423.095535829903"/>
        <n v="7377.71555260896"/>
        <n v="5727.3381030332102"/>
        <n v="20926.297979471099"/>
        <n v="45968.666010884997"/>
        <n v="10333.0018231022"/>
        <n v="9326.0349465673007"/>
        <n v="6171.45706771202"/>
        <n v="15988.782443956599"/>
        <n v="26633.450415065199"/>
        <n v="8851.6087311708598"/>
        <n v="26510.628306911702"/>
        <n v="39094.680305806804"/>
        <n v="41813.399585122497"/>
        <n v="22577.602607749999"/>
        <n v="8515.0786857155599"/>
        <n v="28352.414731715799"/>
        <n v="18393.4217510934"/>
        <n v="24153.709302462299"/>
        <n v="34698.502617083803"/>
        <n v="8957.2103214606504"/>
        <n v="44480.896146278501"/>
        <n v="21707.777740664202"/>
        <n v="10033.7669212694"/>
        <n v="37784.192288346203"/>
        <n v="21643.098867355198"/>
        <n v="25553.1084235983"/>
        <n v="27022.8269268943"/>
        <n v="2684.4017211574901"/>
        <n v="19835.730466945901"/>
        <n v="44643.054361458097"/>
        <n v="2633.7930984837799"/>
        <n v="19660.006933679499"/>
        <n v="40530.702540511003"/>
        <n v="19068.0225191436"/>
        <n v="34173.025240585601"/>
        <n v="20485.0530568262"/>
        <n v="47999.806126673102"/>
        <n v="15801.8422884028"/>
        <n v="49488.200779255603"/>
        <n v="41890.246439373397"/>
        <n v="23684.915547098699"/>
        <n v="23016.7601043223"/>
        <n v="39914.276070550302"/>
        <n v="37718.965979142296"/>
        <n v="36823.928259992303"/>
        <n v="34710.043053737099"/>
        <n v="1926.8812784193301"/>
        <n v="24865.147652104901"/>
        <n v="47650.809694668198"/>
        <n v="40757.910944602401"/>
        <n v="40449.846433405699"/>
        <n v="34747.270077916299"/>
        <n v="1000.18083702175"/>
        <n v="4679.1190386771996"/>
        <n v="20312.769821444399"/>
        <n v="8749.9237308924694"/>
        <n v="48166.4649733162"/>
        <n v="42685.200521269602"/>
        <n v="49619.862546857403"/>
        <n v="26017.3180732412"/>
        <n v="6651.5004962202402"/>
        <n v="6103.3890638331904"/>
        <n v="27065.747046561901"/>
        <n v="39645.267804501702"/>
        <n v="36874.896996612697"/>
        <n v="47627.277838280599"/>
        <n v="31546.0403445228"/>
        <n v="12580.8884281339"/>
        <n v="41867.422765996504"/>
        <n v="38450.627462873097"/>
        <n v="24954.731136095699"/>
        <n v="45825.978895391199"/>
        <n v="16592.012152966501"/>
        <n v="10045.003229309999"/>
        <n v="37766.521237356799"/>
        <n v="22111.4556780698"/>
        <n v="18890.599993942302"/>
        <n v="11124.064664015599"/>
        <n v="33854.296896301603"/>
        <n v="4262.9115781696401"/>
        <n v="32142.997573577399"/>
        <n v="45565.749805829299"/>
        <n v="17185.194410454202"/>
        <n v="41120.098996037297"/>
        <n v="33209.185515422898"/>
        <n v="9991.0744455412496"/>
        <n v="8005.8283370563404"/>
        <n v="1888.0021112903401"/>
        <n v="26153.3892231717"/>
        <n v="35774.256988922898"/>
        <n v="9964.0629533703304"/>
        <n v="16701.347131962099"/>
        <n v="11300.5272735659"/>
        <n v="37221.718937929698"/>
        <n v="21901.8266441587"/>
        <n v="22420.439275320401"/>
        <n v="47792.230687314601"/>
        <n v="24116.5997256066"/>
        <n v="23127.2195571394"/>
        <n v="43965.778714354499"/>
        <n v="44848.3132673047"/>
        <n v="19425.967815040502"/>
        <n v="10100.077988372899"/>
        <n v="34132.623000118001"/>
        <n v="23331.281203322698"/>
        <n v="30570.902071926801"/>
        <n v="29673.0084746334"/>
        <n v="32125.1634023513"/>
        <n v="14496.083089014701"/>
        <n v="10035.332962985"/>
        <n v="42052.5248785968"/>
        <n v="39148.113565753498"/>
        <n v="36745.210455298402"/>
        <n v="27667.1265989272"/>
        <n v="22985.616664913199"/>
        <n v="17415.975767106698"/>
        <n v="46888.661109549299"/>
        <n v="15650.8913636623"/>
        <n v="11455.6382783353"/>
        <n v="22268.034662054801"/>
        <n v="22065.281396557799"/>
        <n v="13981.112613003201"/>
        <n v="7813.2390886449602"/>
        <n v="36408.226252387401"/>
        <n v="26730.533030934999"/>
        <n v="27676.337232617399"/>
        <n v="20536.009181326499"/>
        <n v="20789.8572740196"/>
        <n v="29471.3385785633"/>
        <n v="39666.2405505719"/>
        <n v="44947.469977418397"/>
        <n v="35582.755821957602"/>
        <n v="35834.356603177599"/>
        <n v="10669.985051244799"/>
        <n v="5319.5427627763202"/>
        <n v="8311.3973892222803"/>
        <n v="30496.551023285101"/>
        <n v="48995.048838771698"/>
        <n v="22722.0003202751"/>
        <n v="30663.060917614701"/>
        <n v="40247.689763677699"/>
        <n v="26660.612444034701"/>
        <n v="24362.373960440302"/>
        <n v="3672.3107384172999"/>
        <n v="21864.010007428202"/>
        <n v="13108.5108870487"/>
        <n v="49219.209543074401"/>
        <n v="33399.4656069333"/>
        <n v="44982.000414836599"/>
        <n v="42103.263033222604"/>
        <n v="34122.433884829297"/>
        <n v="13591.0430874877"/>
        <n v="12723.420482916599"/>
        <n v="30730.893293449401"/>
        <n v="38397.633513422901"/>
        <n v="40812.454056502102"/>
        <n v="7364.75096059512"/>
        <n v="22938.061375785801"/>
        <n v="32979.146245165401"/>
        <n v="22624.0054607118"/>
        <n v="35435.875071456001"/>
        <n v="48379.062559042199"/>
        <n v="11480.5080938622"/>
        <n v="17325.665238130099"/>
        <n v="19815.017938770099"/>
        <n v="37360.639585599703"/>
        <n v="38216.130499696403"/>
        <n v="21001.274872832098"/>
        <n v="36379.947147434301"/>
        <n v="48782.8563156624"/>
        <n v="1939.31910216341"/>
        <n v="46411.598052508103"/>
        <n v="41477.444808396896"/>
        <n v="48659.5988317909"/>
        <n v="4430.9357578915296"/>
        <n v="27726.725877822901"/>
        <n v="35824.277183371298"/>
        <n v="22508.974337063901"/>
        <n v="12586.402694767599"/>
        <n v="34328.250210011698"/>
        <n v="25974.552828002899"/>
        <n v="27639.326063183002"/>
        <n v="39053.622943805603"/>
        <n v="25943.140950768699"/>
        <n v="24931.510709500799"/>
        <n v="33919.881462226003"/>
        <n v="20699.8134361507"/>
        <n v="32000.195853033099"/>
        <n v="14876.215477845801"/>
        <n v="41665.423598671499"/>
        <n v="44765.716751287102"/>
        <n v="38597.001678769098"/>
        <n v="13566.273821021499"/>
        <n v="47549.050864579098"/>
        <m/>
      </sharedItems>
    </cacheField>
    <cacheField name="Room Number" numFmtId="0">
      <sharedItems containsString="0" containsBlank="1" containsNumber="1" containsInteger="1" minValue="101" maxValue="500"/>
    </cacheField>
    <cacheField name="Admission Type" numFmtId="0">
      <sharedItems containsBlank="1"/>
    </cacheField>
    <cacheField name="Discharge Date" numFmtId="14">
      <sharedItems containsNonDate="0" containsDate="1" containsString="0" containsBlank="1" minDate="2018-11-05T00:00:00" maxDate="2023-11-26T00:00:00"/>
    </cacheField>
    <cacheField name="Medication" numFmtId="0">
      <sharedItems containsBlank="1"/>
    </cacheField>
    <cacheField name="Test Results" numFmtId="0">
      <sharedItems containsBlank="1"/>
    </cacheField>
    <cacheField name="Recovery Days" numFmtId="0">
      <sharedItems containsString="0" containsBlank="1" containsNumber="1" containsInteger="1" minValue="1" maxValue="30" count="31">
        <n v="16"/>
        <n v="22"/>
        <n v="3"/>
        <n v="30"/>
        <n v="20"/>
        <n v="10"/>
        <n v="29"/>
        <n v="18"/>
        <n v="19"/>
        <n v="11"/>
        <n v="6"/>
        <n v="7"/>
        <n v="25"/>
        <n v="27"/>
        <n v="12"/>
        <n v="14"/>
        <n v="8"/>
        <n v="23"/>
        <n v="4"/>
        <n v="26"/>
        <n v="24"/>
        <n v="2"/>
        <n v="15"/>
        <n v="9"/>
        <n v="1"/>
        <n v="13"/>
        <n v="17"/>
        <n v="21"/>
        <n v="5"/>
        <n v="28"/>
        <m/>
      </sharedItems>
    </cacheField>
    <cacheField name="Months (Date of Admission)" numFmtId="0" databaseField="0">
      <fieldGroup base="6">
        <rangePr groupBy="months" startDate="2018-11-01T00:00:00" endDate="2023-10-31T00:00:00"/>
        <groupItems count="14">
          <s v="&lt;11/1/2018"/>
          <s v="Jan"/>
          <s v="Feb"/>
          <s v="Mar"/>
          <s v="Apr"/>
          <s v="May"/>
          <s v="Jun"/>
          <s v="Jul"/>
          <s v="Aug"/>
          <s v="Sep"/>
          <s v="Oct"/>
          <s v="Nov"/>
          <s v="Dec"/>
          <s v="&gt;10/31/2023"/>
        </groupItems>
      </fieldGroup>
    </cacheField>
    <cacheField name="Quarters (Date of Admission)" numFmtId="0" databaseField="0">
      <fieldGroup base="6">
        <rangePr groupBy="quarters" startDate="2018-11-01T00:00:00" endDate="2023-10-31T00:00:00"/>
        <groupItems count="6">
          <s v="&lt;11/1/2018"/>
          <s v="Qtr1"/>
          <s v="Qtr2"/>
          <s v="Qtr3"/>
          <s v="Qtr4"/>
          <s v="&gt;10/31/2023"/>
        </groupItems>
      </fieldGroup>
    </cacheField>
    <cacheField name="Years (Date of Admission)" numFmtId="0" databaseField="0">
      <fieldGroup base="6">
        <rangePr groupBy="years" startDate="2018-11-01T00:00:00" endDate="2023-10-31T00:00:00"/>
        <groupItems count="8">
          <s v="&lt;11/1/2018"/>
          <s v="2018"/>
          <s v="2019"/>
          <s v="2020"/>
          <s v="2021"/>
          <s v="2022"/>
          <s v="2023"/>
          <s v="&gt;10/31/2023"/>
        </groupItems>
      </fieldGroup>
    </cacheField>
  </cacheFields>
  <extLst>
    <ext xmlns:x14="http://schemas.microsoft.com/office/spreadsheetml/2009/9/main" uri="{725AE2AE-9491-48be-B2B4-4EB974FC3084}">
      <x14:pivotCacheDefinition pivotCacheId="61413103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9.735524884258" createdVersion="8" refreshedVersion="8" minRefreshableVersion="3" recordCount="8" xr:uid="{2B9E389C-09BB-4C51-AC76-0085A41A5930}">
  <cacheSource type="worksheet">
    <worksheetSource ref="T38:Z46" sheet="healthcare_dataset"/>
  </cacheSource>
  <cacheFields count="7">
    <cacheField name="Blood Group" numFmtId="0">
      <sharedItems count="8">
        <s v="A+"/>
        <s v="A-"/>
        <s v="AB+"/>
        <s v="AB-"/>
        <s v="B+"/>
        <s v="B-"/>
        <s v="O+"/>
        <s v="O-"/>
      </sharedItems>
    </cacheField>
    <cacheField name="Arthritis" numFmtId="0">
      <sharedItems containsSemiMixedTypes="0" containsString="0" containsNumber="1" containsInteger="1" minValue="14" maxValue="27" count="4">
        <n v="19"/>
        <n v="21"/>
        <n v="27"/>
        <n v="14"/>
      </sharedItems>
    </cacheField>
    <cacheField name="Asthma" numFmtId="0">
      <sharedItems containsSemiMixedTypes="0" containsString="0" containsNumber="1" containsInteger="1" minValue="17" maxValue="26" count="8">
        <n v="25"/>
        <n v="24"/>
        <n v="18"/>
        <n v="17"/>
        <n v="23"/>
        <n v="22"/>
        <n v="26"/>
        <n v="19"/>
      </sharedItems>
    </cacheField>
    <cacheField name="Cancer" numFmtId="0">
      <sharedItems containsSemiMixedTypes="0" containsString="0" containsNumber="1" containsInteger="1" minValue="16" maxValue="31"/>
    </cacheField>
    <cacheField name="Diabetes" numFmtId="0">
      <sharedItems containsSemiMixedTypes="0" containsString="0" containsNumber="1" containsInteger="1" minValue="13" maxValue="30"/>
    </cacheField>
    <cacheField name="Hypertension" numFmtId="0">
      <sharedItems containsSemiMixedTypes="0" containsString="0" containsNumber="1" containsInteger="1" minValue="15" maxValue="29"/>
    </cacheField>
    <cacheField name="Obesity" numFmtId="0">
      <sharedItems containsSemiMixedTypes="0" containsString="0" containsNumber="1" containsInteger="1" minValue="16" maxValue="25"/>
    </cacheField>
  </cacheFields>
  <extLst>
    <ext xmlns:x14="http://schemas.microsoft.com/office/spreadsheetml/2009/9/main" uri="{725AE2AE-9491-48be-B2B4-4EB974FC3084}">
      <x14:pivotCacheDefinition pivotCacheId="132933067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9.843715162038" createdVersion="8" refreshedVersion="8" minRefreshableVersion="3" recordCount="6" xr:uid="{7AAC5DB1-DA7E-46C2-92E9-5923FBCAC425}">
  <cacheSource type="worksheet">
    <worksheetSource ref="S53:AA59" sheet="healthcare_dataset"/>
  </cacheSource>
  <cacheFields count="9">
    <cacheField name="Blood Group" numFmtId="49">
      <sharedItems count="6">
        <s v="Arthritis"/>
        <s v="Asthma"/>
        <s v="Cancer"/>
        <s v="Diabetes"/>
        <s v="Hypertension"/>
        <s v="Obesity"/>
      </sharedItems>
    </cacheField>
    <cacheField name="A+" numFmtId="0">
      <sharedItems containsSemiMixedTypes="0" containsString="0" containsNumber="1" containsInteger="1" minValue="16" maxValue="25" count="6">
        <n v="19"/>
        <n v="25"/>
        <n v="16"/>
        <n v="23"/>
        <n v="21"/>
        <n v="18"/>
      </sharedItems>
    </cacheField>
    <cacheField name="A-" numFmtId="0">
      <sharedItems containsSemiMixedTypes="0" containsString="0" containsNumber="1" containsInteger="1" minValue="13" maxValue="26"/>
    </cacheField>
    <cacheField name="AB+" numFmtId="0">
      <sharedItems containsSemiMixedTypes="0" containsString="0" containsNumber="1" containsInteger="1" minValue="16" maxValue="28"/>
    </cacheField>
    <cacheField name="AB-" numFmtId="0">
      <sharedItems containsSemiMixedTypes="0" containsString="0" containsNumber="1" containsInteger="1" minValue="17" maxValue="30"/>
    </cacheField>
    <cacheField name="B+" numFmtId="0">
      <sharedItems containsSemiMixedTypes="0" containsString="0" containsNumber="1" containsInteger="1" minValue="16" maxValue="23"/>
    </cacheField>
    <cacheField name="B-" numFmtId="0">
      <sharedItems containsSemiMixedTypes="0" containsString="0" containsNumber="1" containsInteger="1" minValue="14" maxValue="31"/>
    </cacheField>
    <cacheField name="O+" numFmtId="0">
      <sharedItems containsSemiMixedTypes="0" containsString="0" containsNumber="1" containsInteger="1" minValue="16" maxValue="26"/>
    </cacheField>
    <cacheField name="O-" numFmtId="0">
      <sharedItems containsSemiMixedTypes="0" containsString="0" containsNumber="1" containsInteger="1" minValue="17"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Adam Stephens"/>
    <x v="0"/>
    <n v="79"/>
    <x v="0"/>
    <s v="O-"/>
    <x v="0"/>
    <d v="2021-03-28T00:00:00"/>
    <s v="Nicholas Valenzuela"/>
    <s v="Bauer, Lee and Cantrell"/>
    <s v="Cigna"/>
    <n v="40482.860919821796"/>
    <n v="173"/>
    <x v="0"/>
    <d v="2021-04-13T00:00:00"/>
    <x v="0"/>
    <x v="0"/>
    <n v="16"/>
  </r>
  <r>
    <s v="Adrian Valencia"/>
    <x v="1"/>
    <n v="22"/>
    <x v="1"/>
    <s v="A+"/>
    <x v="0"/>
    <d v="2022-10-29T00:00:00"/>
    <s v="Sandra Scott"/>
    <s v="Webb Ltd"/>
    <s v="Cigna"/>
    <n v="30203.557649485701"/>
    <n v="490"/>
    <x v="1"/>
    <d v="2022-11-20T00:00:00"/>
    <x v="1"/>
    <x v="0"/>
    <n v="22"/>
  </r>
  <r>
    <s v="Alejandro Ramirez DDS"/>
    <x v="2"/>
    <n v="53"/>
    <x v="1"/>
    <s v="A+"/>
    <x v="0"/>
    <d v="2022-10-25T00:00:00"/>
    <s v="Shane Browning"/>
    <s v="Watson, Berger and Guerra"/>
    <s v="Aetna"/>
    <n v="3673.0429478707401"/>
    <n v="489"/>
    <x v="2"/>
    <d v="2022-10-28T00:00:00"/>
    <x v="0"/>
    <x v="1"/>
    <n v="3"/>
  </r>
  <r>
    <s v="Alexis Jones"/>
    <x v="3"/>
    <n v="26"/>
    <x v="1"/>
    <s v="AB-"/>
    <x v="0"/>
    <d v="2019-01-21T00:00:00"/>
    <s v="Cassandra Johnson"/>
    <s v="Silva, Adams and Price"/>
    <s v="Medicare"/>
    <n v="20230.445508408899"/>
    <n v="473"/>
    <x v="0"/>
    <d v="2019-02-06T00:00:00"/>
    <x v="1"/>
    <x v="1"/>
    <n v="16"/>
  </r>
  <r>
    <s v="Amanda Jones"/>
    <x v="4"/>
    <n v="62"/>
    <x v="1"/>
    <s v="O-"/>
    <x v="0"/>
    <d v="2023-09-19T00:00:00"/>
    <s v="Mary Williams"/>
    <s v="Rich, Hart and Edwards"/>
    <s v="Blue Cross"/>
    <n v="48960.840964328199"/>
    <n v="241"/>
    <x v="2"/>
    <d v="2023-10-05T00:00:00"/>
    <x v="0"/>
    <x v="0"/>
    <n v="16"/>
  </r>
  <r>
    <s v="Amanda Stone"/>
    <x v="3"/>
    <n v="26"/>
    <x v="0"/>
    <s v="A-"/>
    <x v="0"/>
    <d v="2019-06-05T00:00:00"/>
    <s v="Adam Snyder"/>
    <s v="Smith Group"/>
    <s v="Aetna"/>
    <n v="33632.929738282"/>
    <n v="359"/>
    <x v="0"/>
    <d v="2019-06-27T00:00:00"/>
    <x v="2"/>
    <x v="0"/>
    <n v="22"/>
  </r>
  <r>
    <s v="Andrea Nicholson"/>
    <x v="1"/>
    <n v="24"/>
    <x v="1"/>
    <s v="AB-"/>
    <x v="0"/>
    <d v="2019-12-05T00:00:00"/>
    <s v="Margaret Jacobs"/>
    <s v="Morris PLC"/>
    <s v="Aetna"/>
    <n v="49142.724307598597"/>
    <n v="230"/>
    <x v="0"/>
    <d v="2020-01-04T00:00:00"/>
    <x v="3"/>
    <x v="0"/>
    <n v="30"/>
  </r>
  <r>
    <s v="Andrew Harmon"/>
    <x v="4"/>
    <n v="62"/>
    <x v="0"/>
    <s v="A-"/>
    <x v="0"/>
    <d v="2020-04-06T00:00:00"/>
    <s v="Jenna Stone"/>
    <s v="Roberts-Elliott"/>
    <s v="Aetna"/>
    <n v="27165.334847019101"/>
    <n v="215"/>
    <x v="1"/>
    <d v="2020-04-26T00:00:00"/>
    <x v="1"/>
    <x v="1"/>
    <n v="20"/>
  </r>
  <r>
    <s v="Angela Sanchez"/>
    <x v="0"/>
    <n v="81"/>
    <x v="0"/>
    <s v="O-"/>
    <x v="0"/>
    <d v="2021-06-13T00:00:00"/>
    <s v="Heather Warner"/>
    <s v="Johnson, George and Shelton"/>
    <s v="Cigna"/>
    <n v="21965.0796562785"/>
    <n v="410"/>
    <x v="1"/>
    <d v="2021-06-23T00:00:00"/>
    <x v="0"/>
    <x v="2"/>
    <n v="10"/>
  </r>
  <r>
    <s v="Anne Smith"/>
    <x v="1"/>
    <n v="20"/>
    <x v="1"/>
    <s v="B-"/>
    <x v="0"/>
    <d v="2022-07-31T00:00:00"/>
    <s v="Nathan Hawkins"/>
    <s v="Watkins Group"/>
    <s v="Medicare"/>
    <n v="6787.5339903715403"/>
    <n v="110"/>
    <x v="2"/>
    <d v="2022-08-20T00:00:00"/>
    <x v="1"/>
    <x v="0"/>
    <n v="20"/>
  </r>
  <r>
    <s v="Anne Wallace"/>
    <x v="1"/>
    <n v="18"/>
    <x v="0"/>
    <s v="A+"/>
    <x v="0"/>
    <d v="2019-07-30T00:00:00"/>
    <s v="Edward Collins"/>
    <s v="Wilkinson-Mcdonald"/>
    <s v="Aetna"/>
    <n v="7237.04059480877"/>
    <n v="442"/>
    <x v="1"/>
    <d v="2019-08-28T00:00:00"/>
    <x v="2"/>
    <x v="1"/>
    <n v="29"/>
  </r>
  <r>
    <s v="Anthony Bailey"/>
    <x v="0"/>
    <n v="83"/>
    <x v="1"/>
    <s v="A+"/>
    <x v="0"/>
    <d v="2019-04-18T00:00:00"/>
    <s v="Tony Wright"/>
    <s v="Cruz-Dean"/>
    <s v="UnitedHealthcare"/>
    <n v="5412.6890448185704"/>
    <n v="495"/>
    <x v="2"/>
    <d v="2019-05-06T00:00:00"/>
    <x v="3"/>
    <x v="0"/>
    <n v="18"/>
  </r>
  <r>
    <s v="Antonio Miller"/>
    <x v="5"/>
    <n v="41"/>
    <x v="0"/>
    <s v="AB+"/>
    <x v="0"/>
    <d v="2023-08-03T00:00:00"/>
    <s v="Rachel Wheeler"/>
    <s v="White PLC"/>
    <s v="UnitedHealthcare"/>
    <n v="13759.8438124075"/>
    <n v="464"/>
    <x v="2"/>
    <d v="2023-08-22T00:00:00"/>
    <x v="0"/>
    <x v="0"/>
    <n v="19"/>
  </r>
  <r>
    <s v="Ashley Cherry"/>
    <x v="2"/>
    <n v="55"/>
    <x v="1"/>
    <s v="AB+"/>
    <x v="0"/>
    <d v="2018-12-05T00:00:00"/>
    <s v="Kayla Reyes"/>
    <s v="Lynch and Sons"/>
    <s v="UnitedHealthcare"/>
    <n v="24261.161682174199"/>
    <n v="383"/>
    <x v="2"/>
    <d v="2018-12-16T00:00:00"/>
    <x v="4"/>
    <x v="1"/>
    <n v="11"/>
  </r>
  <r>
    <s v="Barbara Salinas"/>
    <x v="6"/>
    <n v="66"/>
    <x v="1"/>
    <s v="A+"/>
    <x v="0"/>
    <d v="2019-07-29T00:00:00"/>
    <s v="Anna Adams"/>
    <s v="Richardson-Osborn"/>
    <s v="Blue Cross"/>
    <n v="34465.8248756373"/>
    <n v="361"/>
    <x v="1"/>
    <d v="2019-08-27T00:00:00"/>
    <x v="2"/>
    <x v="0"/>
    <n v="29"/>
  </r>
  <r>
    <s v="Brandon Miller MD"/>
    <x v="5"/>
    <n v="45"/>
    <x v="0"/>
    <s v="A-"/>
    <x v="0"/>
    <d v="2019-12-01T00:00:00"/>
    <s v="Lisa Hill"/>
    <s v="Cox, Garcia and Nichols"/>
    <s v="Medicare"/>
    <n v="41082.614871218502"/>
    <n v="359"/>
    <x v="0"/>
    <d v="2019-12-07T00:00:00"/>
    <x v="2"/>
    <x v="1"/>
    <n v="6"/>
  </r>
  <r>
    <s v="Brian Dorsey"/>
    <x v="3"/>
    <n v="32"/>
    <x v="0"/>
    <s v="O+"/>
    <x v="0"/>
    <d v="2021-08-07T00:00:00"/>
    <s v="Curtis Smith"/>
    <s v="Burch-White"/>
    <s v="Aetna"/>
    <n v="27174.942906232402"/>
    <n v="492"/>
    <x v="1"/>
    <d v="2021-08-14T00:00:00"/>
    <x v="3"/>
    <x v="0"/>
    <n v="7"/>
  </r>
  <r>
    <s v="Brian Gibson"/>
    <x v="5"/>
    <n v="37"/>
    <x v="1"/>
    <s v="B+"/>
    <x v="0"/>
    <d v="2020-06-30T00:00:00"/>
    <s v="Kathleen Oconnor DDS"/>
    <s v="Allen Group"/>
    <s v="Aetna"/>
    <n v="7075.04249268287"/>
    <n v="216"/>
    <x v="0"/>
    <d v="2020-07-25T00:00:00"/>
    <x v="4"/>
    <x v="0"/>
    <n v="25"/>
  </r>
  <r>
    <s v="Carlos Bennett"/>
    <x v="5"/>
    <n v="36"/>
    <x v="1"/>
    <s v="AB+"/>
    <x v="0"/>
    <d v="2021-05-24T00:00:00"/>
    <s v="Dwayne Mooney"/>
    <s v="Brown-Arnold"/>
    <s v="Medicare"/>
    <n v="39533.378201419997"/>
    <n v="315"/>
    <x v="2"/>
    <d v="2021-06-13T00:00:00"/>
    <x v="0"/>
    <x v="1"/>
    <n v="20"/>
  </r>
  <r>
    <s v="Cassandra Burke"/>
    <x v="4"/>
    <n v="60"/>
    <x v="1"/>
    <s v="A+"/>
    <x v="0"/>
    <d v="2020-07-15T00:00:00"/>
    <s v="Vanessa Gutierrez"/>
    <s v="Mccormick LLC"/>
    <s v="Aetna"/>
    <n v="32573.7247492395"/>
    <n v="435"/>
    <x v="2"/>
    <d v="2020-08-14T00:00:00"/>
    <x v="1"/>
    <x v="1"/>
    <n v="30"/>
  </r>
  <r>
    <s v="Christian Gonzalez"/>
    <x v="4"/>
    <n v="59"/>
    <x v="1"/>
    <s v="B-"/>
    <x v="0"/>
    <d v="2022-06-17T00:00:00"/>
    <s v="Julie Moreno"/>
    <s v="Williamson Group"/>
    <s v="UnitedHealthcare"/>
    <n v="29711.4484885532"/>
    <n v="171"/>
    <x v="0"/>
    <d v="2022-07-12T00:00:00"/>
    <x v="4"/>
    <x v="2"/>
    <n v="25"/>
  </r>
  <r>
    <s v="Christina Martinez"/>
    <x v="3"/>
    <n v="28"/>
    <x v="0"/>
    <s v="AB-"/>
    <x v="0"/>
    <d v="2020-12-30T00:00:00"/>
    <s v="Gabriella White"/>
    <s v="Saunders, Blake and Bell"/>
    <s v="Aetna"/>
    <n v="1997.33276127046"/>
    <n v="188"/>
    <x v="2"/>
    <d v="2021-01-18T00:00:00"/>
    <x v="2"/>
    <x v="1"/>
    <n v="19"/>
  </r>
  <r>
    <s v="Christina Mccoy"/>
    <x v="6"/>
    <n v="75"/>
    <x v="1"/>
    <s v="B-"/>
    <x v="0"/>
    <d v="2022-10-14T00:00:00"/>
    <s v="Jordan Garrett"/>
    <s v="Owens Ltd"/>
    <s v="Blue Cross"/>
    <n v="48192.648606367104"/>
    <n v="490"/>
    <x v="2"/>
    <d v="2022-11-03T00:00:00"/>
    <x v="4"/>
    <x v="0"/>
    <n v="20"/>
  </r>
  <r>
    <s v="Christine Lewis"/>
    <x v="4"/>
    <n v="56"/>
    <x v="1"/>
    <s v="B+"/>
    <x v="0"/>
    <d v="2021-06-25T00:00:00"/>
    <s v="Joseph Banks"/>
    <s v="Padilla and Sons"/>
    <s v="Medicare"/>
    <n v="6786.99988852962"/>
    <n v="451"/>
    <x v="0"/>
    <d v="2021-07-22T00:00:00"/>
    <x v="3"/>
    <x v="0"/>
    <n v="27"/>
  </r>
  <r>
    <s v="Christopher Campos"/>
    <x v="5"/>
    <n v="37"/>
    <x v="0"/>
    <s v="B-"/>
    <x v="0"/>
    <d v="2023-09-18T00:00:00"/>
    <s v="Anna Meyers"/>
    <s v="Chan-Brady"/>
    <s v="Aetna"/>
    <n v="7061.8424395512502"/>
    <n v="425"/>
    <x v="2"/>
    <d v="2023-09-30T00:00:00"/>
    <x v="1"/>
    <x v="2"/>
    <n v="12"/>
  </r>
  <r>
    <s v="Christopher Duffy"/>
    <x v="1"/>
    <n v="18"/>
    <x v="1"/>
    <s v="O-"/>
    <x v="0"/>
    <d v="2019-02-09T00:00:00"/>
    <s v="Anthony Jones"/>
    <s v="Anthony Ltd"/>
    <s v="Aetna"/>
    <n v="18605.860442632398"/>
    <n v="433"/>
    <x v="1"/>
    <d v="2019-02-25T00:00:00"/>
    <x v="1"/>
    <x v="1"/>
    <n v="16"/>
  </r>
  <r>
    <s v="Christopher Farmer"/>
    <x v="3"/>
    <n v="35"/>
    <x v="0"/>
    <s v="AB+"/>
    <x v="0"/>
    <d v="2019-02-23T00:00:00"/>
    <s v="Jessica Daniels"/>
    <s v="Perez PLC"/>
    <s v="Medicare"/>
    <n v="7219.4662530414098"/>
    <n v="483"/>
    <x v="2"/>
    <d v="2019-03-06T00:00:00"/>
    <x v="1"/>
    <x v="1"/>
    <n v="11"/>
  </r>
  <r>
    <s v="Cindy Lowe"/>
    <x v="6"/>
    <n v="68"/>
    <x v="0"/>
    <s v="O+"/>
    <x v="0"/>
    <d v="2020-07-05T00:00:00"/>
    <s v="Lisa Bennett"/>
    <s v="Gibson-Harrison"/>
    <s v="Aetna"/>
    <n v="43134.404352418002"/>
    <n v="138"/>
    <x v="2"/>
    <d v="2020-07-27T00:00:00"/>
    <x v="4"/>
    <x v="2"/>
    <n v="22"/>
  </r>
  <r>
    <s v="Colleen Swanson"/>
    <x v="4"/>
    <n v="62"/>
    <x v="1"/>
    <s v="O+"/>
    <x v="0"/>
    <d v="2019-10-30T00:00:00"/>
    <s v="Russell Soto"/>
    <s v="Lopez Group"/>
    <s v="Cigna"/>
    <n v="19630.673492911399"/>
    <n v="455"/>
    <x v="2"/>
    <d v="2019-11-13T00:00:00"/>
    <x v="3"/>
    <x v="0"/>
    <n v="14"/>
  </r>
  <r>
    <s v="Dana Beck"/>
    <x v="4"/>
    <n v="65"/>
    <x v="1"/>
    <s v="B+"/>
    <x v="0"/>
    <d v="2020-03-26T00:00:00"/>
    <s v="Hunter Carter"/>
    <s v="Huff Group"/>
    <s v="Medicare"/>
    <n v="4858.1824806072"/>
    <n v="261"/>
    <x v="2"/>
    <d v="2020-04-03T00:00:00"/>
    <x v="4"/>
    <x v="2"/>
    <n v="8"/>
  </r>
  <r>
    <s v="Daniel Murray"/>
    <x v="3"/>
    <n v="26"/>
    <x v="0"/>
    <s v="AB-"/>
    <x v="0"/>
    <d v="2021-03-13T00:00:00"/>
    <s v="Terri Williams"/>
    <s v="Davis-Sanchez"/>
    <s v="UnitedHealthcare"/>
    <n v="10776.4006344024"/>
    <n v="430"/>
    <x v="1"/>
    <d v="2021-04-07T00:00:00"/>
    <x v="1"/>
    <x v="1"/>
    <n v="25"/>
  </r>
  <r>
    <s v="Danny Farley"/>
    <x v="5"/>
    <n v="45"/>
    <x v="1"/>
    <s v="AB+"/>
    <x v="0"/>
    <d v="2021-02-08T00:00:00"/>
    <s v="Rachel Jimenez"/>
    <s v="Moore and Sons"/>
    <s v="Blue Cross"/>
    <n v="40894.212139742303"/>
    <n v="324"/>
    <x v="2"/>
    <d v="2021-03-03T00:00:00"/>
    <x v="4"/>
    <x v="2"/>
    <n v="23"/>
  </r>
  <r>
    <s v="Daryl Torres"/>
    <x v="3"/>
    <n v="35"/>
    <x v="0"/>
    <s v="B+"/>
    <x v="0"/>
    <d v="2019-12-22T00:00:00"/>
    <s v="Jared Marshall"/>
    <s v="Sanchez PLC"/>
    <s v="Blue Cross"/>
    <n v="25682.586677854"/>
    <n v="500"/>
    <x v="0"/>
    <d v="2020-01-03T00:00:00"/>
    <x v="0"/>
    <x v="2"/>
    <n v="12"/>
  </r>
  <r>
    <s v="David Richardson"/>
    <x v="0"/>
    <n v="83"/>
    <x v="1"/>
    <s v="O-"/>
    <x v="0"/>
    <d v="2021-10-07T00:00:00"/>
    <s v="Sherri Vaughn"/>
    <s v="Smith Group"/>
    <s v="Medicare"/>
    <n v="13650.4875897607"/>
    <n v="465"/>
    <x v="1"/>
    <d v="2021-11-03T00:00:00"/>
    <x v="4"/>
    <x v="0"/>
    <n v="27"/>
  </r>
  <r>
    <s v="David Sanchez"/>
    <x v="3"/>
    <n v="34"/>
    <x v="1"/>
    <s v="O+"/>
    <x v="0"/>
    <d v="2019-07-27T00:00:00"/>
    <s v="Sandra Hogan"/>
    <s v="Miller Ltd"/>
    <s v="Blue Cross"/>
    <n v="6777.2293137999905"/>
    <n v="493"/>
    <x v="1"/>
    <d v="2019-08-08T00:00:00"/>
    <x v="1"/>
    <x v="0"/>
    <n v="12"/>
  </r>
  <r>
    <s v="David Thomas"/>
    <x v="1"/>
    <n v="23"/>
    <x v="0"/>
    <s v="O+"/>
    <x v="0"/>
    <d v="2019-07-08T00:00:00"/>
    <s v="Mrs. Cheryl Gomez"/>
    <s v="Keith, Berry and King"/>
    <s v="Medicare"/>
    <n v="29222.327183056801"/>
    <n v="355"/>
    <x v="1"/>
    <d v="2019-07-26T00:00:00"/>
    <x v="4"/>
    <x v="0"/>
    <n v="18"/>
  </r>
  <r>
    <s v="Derek Henderson"/>
    <x v="6"/>
    <n v="69"/>
    <x v="1"/>
    <s v="B+"/>
    <x v="0"/>
    <d v="2021-10-29T00:00:00"/>
    <s v="Mrs. Lindsey Howell"/>
    <s v="Lambert PLC"/>
    <s v="Aetna"/>
    <n v="25646.982769784801"/>
    <n v="384"/>
    <x v="1"/>
    <d v="2021-11-04T00:00:00"/>
    <x v="3"/>
    <x v="1"/>
    <n v="6"/>
  </r>
  <r>
    <s v="Derek Patton"/>
    <x v="2"/>
    <n v="51"/>
    <x v="1"/>
    <s v="AB+"/>
    <x v="0"/>
    <d v="2020-11-20T00:00:00"/>
    <s v="Alexandra Robbins"/>
    <s v="Delgado, Banks and Foster"/>
    <s v="UnitedHealthcare"/>
    <n v="42322.889901344803"/>
    <n v="148"/>
    <x v="2"/>
    <d v="2020-11-26T00:00:00"/>
    <x v="3"/>
    <x v="0"/>
    <n v="6"/>
  </r>
  <r>
    <s v="Destiny Parks"/>
    <x v="0"/>
    <n v="79"/>
    <x v="0"/>
    <s v="O-"/>
    <x v="0"/>
    <d v="2022-04-28T00:00:00"/>
    <s v="Jennifer Vasquez"/>
    <s v="Gutierrez-Kelly"/>
    <s v="Blue Cross"/>
    <n v="44419.9854240887"/>
    <n v="220"/>
    <x v="0"/>
    <d v="2022-05-20T00:00:00"/>
    <x v="2"/>
    <x v="1"/>
    <n v="22"/>
  </r>
  <r>
    <s v="Donna Mitchell"/>
    <x v="4"/>
    <n v="57"/>
    <x v="1"/>
    <s v="B+"/>
    <x v="0"/>
    <d v="2023-07-04T00:00:00"/>
    <s v="Lori Morton"/>
    <s v="Dawson-Palmer"/>
    <s v="Cigna"/>
    <n v="44019.0774476476"/>
    <n v="111"/>
    <x v="2"/>
    <d v="2023-07-15T00:00:00"/>
    <x v="3"/>
    <x v="0"/>
    <n v="11"/>
  </r>
  <r>
    <s v="Douglas Crawford"/>
    <x v="3"/>
    <n v="34"/>
    <x v="1"/>
    <s v="AB+"/>
    <x v="0"/>
    <d v="2023-08-16T00:00:00"/>
    <s v="Joseph Santiago"/>
    <s v="Stephens and Sons"/>
    <s v="Blue Cross"/>
    <n v="26440.396725683899"/>
    <n v="142"/>
    <x v="0"/>
    <d v="2023-09-15T00:00:00"/>
    <x v="4"/>
    <x v="2"/>
    <n v="30"/>
  </r>
  <r>
    <s v="Emily Johnson"/>
    <x v="5"/>
    <n v="45"/>
    <x v="0"/>
    <s v="O+"/>
    <x v="0"/>
    <d v="2019-09-13T00:00:00"/>
    <s v="Nicholas Bailey"/>
    <s v="Forbes, Hill and Macias"/>
    <s v="Blue Cross"/>
    <n v="25726.2988873088"/>
    <n v="493"/>
    <x v="1"/>
    <d v="2019-09-20T00:00:00"/>
    <x v="1"/>
    <x v="0"/>
    <n v="7"/>
  </r>
  <r>
    <s v="Emily Mason"/>
    <x v="0"/>
    <n v="80"/>
    <x v="0"/>
    <s v="B+"/>
    <x v="0"/>
    <d v="2022-10-30T00:00:00"/>
    <s v="Holly Chan"/>
    <s v="Bridges, Garcia and Joyce"/>
    <s v="Blue Cross"/>
    <n v="40088.251914106397"/>
    <n v="445"/>
    <x v="1"/>
    <d v="2022-11-24T00:00:00"/>
    <x v="4"/>
    <x v="2"/>
    <n v="25"/>
  </r>
  <r>
    <s v="Eric Aguirre"/>
    <x v="3"/>
    <n v="34"/>
    <x v="0"/>
    <s v="O+"/>
    <x v="0"/>
    <d v="2020-02-13T00:00:00"/>
    <s v="James May"/>
    <s v="Williams, Hinton and Ray"/>
    <s v="Cigna"/>
    <n v="19528.401762947698"/>
    <n v="268"/>
    <x v="0"/>
    <d v="2020-02-20T00:00:00"/>
    <x v="0"/>
    <x v="0"/>
    <n v="7"/>
  </r>
  <r>
    <s v="Eric Green"/>
    <x v="0"/>
    <n v="79"/>
    <x v="0"/>
    <s v="B+"/>
    <x v="0"/>
    <d v="2019-10-18T00:00:00"/>
    <s v="Ryan Castillo"/>
    <s v="Gallagher, Roberts and Horn"/>
    <s v="Cigna"/>
    <n v="45839.002243320101"/>
    <n v="175"/>
    <x v="0"/>
    <d v="2019-10-22T00:00:00"/>
    <x v="1"/>
    <x v="2"/>
    <n v="4"/>
  </r>
  <r>
    <s v="Erin Molina"/>
    <x v="1"/>
    <n v="25"/>
    <x v="0"/>
    <s v="A-"/>
    <x v="0"/>
    <d v="2021-08-20T00:00:00"/>
    <s v="Rebekah Cruz"/>
    <s v="Taylor, Mckay and Sanchez"/>
    <s v="Cigna"/>
    <n v="36912.1867054697"/>
    <n v="452"/>
    <x v="1"/>
    <d v="2021-09-01T00:00:00"/>
    <x v="4"/>
    <x v="1"/>
    <n v="12"/>
  </r>
  <r>
    <s v="Francis Wheeler"/>
    <x v="4"/>
    <n v="59"/>
    <x v="0"/>
    <s v="B-"/>
    <x v="0"/>
    <d v="2018-12-17T00:00:00"/>
    <s v="Chad Riley"/>
    <s v="Ortiz-Hernandez"/>
    <s v="UnitedHealthcare"/>
    <n v="14870.6272512614"/>
    <n v="493"/>
    <x v="0"/>
    <d v="2019-01-12T00:00:00"/>
    <x v="2"/>
    <x v="0"/>
    <n v="26"/>
  </r>
  <r>
    <s v="Gabriel Mccormick"/>
    <x v="6"/>
    <n v="74"/>
    <x v="1"/>
    <s v="B-"/>
    <x v="0"/>
    <d v="2022-06-07T00:00:00"/>
    <s v="Joseph Ortega"/>
    <s v="Wilkinson, Harvey and Lopez"/>
    <s v="Medicare"/>
    <n v="29986.1162785856"/>
    <n v="439"/>
    <x v="1"/>
    <d v="2022-06-10T00:00:00"/>
    <x v="2"/>
    <x v="0"/>
    <n v="3"/>
  </r>
  <r>
    <s v="Gary Jackson"/>
    <x v="0"/>
    <n v="82"/>
    <x v="0"/>
    <s v="O+"/>
    <x v="0"/>
    <d v="2021-06-08T00:00:00"/>
    <s v="John Leon"/>
    <s v="Myers LLC"/>
    <s v="Medicare"/>
    <n v="31726.597160656602"/>
    <n v="118"/>
    <x v="0"/>
    <d v="2021-07-04T00:00:00"/>
    <x v="2"/>
    <x v="2"/>
    <n v="26"/>
  </r>
  <r>
    <s v="Gloria Weaver"/>
    <x v="0"/>
    <n v="76"/>
    <x v="0"/>
    <s v="AB-"/>
    <x v="0"/>
    <d v="2021-05-24T00:00:00"/>
    <s v="Nancy Lewis"/>
    <s v="Curry Ltd"/>
    <s v="UnitedHealthcare"/>
    <n v="30732.6983833657"/>
    <n v="292"/>
    <x v="0"/>
    <d v="2021-06-19T00:00:00"/>
    <x v="2"/>
    <x v="0"/>
    <n v="26"/>
  </r>
  <r>
    <s v="Heather Hoffman"/>
    <x v="4"/>
    <n v="56"/>
    <x v="1"/>
    <s v="A+"/>
    <x v="0"/>
    <d v="2023-10-02T00:00:00"/>
    <s v="Andre Watson"/>
    <s v="Nguyen-Smith"/>
    <s v="Aetna"/>
    <n v="9305.99996214169"/>
    <n v="332"/>
    <x v="0"/>
    <d v="2023-11-01T00:00:00"/>
    <x v="3"/>
    <x v="1"/>
    <n v="30"/>
  </r>
  <r>
    <s v="Heather Stephens"/>
    <x v="0"/>
    <n v="80"/>
    <x v="0"/>
    <s v="A-"/>
    <x v="0"/>
    <d v="2020-08-14T00:00:00"/>
    <s v="Mindy Lindsey"/>
    <s v="Larson-Montgomery"/>
    <s v="Cigna"/>
    <n v="17171.201075165602"/>
    <n v="471"/>
    <x v="1"/>
    <d v="2020-09-07T00:00:00"/>
    <x v="3"/>
    <x v="1"/>
    <n v="24"/>
  </r>
  <r>
    <s v="Hector Gross"/>
    <x v="3"/>
    <n v="26"/>
    <x v="0"/>
    <s v="O+"/>
    <x v="0"/>
    <d v="2020-06-25T00:00:00"/>
    <s v="William Alexander"/>
    <s v="Jones Inc"/>
    <s v="Cigna"/>
    <n v="39541.663943074498"/>
    <n v="351"/>
    <x v="1"/>
    <d v="2020-07-11T00:00:00"/>
    <x v="1"/>
    <x v="1"/>
    <n v="16"/>
  </r>
  <r>
    <s v="Heidi Parker"/>
    <x v="3"/>
    <n v="35"/>
    <x v="1"/>
    <s v="A+"/>
    <x v="0"/>
    <d v="2021-06-02T00:00:00"/>
    <s v="Geoffrey Diaz"/>
    <s v="Watson LLC"/>
    <s v="Blue Cross"/>
    <n v="5516.7041853713999"/>
    <n v="155"/>
    <x v="2"/>
    <d v="2021-06-14T00:00:00"/>
    <x v="3"/>
    <x v="2"/>
    <n v="12"/>
  </r>
  <r>
    <s v="Jacqueline Sanchez"/>
    <x v="3"/>
    <n v="32"/>
    <x v="0"/>
    <s v="AB-"/>
    <x v="0"/>
    <d v="2023-02-22T00:00:00"/>
    <s v="Katie Erickson"/>
    <s v="Carey PLC"/>
    <s v="Medicare"/>
    <n v="21859.773421427199"/>
    <n v="207"/>
    <x v="2"/>
    <d v="2023-03-18T00:00:00"/>
    <x v="4"/>
    <x v="1"/>
    <n v="24"/>
  </r>
  <r>
    <s v="James Evans"/>
    <x v="6"/>
    <n v="71"/>
    <x v="1"/>
    <s v="A-"/>
    <x v="0"/>
    <d v="2021-08-20T00:00:00"/>
    <s v="James Garza"/>
    <s v="Hill and Sons"/>
    <s v="Aetna"/>
    <n v="29285.344053736499"/>
    <n v="162"/>
    <x v="1"/>
    <d v="2021-09-15T00:00:00"/>
    <x v="3"/>
    <x v="2"/>
    <n v="26"/>
  </r>
  <r>
    <s v="James Marsh"/>
    <x v="4"/>
    <n v="59"/>
    <x v="0"/>
    <s v="O+"/>
    <x v="0"/>
    <d v="2020-08-20T00:00:00"/>
    <s v="Angela Wright"/>
    <s v="Baker, Parker and Mcgee"/>
    <s v="UnitedHealthcare"/>
    <n v="31644.800997890699"/>
    <n v="336"/>
    <x v="1"/>
    <d v="2020-08-22T00:00:00"/>
    <x v="1"/>
    <x v="1"/>
    <n v="2"/>
  </r>
  <r>
    <s v="James Pittman"/>
    <x v="6"/>
    <n v="71"/>
    <x v="1"/>
    <s v="A-"/>
    <x v="0"/>
    <d v="2022-12-01T00:00:00"/>
    <s v="Sierra Graves"/>
    <s v="Ford, Wilson and Davis"/>
    <s v="Aetna"/>
    <n v="42968.272698491099"/>
    <n v="401"/>
    <x v="1"/>
    <d v="2022-12-04T00:00:00"/>
    <x v="1"/>
    <x v="1"/>
    <n v="3"/>
  </r>
  <r>
    <s v="Jason Alvarado"/>
    <x v="4"/>
    <n v="62"/>
    <x v="0"/>
    <s v="O+"/>
    <x v="0"/>
    <d v="2020-06-27T00:00:00"/>
    <s v="Aaron Johnson"/>
    <s v="Baker Inc"/>
    <s v="Aetna"/>
    <n v="25489.361897336799"/>
    <n v="430"/>
    <x v="1"/>
    <d v="2020-07-09T00:00:00"/>
    <x v="1"/>
    <x v="1"/>
    <n v="12"/>
  </r>
  <r>
    <s v="Jason Horn"/>
    <x v="0"/>
    <n v="81"/>
    <x v="0"/>
    <s v="AB+"/>
    <x v="0"/>
    <d v="2018-11-18T00:00:00"/>
    <s v="David Williams"/>
    <s v="Rosales, Lyons and Aguilar"/>
    <s v="Cigna"/>
    <n v="5092.74967506549"/>
    <n v="182"/>
    <x v="2"/>
    <d v="2018-12-08T00:00:00"/>
    <x v="3"/>
    <x v="0"/>
    <n v="20"/>
  </r>
  <r>
    <s v="Jeanne Gray"/>
    <x v="4"/>
    <n v="63"/>
    <x v="0"/>
    <s v="A-"/>
    <x v="0"/>
    <d v="2023-04-10T00:00:00"/>
    <s v="Jason Chase"/>
    <s v="Robinson-Armstrong"/>
    <s v="Blue Cross"/>
    <n v="23210.812334885301"/>
    <n v="443"/>
    <x v="2"/>
    <d v="2023-04-25T00:00:00"/>
    <x v="2"/>
    <x v="2"/>
    <n v="15"/>
  </r>
  <r>
    <s v="Jennifer Berg"/>
    <x v="6"/>
    <n v="70"/>
    <x v="1"/>
    <s v="AB-"/>
    <x v="0"/>
    <d v="2020-12-09T00:00:00"/>
    <s v="Christopher Howard"/>
    <s v="Johnson-Pierce"/>
    <s v="Aetna"/>
    <n v="22815.891209293699"/>
    <n v="478"/>
    <x v="2"/>
    <d v="2020-12-17T00:00:00"/>
    <x v="4"/>
    <x v="2"/>
    <n v="8"/>
  </r>
  <r>
    <s v="Jennifer Wang"/>
    <x v="5"/>
    <n v="36"/>
    <x v="1"/>
    <s v="AB+"/>
    <x v="0"/>
    <d v="2023-03-14T00:00:00"/>
    <s v="Mr. Aaron Chase"/>
    <s v="Russo, Mccall and Clark"/>
    <s v="Aetna"/>
    <n v="24428.301687721101"/>
    <n v="470"/>
    <x v="0"/>
    <d v="2023-04-03T00:00:00"/>
    <x v="4"/>
    <x v="2"/>
    <n v="20"/>
  </r>
  <r>
    <s v="Jeremy Duffy"/>
    <x v="0"/>
    <n v="80"/>
    <x v="0"/>
    <s v="A+"/>
    <x v="0"/>
    <d v="2021-04-17T00:00:00"/>
    <s v="James Johnson"/>
    <s v="Moore-Baker"/>
    <s v="UnitedHealthcare"/>
    <n v="30101.6790072941"/>
    <n v="269"/>
    <x v="2"/>
    <d v="2021-05-03T00:00:00"/>
    <x v="3"/>
    <x v="0"/>
    <n v="16"/>
  </r>
  <r>
    <s v="Jeremy Whitney"/>
    <x v="4"/>
    <n v="58"/>
    <x v="0"/>
    <s v="A-"/>
    <x v="0"/>
    <d v="2019-08-16T00:00:00"/>
    <s v="Michael Harris"/>
    <s v="Lawson, Hayden and Collins"/>
    <s v="Medicare"/>
    <n v="26925.895178152899"/>
    <n v="266"/>
    <x v="0"/>
    <d v="2019-09-12T00:00:00"/>
    <x v="0"/>
    <x v="0"/>
    <n v="27"/>
  </r>
  <r>
    <s v="Jermaine Thomas"/>
    <x v="0"/>
    <n v="80"/>
    <x v="0"/>
    <s v="B+"/>
    <x v="0"/>
    <d v="2021-03-28T00:00:00"/>
    <s v="Carrie Ho"/>
    <s v="Maxwell, James and Davis"/>
    <s v="UnitedHealthcare"/>
    <n v="13073.288022564"/>
    <n v="268"/>
    <x v="1"/>
    <d v="2021-04-06T00:00:00"/>
    <x v="0"/>
    <x v="1"/>
    <n v="9"/>
  </r>
  <r>
    <s v="Jesse Williams"/>
    <x v="6"/>
    <n v="73"/>
    <x v="1"/>
    <s v="B-"/>
    <x v="0"/>
    <d v="2019-10-21T00:00:00"/>
    <s v="Eric Sellers"/>
    <s v="Burke-Reed"/>
    <s v="Cigna"/>
    <n v="17241.116362635599"/>
    <n v="347"/>
    <x v="2"/>
    <d v="2019-10-22T00:00:00"/>
    <x v="4"/>
    <x v="2"/>
    <n v="1"/>
  </r>
  <r>
    <s v="Jessica Hanna"/>
    <x v="0"/>
    <n v="82"/>
    <x v="0"/>
    <s v="B+"/>
    <x v="0"/>
    <d v="2021-10-12T00:00:00"/>
    <s v="Victoria Myers"/>
    <s v="Castillo Inc"/>
    <s v="Cigna"/>
    <n v="14083.523234672901"/>
    <n v="443"/>
    <x v="2"/>
    <d v="2021-11-03T00:00:00"/>
    <x v="3"/>
    <x v="0"/>
    <n v="22"/>
  </r>
  <r>
    <s v="Jodi Moore"/>
    <x v="5"/>
    <n v="45"/>
    <x v="0"/>
    <s v="AB-"/>
    <x v="0"/>
    <d v="2022-07-30T00:00:00"/>
    <s v="Misty Clark"/>
    <s v="Jenkins, Collins and Barajas"/>
    <s v="Blue Cross"/>
    <n v="48047.652589528203"/>
    <n v="414"/>
    <x v="2"/>
    <d v="2022-08-13T00:00:00"/>
    <x v="2"/>
    <x v="0"/>
    <n v="14"/>
  </r>
  <r>
    <s v="John Miller"/>
    <x v="0"/>
    <n v="84"/>
    <x v="0"/>
    <s v="O-"/>
    <x v="0"/>
    <d v="2021-11-15T00:00:00"/>
    <s v="Jessica Rodriguez"/>
    <s v="Collins, Ward and Jackson"/>
    <s v="Aetna"/>
    <n v="20846.383322027901"/>
    <n v="407"/>
    <x v="0"/>
    <d v="2021-11-21T00:00:00"/>
    <x v="2"/>
    <x v="1"/>
    <n v="6"/>
  </r>
  <r>
    <s v="Johnny Johnson"/>
    <x v="4"/>
    <n v="60"/>
    <x v="1"/>
    <s v="B+"/>
    <x v="0"/>
    <d v="2019-08-10T00:00:00"/>
    <s v="Timothy Hoffman"/>
    <s v="Johnson Inc"/>
    <s v="UnitedHealthcare"/>
    <n v="1733.3650274449601"/>
    <n v="139"/>
    <x v="2"/>
    <d v="2019-08-16T00:00:00"/>
    <x v="3"/>
    <x v="2"/>
    <n v="6"/>
  </r>
  <r>
    <s v="Jonathan Fernandez"/>
    <x v="6"/>
    <n v="69"/>
    <x v="0"/>
    <s v="O+"/>
    <x v="0"/>
    <d v="2021-01-15T00:00:00"/>
    <s v="Adrian Terry"/>
    <s v="Taylor and Sons"/>
    <s v="UnitedHealthcare"/>
    <n v="22081.278260597199"/>
    <n v="356"/>
    <x v="1"/>
    <d v="2021-01-26T00:00:00"/>
    <x v="0"/>
    <x v="2"/>
    <n v="11"/>
  </r>
  <r>
    <s v="Jonathan Herring"/>
    <x v="0"/>
    <n v="78"/>
    <x v="0"/>
    <s v="B+"/>
    <x v="0"/>
    <d v="2019-07-13T00:00:00"/>
    <s v="Donna Williams"/>
    <s v="Smith-Ray"/>
    <s v="Cigna"/>
    <n v="32465.1285180216"/>
    <n v="500"/>
    <x v="2"/>
    <d v="2019-07-26T00:00:00"/>
    <x v="0"/>
    <x v="1"/>
    <n v="13"/>
  </r>
  <r>
    <s v="Jordan Nelson"/>
    <x v="6"/>
    <n v="71"/>
    <x v="0"/>
    <s v="AB+"/>
    <x v="0"/>
    <d v="2021-06-03T00:00:00"/>
    <s v="Jordan Lutz"/>
    <s v="Chambers PLC"/>
    <s v="Cigna"/>
    <n v="22697.415826541801"/>
    <n v="447"/>
    <x v="1"/>
    <d v="2021-06-20T00:00:00"/>
    <x v="4"/>
    <x v="0"/>
    <n v="17"/>
  </r>
  <r>
    <s v="Jose Hayes"/>
    <x v="0"/>
    <n v="82"/>
    <x v="0"/>
    <s v="AB-"/>
    <x v="0"/>
    <d v="2019-03-19T00:00:00"/>
    <s v="Samuel Sutton"/>
    <s v="Boone, Smith and Riddle"/>
    <s v="UnitedHealthcare"/>
    <n v="45969.6102500739"/>
    <n v="222"/>
    <x v="1"/>
    <d v="2019-04-18T00:00:00"/>
    <x v="1"/>
    <x v="1"/>
    <n v="30"/>
  </r>
  <r>
    <s v="Joseph Barrera"/>
    <x v="0"/>
    <n v="76"/>
    <x v="0"/>
    <s v="A-"/>
    <x v="0"/>
    <d v="2022-03-27T00:00:00"/>
    <s v="Sydney Brown"/>
    <s v="Hernandez Ltd"/>
    <s v="Cigna"/>
    <n v="26051.414457974799"/>
    <n v="184"/>
    <x v="1"/>
    <d v="2022-04-07T00:00:00"/>
    <x v="1"/>
    <x v="0"/>
    <n v="11"/>
  </r>
  <r>
    <s v="Joshua Sullivan"/>
    <x v="4"/>
    <n v="56"/>
    <x v="0"/>
    <s v="AB-"/>
    <x v="0"/>
    <d v="2021-09-30T00:00:00"/>
    <s v="Angelica Houston"/>
    <s v="Campbell, Graham and Rosario"/>
    <s v="Aetna"/>
    <n v="28440.881391974199"/>
    <n v="500"/>
    <x v="0"/>
    <d v="2021-10-26T00:00:00"/>
    <x v="0"/>
    <x v="0"/>
    <n v="26"/>
  </r>
  <r>
    <s v="Joy Henry"/>
    <x v="2"/>
    <n v="51"/>
    <x v="0"/>
    <s v="A-"/>
    <x v="0"/>
    <d v="2020-09-05T00:00:00"/>
    <s v="Allison Mendoza"/>
    <s v="Adams, Ibarra and Phillips"/>
    <s v="Cigna"/>
    <n v="37736.472654193698"/>
    <n v="232"/>
    <x v="2"/>
    <d v="2020-10-01T00:00:00"/>
    <x v="3"/>
    <x v="0"/>
    <n v="26"/>
  </r>
  <r>
    <s v="Justin Parker"/>
    <x v="4"/>
    <n v="60"/>
    <x v="0"/>
    <s v="AB-"/>
    <x v="0"/>
    <d v="2019-11-21T00:00:00"/>
    <s v="Nancy Smith"/>
    <s v="Crawford, Lewis and Austin"/>
    <s v="Cigna"/>
    <n v="10179.756432705701"/>
    <n v="126"/>
    <x v="1"/>
    <d v="2019-12-09T00:00:00"/>
    <x v="4"/>
    <x v="2"/>
    <n v="18"/>
  </r>
  <r>
    <s v="Justin Perry"/>
    <x v="0"/>
    <n v="85"/>
    <x v="1"/>
    <s v="A-"/>
    <x v="0"/>
    <d v="2019-06-24T00:00:00"/>
    <s v="Joshua Blackwell"/>
    <s v="Hudson, Jackson and Bird"/>
    <s v="Aetna"/>
    <n v="44358.0270789676"/>
    <n v="108"/>
    <x v="1"/>
    <d v="2019-07-15T00:00:00"/>
    <x v="4"/>
    <x v="0"/>
    <n v="21"/>
  </r>
  <r>
    <s v="Kayla Williams"/>
    <x v="5"/>
    <n v="40"/>
    <x v="0"/>
    <s v="A-"/>
    <x v="0"/>
    <d v="2019-11-01T00:00:00"/>
    <s v="Mary Wagner"/>
    <s v="Young, Chang and Parker"/>
    <s v="Cigna"/>
    <n v="36443.765527358097"/>
    <n v="497"/>
    <x v="1"/>
    <d v="2019-11-06T00:00:00"/>
    <x v="2"/>
    <x v="1"/>
    <n v="5"/>
  </r>
  <r>
    <s v="Kenneth Mcfarland"/>
    <x v="3"/>
    <n v="33"/>
    <x v="0"/>
    <s v="A+"/>
    <x v="0"/>
    <d v="2022-03-12T00:00:00"/>
    <s v="Cassidy Williams"/>
    <s v="Edwards Group"/>
    <s v="Cigna"/>
    <n v="38730.9132823076"/>
    <n v="130"/>
    <x v="0"/>
    <d v="2022-03-24T00:00:00"/>
    <x v="0"/>
    <x v="1"/>
    <n v="12"/>
  </r>
  <r>
    <s v="Kevin Andrews"/>
    <x v="5"/>
    <n v="43"/>
    <x v="0"/>
    <s v="B+"/>
    <x v="0"/>
    <d v="2023-04-28T00:00:00"/>
    <s v="Judy Carlson"/>
    <s v="Moody, Daniels and Wilson"/>
    <s v="Blue Cross"/>
    <n v="31008.4793081241"/>
    <n v="350"/>
    <x v="2"/>
    <d v="2023-05-04T00:00:00"/>
    <x v="3"/>
    <x v="2"/>
    <n v="6"/>
  </r>
  <r>
    <s v="Kevin Cunningham"/>
    <x v="4"/>
    <n v="63"/>
    <x v="0"/>
    <s v="O+"/>
    <x v="0"/>
    <d v="2021-02-28T00:00:00"/>
    <s v="Sheri Mclean"/>
    <s v="Gordon LLC"/>
    <s v="Cigna"/>
    <n v="21815.834706117301"/>
    <n v="497"/>
    <x v="2"/>
    <d v="2021-03-15T00:00:00"/>
    <x v="0"/>
    <x v="1"/>
    <n v="15"/>
  </r>
  <r>
    <s v="Kevin Montoya"/>
    <x v="1"/>
    <n v="23"/>
    <x v="0"/>
    <s v="AB-"/>
    <x v="0"/>
    <d v="2019-05-07T00:00:00"/>
    <s v="Mark Watkins"/>
    <s v="Smith, Roth and Green"/>
    <s v="UnitedHealthcare"/>
    <n v="49270.072507326702"/>
    <n v="133"/>
    <x v="0"/>
    <d v="2019-05-13T00:00:00"/>
    <x v="4"/>
    <x v="2"/>
    <n v="6"/>
  </r>
  <r>
    <s v="Kevin Thomas"/>
    <x v="4"/>
    <n v="56"/>
    <x v="1"/>
    <s v="B+"/>
    <x v="0"/>
    <d v="2022-10-19T00:00:00"/>
    <s v="Michael Evans"/>
    <s v="Sanchez LLC"/>
    <s v="Medicare"/>
    <n v="16280.909098145999"/>
    <n v="199"/>
    <x v="2"/>
    <d v="2022-10-31T00:00:00"/>
    <x v="0"/>
    <x v="0"/>
    <n v="12"/>
  </r>
  <r>
    <s v="Kristy Donaldson"/>
    <x v="3"/>
    <n v="26"/>
    <x v="0"/>
    <s v="B+"/>
    <x v="0"/>
    <d v="2018-12-15T00:00:00"/>
    <s v="Elizabeth Clark DDS"/>
    <s v="Nguyen-Johnson"/>
    <s v="UnitedHealthcare"/>
    <n v="17531.212779067198"/>
    <n v="111"/>
    <x v="1"/>
    <d v="2018-12-28T00:00:00"/>
    <x v="3"/>
    <x v="0"/>
    <n v="13"/>
  </r>
  <r>
    <s v="Kyle Byrd"/>
    <x v="2"/>
    <n v="48"/>
    <x v="0"/>
    <s v="B-"/>
    <x v="0"/>
    <d v="2022-10-20T00:00:00"/>
    <s v="Melissa Kelley"/>
    <s v="Kerr LLC"/>
    <s v="Aetna"/>
    <n v="38872.645222723702"/>
    <n v="412"/>
    <x v="0"/>
    <d v="2022-11-04T00:00:00"/>
    <x v="0"/>
    <x v="2"/>
    <n v="15"/>
  </r>
  <r>
    <s v="Lauren Clark"/>
    <x v="1"/>
    <n v="18"/>
    <x v="1"/>
    <s v="AB+"/>
    <x v="0"/>
    <d v="2022-12-17T00:00:00"/>
    <s v="Rebecca Ortiz"/>
    <s v="Nguyen LLC"/>
    <s v="UnitedHealthcare"/>
    <n v="39875.215878852301"/>
    <n v="230"/>
    <x v="0"/>
    <d v="2023-01-11T00:00:00"/>
    <x v="1"/>
    <x v="0"/>
    <n v="25"/>
  </r>
  <r>
    <s v="Lauren Sosa"/>
    <x v="3"/>
    <n v="33"/>
    <x v="0"/>
    <s v="B+"/>
    <x v="0"/>
    <d v="2020-12-04T00:00:00"/>
    <s v="Stephanie Smith"/>
    <s v="Vasquez Inc"/>
    <s v="Aetna"/>
    <n v="9812.1798241314991"/>
    <n v="262"/>
    <x v="2"/>
    <d v="2020-12-13T00:00:00"/>
    <x v="3"/>
    <x v="2"/>
    <n v="9"/>
  </r>
  <r>
    <s v="Laurie Turner"/>
    <x v="3"/>
    <n v="33"/>
    <x v="1"/>
    <s v="O-"/>
    <x v="0"/>
    <d v="2023-07-02T00:00:00"/>
    <s v="Mr. Samuel Burgess"/>
    <s v="Sims, King and Martin"/>
    <s v="UnitedHealthcare"/>
    <n v="8129.3584987025797"/>
    <n v="436"/>
    <x v="1"/>
    <d v="2023-07-08T00:00:00"/>
    <x v="4"/>
    <x v="2"/>
    <n v="6"/>
  </r>
  <r>
    <s v="Linda Collins"/>
    <x v="4"/>
    <n v="56"/>
    <x v="1"/>
    <s v="O-"/>
    <x v="0"/>
    <d v="2020-09-01T00:00:00"/>
    <s v="Robert Hanson"/>
    <s v="Young, Warner and Taylor"/>
    <s v="UnitedHealthcare"/>
    <n v="26105.143432276102"/>
    <n v="185"/>
    <x v="1"/>
    <d v="2020-09-11T00:00:00"/>
    <x v="0"/>
    <x v="1"/>
    <n v="10"/>
  </r>
  <r>
    <s v="Linda Wheeler"/>
    <x v="3"/>
    <n v="32"/>
    <x v="1"/>
    <s v="A-"/>
    <x v="0"/>
    <d v="2020-05-07T00:00:00"/>
    <s v="Aaron Burnett"/>
    <s v="Wilson, Andrews and Webb"/>
    <s v="Blue Cross"/>
    <n v="37421.296659936001"/>
    <n v="405"/>
    <x v="1"/>
    <d v="2020-06-04T00:00:00"/>
    <x v="4"/>
    <x v="2"/>
    <n v="28"/>
  </r>
  <r>
    <s v="Lori Anderson"/>
    <x v="2"/>
    <n v="52"/>
    <x v="1"/>
    <s v="B-"/>
    <x v="0"/>
    <d v="2021-11-12T00:00:00"/>
    <s v="Austin Alvarado"/>
    <s v="Brady, Brown and Adams"/>
    <s v="UnitedHealthcare"/>
    <n v="1452.0538192226099"/>
    <n v="120"/>
    <x v="1"/>
    <d v="2021-11-28T00:00:00"/>
    <x v="0"/>
    <x v="2"/>
    <n v="16"/>
  </r>
  <r>
    <s v="Lori Barrett"/>
    <x v="2"/>
    <n v="52"/>
    <x v="1"/>
    <s v="A+"/>
    <x v="0"/>
    <d v="2019-07-03T00:00:00"/>
    <s v="Jennifer Newton"/>
    <s v="Allen, Robinson and Campbell"/>
    <s v="Cigna"/>
    <n v="43311.759415349501"/>
    <n v="432"/>
    <x v="1"/>
    <d v="2019-07-21T00:00:00"/>
    <x v="1"/>
    <x v="1"/>
    <n v="18"/>
  </r>
  <r>
    <s v="Lori Owens"/>
    <x v="1"/>
    <n v="19"/>
    <x v="1"/>
    <s v="A+"/>
    <x v="0"/>
    <d v="2021-07-04T00:00:00"/>
    <s v="Adrian Pierce"/>
    <s v="Diaz-Ferguson"/>
    <s v="Blue Cross"/>
    <n v="20080.297644905098"/>
    <n v="303"/>
    <x v="1"/>
    <d v="2021-07-29T00:00:00"/>
    <x v="1"/>
    <x v="1"/>
    <n v="25"/>
  </r>
  <r>
    <s v="Lynn Lowery"/>
    <x v="6"/>
    <n v="71"/>
    <x v="1"/>
    <s v="AB+"/>
    <x v="0"/>
    <d v="2020-07-28T00:00:00"/>
    <s v="Beverly Carlson"/>
    <s v="Calderon and Sons"/>
    <s v="UnitedHealthcare"/>
    <n v="7135.0884567345101"/>
    <n v="413"/>
    <x v="1"/>
    <d v="2020-08-11T00:00:00"/>
    <x v="0"/>
    <x v="1"/>
    <n v="14"/>
  </r>
  <r>
    <s v="Madeline Vaughan"/>
    <x v="6"/>
    <n v="69"/>
    <x v="0"/>
    <s v="A+"/>
    <x v="0"/>
    <d v="2018-11-14T00:00:00"/>
    <s v="Brenda Lawson"/>
    <s v="Duffy, Potts and Rodgers"/>
    <s v="UnitedHealthcare"/>
    <n v="39472.193756529203"/>
    <n v="337"/>
    <x v="0"/>
    <d v="2018-11-25T00:00:00"/>
    <x v="0"/>
    <x v="0"/>
    <n v="11"/>
  </r>
  <r>
    <s v="Matthew Palmer"/>
    <x v="4"/>
    <n v="63"/>
    <x v="0"/>
    <s v="AB+"/>
    <x v="0"/>
    <d v="2019-01-27T00:00:00"/>
    <s v="Nathaniel Wilson"/>
    <s v="Walker-Mcguire"/>
    <s v="Cigna"/>
    <n v="25420.211238027801"/>
    <n v="445"/>
    <x v="2"/>
    <d v="2019-02-08T00:00:00"/>
    <x v="3"/>
    <x v="2"/>
    <n v="12"/>
  </r>
  <r>
    <s v="Matthew Russell"/>
    <x v="1"/>
    <n v="20"/>
    <x v="0"/>
    <s v="AB-"/>
    <x v="0"/>
    <d v="2019-02-28T00:00:00"/>
    <s v="William Hart"/>
    <s v="Kane-Alvarado"/>
    <s v="Medicare"/>
    <n v="49035.206927040497"/>
    <n v="460"/>
    <x v="2"/>
    <d v="2019-03-26T00:00:00"/>
    <x v="2"/>
    <x v="0"/>
    <n v="26"/>
  </r>
  <r>
    <s v="Melissa Mcdonald"/>
    <x v="3"/>
    <n v="26"/>
    <x v="1"/>
    <s v="O-"/>
    <x v="0"/>
    <d v="2019-08-24T00:00:00"/>
    <s v="Amy Williams"/>
    <s v="Haney-Morgan"/>
    <s v="UnitedHealthcare"/>
    <n v="44336.269154592403"/>
    <n v="401"/>
    <x v="2"/>
    <d v="2019-09-07T00:00:00"/>
    <x v="3"/>
    <x v="0"/>
    <n v="14"/>
  </r>
  <r>
    <s v="Melissa Smith"/>
    <x v="3"/>
    <n v="32"/>
    <x v="0"/>
    <s v="B+"/>
    <x v="0"/>
    <d v="2020-10-10T00:00:00"/>
    <s v="Ryan Cline"/>
    <s v="Burton, Harris and Phillips"/>
    <s v="Blue Cross"/>
    <n v="7114.39032496049"/>
    <n v="209"/>
    <x v="2"/>
    <d v="2020-10-14T00:00:00"/>
    <x v="3"/>
    <x v="1"/>
    <n v="4"/>
  </r>
  <r>
    <s v="Michael Crawford"/>
    <x v="5"/>
    <n v="38"/>
    <x v="1"/>
    <s v="AB-"/>
    <x v="0"/>
    <d v="2021-04-23T00:00:00"/>
    <s v="Sarah Mcneil"/>
    <s v="Williams-Arias"/>
    <s v="Blue Cross"/>
    <n v="25159.923894608299"/>
    <n v="233"/>
    <x v="0"/>
    <d v="2021-05-22T00:00:00"/>
    <x v="3"/>
    <x v="2"/>
    <n v="29"/>
  </r>
  <r>
    <s v="Michael Schmidt"/>
    <x v="0"/>
    <n v="79"/>
    <x v="0"/>
    <s v="A-"/>
    <x v="0"/>
    <d v="2022-06-12T00:00:00"/>
    <s v="Gene Goodman"/>
    <s v="Robbins Ltd"/>
    <s v="Blue Cross"/>
    <n v="19955.344980386999"/>
    <n v="379"/>
    <x v="1"/>
    <d v="2022-06-13T00:00:00"/>
    <x v="3"/>
    <x v="0"/>
    <n v="1"/>
  </r>
  <r>
    <s v="Michael Thompson"/>
    <x v="2"/>
    <n v="52"/>
    <x v="0"/>
    <s v="AB-"/>
    <x v="0"/>
    <d v="2021-10-12T00:00:00"/>
    <s v="Zachary Fuentes"/>
    <s v="Miller-Hall"/>
    <s v="Aetna"/>
    <n v="12318.402603786701"/>
    <n v="444"/>
    <x v="0"/>
    <d v="2021-10-23T00:00:00"/>
    <x v="2"/>
    <x v="2"/>
    <n v="11"/>
  </r>
  <r>
    <s v="Miguel Baker"/>
    <x v="1"/>
    <n v="23"/>
    <x v="1"/>
    <s v="O-"/>
    <x v="0"/>
    <d v="2019-03-25T00:00:00"/>
    <s v="Mark Hill"/>
    <s v="Ramirez Inc"/>
    <s v="UnitedHealthcare"/>
    <n v="39329.114309021497"/>
    <n v="110"/>
    <x v="2"/>
    <d v="2019-04-08T00:00:00"/>
    <x v="0"/>
    <x v="0"/>
    <n v="14"/>
  </r>
  <r>
    <s v="Monica Serrano"/>
    <x v="4"/>
    <n v="61"/>
    <x v="1"/>
    <s v="AB-"/>
    <x v="0"/>
    <d v="2021-11-28T00:00:00"/>
    <s v="Tim Bauer"/>
    <s v="Mcdonald LLC"/>
    <s v="Medicare"/>
    <n v="12442.557385800599"/>
    <n v="437"/>
    <x v="2"/>
    <d v="2021-12-12T00:00:00"/>
    <x v="0"/>
    <x v="1"/>
    <n v="14"/>
  </r>
  <r>
    <s v="Mr. John Martin DVM"/>
    <x v="3"/>
    <n v="33"/>
    <x v="0"/>
    <s v="O-"/>
    <x v="0"/>
    <d v="2021-05-08T00:00:00"/>
    <s v="Mike Allen"/>
    <s v="Baldwin, Lyons and Campbell"/>
    <s v="UnitedHealthcare"/>
    <n v="42727.0625792098"/>
    <n v="424"/>
    <x v="1"/>
    <d v="2021-05-16T00:00:00"/>
    <x v="4"/>
    <x v="0"/>
    <n v="8"/>
  </r>
  <r>
    <s v="Mrs. Brandy Flowers"/>
    <x v="2"/>
    <n v="51"/>
    <x v="1"/>
    <s v="O-"/>
    <x v="0"/>
    <d v="2021-07-09T00:00:00"/>
    <s v="Dustin Griffin"/>
    <s v="Jones, Brown and Murray"/>
    <s v="UnitedHealthcare"/>
    <n v="18086.3441835638"/>
    <n v="477"/>
    <x v="2"/>
    <d v="2021-08-02T00:00:00"/>
    <x v="2"/>
    <x v="1"/>
    <n v="24"/>
  </r>
  <r>
    <s v="Mrs. Brittany Fields"/>
    <x v="3"/>
    <n v="35"/>
    <x v="0"/>
    <s v="AB+"/>
    <x v="0"/>
    <d v="2022-11-01T00:00:00"/>
    <s v="Charles Medina"/>
    <s v="Davis, Dominguez and Morales"/>
    <s v="Blue Cross"/>
    <n v="21591.8361676924"/>
    <n v="289"/>
    <x v="0"/>
    <d v="2022-11-24T00:00:00"/>
    <x v="1"/>
    <x v="2"/>
    <n v="23"/>
  </r>
  <r>
    <s v="Mrs. Crystal Garcia"/>
    <x v="2"/>
    <n v="54"/>
    <x v="0"/>
    <s v="O-"/>
    <x v="0"/>
    <d v="2021-08-28T00:00:00"/>
    <s v="Gina Beasley"/>
    <s v="Estrada, Nguyen and Patterson"/>
    <s v="Cigna"/>
    <n v="1256.47907173921"/>
    <n v="265"/>
    <x v="2"/>
    <d v="2021-09-22T00:00:00"/>
    <x v="4"/>
    <x v="2"/>
    <n v="25"/>
  </r>
  <r>
    <s v="Mrs. Natasha Williams"/>
    <x v="1"/>
    <n v="19"/>
    <x v="1"/>
    <s v="O+"/>
    <x v="0"/>
    <d v="2021-07-17T00:00:00"/>
    <s v="Robert Fisher"/>
    <s v="Hernandez-Walker"/>
    <s v="UnitedHealthcare"/>
    <n v="25004.2686095141"/>
    <n v="416"/>
    <x v="1"/>
    <d v="2021-07-18T00:00:00"/>
    <x v="3"/>
    <x v="0"/>
    <n v="1"/>
  </r>
  <r>
    <s v="Natalie Navarro"/>
    <x v="0"/>
    <n v="78"/>
    <x v="0"/>
    <s v="A+"/>
    <x v="0"/>
    <d v="2020-02-02T00:00:00"/>
    <s v="Deborah Adams"/>
    <s v="Hayes-Graham"/>
    <s v="Cigna"/>
    <n v="21293.018508273199"/>
    <n v="487"/>
    <x v="2"/>
    <d v="2020-02-22T00:00:00"/>
    <x v="0"/>
    <x v="2"/>
    <n v="20"/>
  </r>
  <r>
    <s v="Natasha Fischer"/>
    <x v="4"/>
    <n v="56"/>
    <x v="1"/>
    <s v="B+"/>
    <x v="0"/>
    <d v="2021-08-11T00:00:00"/>
    <s v="Debbie Fisher"/>
    <s v="Russell Ltd"/>
    <s v="Cigna"/>
    <n v="44226.342901835997"/>
    <n v="338"/>
    <x v="0"/>
    <d v="2021-09-09T00:00:00"/>
    <x v="3"/>
    <x v="1"/>
    <n v="29"/>
  </r>
  <r>
    <s v="Nicholas Johnson"/>
    <x v="4"/>
    <n v="65"/>
    <x v="0"/>
    <s v="AB+"/>
    <x v="0"/>
    <d v="2023-01-29T00:00:00"/>
    <s v="Justin Lynch"/>
    <s v="Wood-Clark"/>
    <s v="UnitedHealthcare"/>
    <n v="11296.5660235747"/>
    <n v="123"/>
    <x v="0"/>
    <d v="2023-02-11T00:00:00"/>
    <x v="3"/>
    <x v="2"/>
    <n v="13"/>
  </r>
  <r>
    <s v="Olivia Ayala"/>
    <x v="4"/>
    <n v="60"/>
    <x v="1"/>
    <s v="A-"/>
    <x v="0"/>
    <d v="2022-11-26T00:00:00"/>
    <s v="Leon Price"/>
    <s v="Cook-Wright"/>
    <s v="Blue Cross"/>
    <n v="49576.874032886102"/>
    <n v="132"/>
    <x v="0"/>
    <d v="2022-12-08T00:00:00"/>
    <x v="0"/>
    <x v="2"/>
    <n v="12"/>
  </r>
  <r>
    <s v="Pamela Miller"/>
    <x v="6"/>
    <n v="74"/>
    <x v="1"/>
    <s v="AB+"/>
    <x v="0"/>
    <d v="2023-08-11T00:00:00"/>
    <s v="Xavier Wright"/>
    <s v="Wilson, Thornton and Koch"/>
    <s v="Cigna"/>
    <n v="38797.570160700299"/>
    <n v="443"/>
    <x v="1"/>
    <d v="2023-08-30T00:00:00"/>
    <x v="0"/>
    <x v="0"/>
    <n v="19"/>
  </r>
  <r>
    <s v="Pamela Sullivan"/>
    <x v="0"/>
    <n v="83"/>
    <x v="0"/>
    <s v="B-"/>
    <x v="0"/>
    <d v="2020-08-26T00:00:00"/>
    <s v="David Jennings"/>
    <s v="Hill-Baker"/>
    <s v="Aetna"/>
    <n v="3484.9172789396198"/>
    <n v="287"/>
    <x v="0"/>
    <d v="2020-09-21T00:00:00"/>
    <x v="2"/>
    <x v="1"/>
    <n v="26"/>
  </r>
  <r>
    <s v="Patricia Rivera"/>
    <x v="5"/>
    <n v="36"/>
    <x v="0"/>
    <s v="AB+"/>
    <x v="0"/>
    <d v="2021-06-23T00:00:00"/>
    <s v="Sylvia Avery"/>
    <s v="Johnson Group"/>
    <s v="Medicare"/>
    <n v="27564.3597271912"/>
    <n v="244"/>
    <x v="0"/>
    <d v="2021-06-26T00:00:00"/>
    <x v="2"/>
    <x v="0"/>
    <n v="3"/>
  </r>
  <r>
    <s v="Patricia Taylor"/>
    <x v="1"/>
    <n v="20"/>
    <x v="0"/>
    <s v="A+"/>
    <x v="0"/>
    <d v="2019-10-25T00:00:00"/>
    <s v="Claudia Davis"/>
    <s v="Smith, King and Anderson"/>
    <s v="Blue Cross"/>
    <n v="6982.3929075024598"/>
    <n v="157"/>
    <x v="1"/>
    <d v="2019-11-08T00:00:00"/>
    <x v="1"/>
    <x v="2"/>
    <n v="14"/>
  </r>
  <r>
    <s v="Patrick Parker"/>
    <x v="5"/>
    <n v="41"/>
    <x v="1"/>
    <s v="AB+"/>
    <x v="0"/>
    <d v="2020-08-20T00:00:00"/>
    <s v="Robin Green"/>
    <s v="Boyd PLC"/>
    <s v="Aetna"/>
    <n v="22522.363384853201"/>
    <n v="180"/>
    <x v="2"/>
    <d v="2020-08-23T00:00:00"/>
    <x v="3"/>
    <x v="2"/>
    <n v="3"/>
  </r>
  <r>
    <s v="Patrick Taylor DDS"/>
    <x v="4"/>
    <n v="62"/>
    <x v="0"/>
    <s v="B-"/>
    <x v="0"/>
    <d v="2020-10-31T00:00:00"/>
    <s v="Ronnie Hernandez"/>
    <s v="Perez-Baker"/>
    <s v="Cigna"/>
    <n v="45477.909138649302"/>
    <n v="482"/>
    <x v="1"/>
    <d v="2020-11-27T00:00:00"/>
    <x v="0"/>
    <x v="1"/>
    <n v="27"/>
  </r>
  <r>
    <s v="Patty Norman"/>
    <x v="2"/>
    <n v="55"/>
    <x v="0"/>
    <s v="O-"/>
    <x v="0"/>
    <d v="2019-05-16T00:00:00"/>
    <s v="Brian Kennedy"/>
    <s v="Brown Inc"/>
    <s v="Blue Cross"/>
    <n v="13546.8172493648"/>
    <n v="384"/>
    <x v="0"/>
    <d v="2019-06-02T00:00:00"/>
    <x v="3"/>
    <x v="1"/>
    <n v="17"/>
  </r>
  <r>
    <s v="Paul Watson"/>
    <x v="6"/>
    <n v="66"/>
    <x v="0"/>
    <s v="O+"/>
    <x v="0"/>
    <d v="2022-03-25T00:00:00"/>
    <s v="David Davis"/>
    <s v="Wilson PLC"/>
    <s v="Cigna"/>
    <n v="35415.682226921097"/>
    <n v="344"/>
    <x v="2"/>
    <d v="2022-04-04T00:00:00"/>
    <x v="4"/>
    <x v="1"/>
    <n v="10"/>
  </r>
  <r>
    <s v="Rachel Williams"/>
    <x v="0"/>
    <n v="76"/>
    <x v="1"/>
    <s v="A-"/>
    <x v="0"/>
    <d v="2023-01-17T00:00:00"/>
    <s v="Zachary Rogers"/>
    <s v="Stewart Inc"/>
    <s v="UnitedHealthcare"/>
    <n v="4871.0131841336797"/>
    <n v="400"/>
    <x v="0"/>
    <d v="2023-01-25T00:00:00"/>
    <x v="4"/>
    <x v="2"/>
    <n v="8"/>
  </r>
  <r>
    <s v="Rebecca Campbell"/>
    <x v="4"/>
    <n v="65"/>
    <x v="0"/>
    <s v="O+"/>
    <x v="0"/>
    <d v="2021-12-29T00:00:00"/>
    <s v="Alexis Reeves"/>
    <s v="Harris and Sons"/>
    <s v="Aetna"/>
    <n v="2212.4779186830401"/>
    <n v="244"/>
    <x v="1"/>
    <d v="2022-01-18T00:00:00"/>
    <x v="2"/>
    <x v="1"/>
    <n v="20"/>
  </r>
  <r>
    <s v="Renee Tate"/>
    <x v="5"/>
    <n v="44"/>
    <x v="1"/>
    <s v="AB-"/>
    <x v="0"/>
    <d v="2019-02-17T00:00:00"/>
    <s v="Monique Meyer"/>
    <s v="Morton Ltd"/>
    <s v="Aetna"/>
    <n v="13271.716783215101"/>
    <n v="425"/>
    <x v="0"/>
    <d v="2019-02-27T00:00:00"/>
    <x v="2"/>
    <x v="0"/>
    <n v="10"/>
  </r>
  <r>
    <s v="Richard Kramer"/>
    <x v="0"/>
    <n v="77"/>
    <x v="1"/>
    <s v="B-"/>
    <x v="0"/>
    <d v="2021-03-27T00:00:00"/>
    <s v="Mr. Eric Smith"/>
    <s v="Brown-Baker"/>
    <s v="Blue Cross"/>
    <n v="23660.216628296101"/>
    <n v="280"/>
    <x v="0"/>
    <d v="2021-04-07T00:00:00"/>
    <x v="0"/>
    <x v="1"/>
    <n v="11"/>
  </r>
  <r>
    <s v="Robert Cooper"/>
    <x v="5"/>
    <n v="37"/>
    <x v="0"/>
    <s v="AB-"/>
    <x v="0"/>
    <d v="2022-09-17T00:00:00"/>
    <s v="Gregory Smith"/>
    <s v="Castro, Robinson and Maldonado"/>
    <s v="Medicare"/>
    <n v="27740.621895862001"/>
    <n v="419"/>
    <x v="0"/>
    <d v="2022-09-25T00:00:00"/>
    <x v="3"/>
    <x v="2"/>
    <n v="8"/>
  </r>
  <r>
    <s v="Robert Cruz"/>
    <x v="5"/>
    <n v="42"/>
    <x v="0"/>
    <s v="O+"/>
    <x v="0"/>
    <d v="2023-08-02T00:00:00"/>
    <s v="Carla Sanchez"/>
    <s v="King and Sons"/>
    <s v="UnitedHealthcare"/>
    <n v="17514.335725622899"/>
    <n v="418"/>
    <x v="1"/>
    <d v="2023-09-01T00:00:00"/>
    <x v="0"/>
    <x v="1"/>
    <n v="30"/>
  </r>
  <r>
    <s v="Sabrina Patterson"/>
    <x v="5"/>
    <n v="40"/>
    <x v="0"/>
    <s v="AB+"/>
    <x v="0"/>
    <d v="2020-07-16T00:00:00"/>
    <s v="Carl Rivera"/>
    <s v="Schneider, Payne and Miller"/>
    <s v="UnitedHealthcare"/>
    <n v="9824.2650462846104"/>
    <n v="238"/>
    <x v="1"/>
    <d v="2020-08-05T00:00:00"/>
    <x v="0"/>
    <x v="2"/>
    <n v="20"/>
  </r>
  <r>
    <s v="Sally Shaw"/>
    <x v="0"/>
    <n v="80"/>
    <x v="1"/>
    <s v="O-"/>
    <x v="0"/>
    <d v="2019-07-10T00:00:00"/>
    <s v="Zachary Horton DDS"/>
    <s v="Rush, Owens and Johnson"/>
    <s v="Blue Cross"/>
    <n v="16609.311817449801"/>
    <n v="366"/>
    <x v="1"/>
    <d v="2019-08-07T00:00:00"/>
    <x v="1"/>
    <x v="0"/>
    <n v="28"/>
  </r>
  <r>
    <s v="Samantha Mora"/>
    <x v="2"/>
    <n v="48"/>
    <x v="0"/>
    <s v="A-"/>
    <x v="0"/>
    <d v="2022-04-09T00:00:00"/>
    <s v="Jerry Cruz"/>
    <s v="Johnson-Cortez"/>
    <s v="Medicare"/>
    <n v="12547.100881090701"/>
    <n v="154"/>
    <x v="0"/>
    <d v="2022-05-05T00:00:00"/>
    <x v="3"/>
    <x v="1"/>
    <n v="26"/>
  </r>
  <r>
    <s v="Sara Bates"/>
    <x v="2"/>
    <n v="47"/>
    <x v="1"/>
    <s v="AB+"/>
    <x v="0"/>
    <d v="2020-04-02T00:00:00"/>
    <s v="Richard Harris"/>
    <s v="Yang-Greene"/>
    <s v="Cigna"/>
    <n v="31670.263275760299"/>
    <n v="136"/>
    <x v="1"/>
    <d v="2020-04-22T00:00:00"/>
    <x v="3"/>
    <x v="0"/>
    <n v="20"/>
  </r>
  <r>
    <s v="Sarah Weaver"/>
    <x v="3"/>
    <n v="27"/>
    <x v="1"/>
    <s v="O+"/>
    <x v="0"/>
    <d v="2018-12-04T00:00:00"/>
    <s v="Ashley Sherman"/>
    <s v="Clark-Phillips"/>
    <s v="UnitedHealthcare"/>
    <n v="18290.276536766702"/>
    <n v="141"/>
    <x v="2"/>
    <d v="2018-12-15T00:00:00"/>
    <x v="1"/>
    <x v="2"/>
    <n v="11"/>
  </r>
  <r>
    <s v="Sean Holmes"/>
    <x v="4"/>
    <n v="57"/>
    <x v="1"/>
    <s v="O-"/>
    <x v="0"/>
    <d v="2019-05-02T00:00:00"/>
    <s v="Dawn Alvarez"/>
    <s v="Goodwin, Li and Juarez"/>
    <s v="Cigna"/>
    <n v="44595.209917483298"/>
    <n v="240"/>
    <x v="1"/>
    <d v="2019-05-17T00:00:00"/>
    <x v="4"/>
    <x v="1"/>
    <n v="15"/>
  </r>
  <r>
    <s v="Shane Olson"/>
    <x v="0"/>
    <n v="84"/>
    <x v="0"/>
    <s v="A-"/>
    <x v="0"/>
    <d v="2021-08-03T00:00:00"/>
    <s v="David Richardson"/>
    <s v="Hanna, Smith and Stone"/>
    <s v="UnitedHealthcare"/>
    <n v="37589.305795129803"/>
    <n v="171"/>
    <x v="2"/>
    <d v="2021-08-17T00:00:00"/>
    <x v="3"/>
    <x v="1"/>
    <n v="14"/>
  </r>
  <r>
    <s v="Shannon Gonzales"/>
    <x v="1"/>
    <n v="25"/>
    <x v="0"/>
    <s v="AB+"/>
    <x v="0"/>
    <d v="2021-11-05T00:00:00"/>
    <s v="Charles Robinson"/>
    <s v="Williams, Coleman and Moreno"/>
    <s v="Medicare"/>
    <n v="30615.009101675201"/>
    <n v="332"/>
    <x v="1"/>
    <d v="2021-12-05T00:00:00"/>
    <x v="2"/>
    <x v="0"/>
    <n v="30"/>
  </r>
  <r>
    <s v="Shelley Martinez"/>
    <x v="3"/>
    <n v="26"/>
    <x v="1"/>
    <s v="B+"/>
    <x v="0"/>
    <d v="2019-02-10T00:00:00"/>
    <s v="Taylor Braun"/>
    <s v="Mcguire PLC"/>
    <s v="UnitedHealthcare"/>
    <n v="29737.635840160401"/>
    <n v="275"/>
    <x v="0"/>
    <d v="2019-02-16T00:00:00"/>
    <x v="2"/>
    <x v="2"/>
    <n v="6"/>
  </r>
  <r>
    <s v="Sherry Williams"/>
    <x v="0"/>
    <n v="80"/>
    <x v="1"/>
    <s v="AB+"/>
    <x v="0"/>
    <d v="2022-11-24T00:00:00"/>
    <s v="Matthew Kennedy"/>
    <s v="Hahn-Richardson"/>
    <s v="Cigna"/>
    <n v="26137.148020363002"/>
    <n v="405"/>
    <x v="2"/>
    <d v="2022-12-18T00:00:00"/>
    <x v="0"/>
    <x v="1"/>
    <n v="24"/>
  </r>
  <r>
    <s v="Stanley Kirby"/>
    <x v="5"/>
    <n v="42"/>
    <x v="1"/>
    <s v="B+"/>
    <x v="0"/>
    <d v="2018-12-21T00:00:00"/>
    <s v="Derek Martin"/>
    <s v="Miller-Ballard"/>
    <s v="Blue Cross"/>
    <n v="17774.513460335798"/>
    <n v="315"/>
    <x v="1"/>
    <d v="2018-12-28T00:00:00"/>
    <x v="0"/>
    <x v="1"/>
    <n v="7"/>
  </r>
  <r>
    <s v="Stephen Reynolds"/>
    <x v="1"/>
    <n v="23"/>
    <x v="1"/>
    <s v="B-"/>
    <x v="0"/>
    <d v="2021-07-14T00:00:00"/>
    <s v="Morgan Johnson"/>
    <s v="York, Anderson and Miller"/>
    <s v="Cigna"/>
    <n v="5181.7973294712801"/>
    <n v="277"/>
    <x v="2"/>
    <d v="2021-07-21T00:00:00"/>
    <x v="1"/>
    <x v="1"/>
    <n v="7"/>
  </r>
  <r>
    <s v="Steven Boyer"/>
    <x v="5"/>
    <n v="38"/>
    <x v="1"/>
    <s v="B+"/>
    <x v="0"/>
    <d v="2020-12-10T00:00:00"/>
    <s v="Mitchell Bradshaw"/>
    <s v="Holmes-Cummings"/>
    <s v="Medicare"/>
    <n v="11057.975641406199"/>
    <n v="176"/>
    <x v="1"/>
    <d v="2021-01-09T00:00:00"/>
    <x v="1"/>
    <x v="2"/>
    <n v="30"/>
  </r>
  <r>
    <s v="Steven Irwin"/>
    <x v="0"/>
    <n v="82"/>
    <x v="1"/>
    <s v="AB+"/>
    <x v="0"/>
    <d v="2019-10-07T00:00:00"/>
    <s v="Penny Jones"/>
    <s v="Lynch-Hamilton"/>
    <s v="Aetna"/>
    <n v="9530.4477557268892"/>
    <n v="130"/>
    <x v="1"/>
    <d v="2019-10-17T00:00:00"/>
    <x v="0"/>
    <x v="1"/>
    <n v="10"/>
  </r>
  <r>
    <s v="Steven Reilly"/>
    <x v="1"/>
    <n v="24"/>
    <x v="1"/>
    <s v="AB+"/>
    <x v="0"/>
    <d v="2020-11-08T00:00:00"/>
    <s v="Eric Knox"/>
    <s v="Smith and Sons"/>
    <s v="UnitedHealthcare"/>
    <n v="27793.874151156899"/>
    <n v="354"/>
    <x v="0"/>
    <d v="2020-12-07T00:00:00"/>
    <x v="4"/>
    <x v="2"/>
    <n v="29"/>
  </r>
  <r>
    <s v="Steven Rodriguez"/>
    <x v="3"/>
    <n v="30"/>
    <x v="1"/>
    <s v="A-"/>
    <x v="0"/>
    <d v="2023-09-04T00:00:00"/>
    <s v="Nicole Rodriguez"/>
    <s v="Glass-Hess"/>
    <s v="Blue Cross"/>
    <n v="22325.858487842601"/>
    <n v="494"/>
    <x v="1"/>
    <d v="2023-09-16T00:00:00"/>
    <x v="1"/>
    <x v="1"/>
    <n v="12"/>
  </r>
  <r>
    <s v="Suzanne Clark"/>
    <x v="4"/>
    <n v="65"/>
    <x v="0"/>
    <s v="AB-"/>
    <x v="0"/>
    <d v="2023-07-29T00:00:00"/>
    <s v="Steven Melton"/>
    <s v="Allen, Schneider and Robinson"/>
    <s v="Cigna"/>
    <n v="26531.6982940903"/>
    <n v="375"/>
    <x v="0"/>
    <d v="2023-08-10T00:00:00"/>
    <x v="2"/>
    <x v="2"/>
    <n v="12"/>
  </r>
  <r>
    <s v="Sydney Gill"/>
    <x v="4"/>
    <n v="65"/>
    <x v="1"/>
    <s v="A+"/>
    <x v="0"/>
    <d v="2020-01-02T00:00:00"/>
    <s v="Adrian Boyd"/>
    <s v="Johnson Group"/>
    <s v="Blue Cross"/>
    <n v="6264.5528465513498"/>
    <n v="483"/>
    <x v="1"/>
    <d v="2020-01-24T00:00:00"/>
    <x v="1"/>
    <x v="0"/>
    <n v="22"/>
  </r>
  <r>
    <s v="Tabitha Carr"/>
    <x v="5"/>
    <n v="39"/>
    <x v="1"/>
    <s v="AB+"/>
    <x v="0"/>
    <d v="2022-06-08T00:00:00"/>
    <s v="Dustin Martinez"/>
    <s v="Nunez-Miller"/>
    <s v="Medicare"/>
    <n v="28394.399066466602"/>
    <n v="442"/>
    <x v="1"/>
    <d v="2022-07-08T00:00:00"/>
    <x v="3"/>
    <x v="1"/>
    <n v="30"/>
  </r>
  <r>
    <s v="Teresa Caldwell"/>
    <x v="1"/>
    <n v="23"/>
    <x v="1"/>
    <s v="A+"/>
    <x v="0"/>
    <d v="2022-03-08T00:00:00"/>
    <s v="Debra Meyers"/>
    <s v="Bell, Mcknight and Willis"/>
    <s v="Medicare"/>
    <n v="45213.537626419602"/>
    <n v="475"/>
    <x v="0"/>
    <d v="2022-03-16T00:00:00"/>
    <x v="1"/>
    <x v="0"/>
    <n v="8"/>
  </r>
  <r>
    <s v="Teresa Gonzalez"/>
    <x v="5"/>
    <n v="37"/>
    <x v="0"/>
    <s v="B-"/>
    <x v="0"/>
    <d v="2021-11-09T00:00:00"/>
    <s v="Brian Watson"/>
    <s v="Sanders Ltd"/>
    <s v="Medicare"/>
    <n v="22356.082268250699"/>
    <n v="456"/>
    <x v="1"/>
    <d v="2021-11-28T00:00:00"/>
    <x v="4"/>
    <x v="2"/>
    <n v="19"/>
  </r>
  <r>
    <s v="Terry Branch"/>
    <x v="3"/>
    <n v="35"/>
    <x v="1"/>
    <s v="AB-"/>
    <x v="0"/>
    <d v="2023-09-10T00:00:00"/>
    <s v="Gregory Casey"/>
    <s v="Cox, Hartman and Young"/>
    <s v="Aetna"/>
    <n v="4098.8542028788597"/>
    <n v="168"/>
    <x v="0"/>
    <d v="2023-09-18T00:00:00"/>
    <x v="2"/>
    <x v="0"/>
    <n v="8"/>
  </r>
  <r>
    <s v="Theodore Zamora"/>
    <x v="0"/>
    <n v="77"/>
    <x v="0"/>
    <s v="AB-"/>
    <x v="0"/>
    <d v="2020-04-01T00:00:00"/>
    <s v="Matthew Curtis"/>
    <s v="Burns-Hoover"/>
    <s v="Medicare"/>
    <n v="17704.741580046099"/>
    <n v="127"/>
    <x v="1"/>
    <d v="2020-04-22T00:00:00"/>
    <x v="0"/>
    <x v="2"/>
    <n v="21"/>
  </r>
  <r>
    <s v="Tim Mercer"/>
    <x v="6"/>
    <n v="71"/>
    <x v="0"/>
    <s v="AB+"/>
    <x v="0"/>
    <d v="2021-05-09T00:00:00"/>
    <s v="Gabrielle Pitts"/>
    <s v="Salazar, Williams and Byrd"/>
    <s v="Medicare"/>
    <n v="43535.609044458201"/>
    <n v="145"/>
    <x v="1"/>
    <d v="2021-05-24T00:00:00"/>
    <x v="3"/>
    <x v="1"/>
    <n v="15"/>
  </r>
  <r>
    <s v="Travis Walker"/>
    <x v="6"/>
    <n v="70"/>
    <x v="0"/>
    <s v="A-"/>
    <x v="0"/>
    <d v="2019-01-12T00:00:00"/>
    <s v="Nathan Colon"/>
    <s v="Ramirez, Graham and Wright"/>
    <s v="Medicare"/>
    <n v="44047.144241884198"/>
    <n v="482"/>
    <x v="0"/>
    <d v="2019-02-11T00:00:00"/>
    <x v="0"/>
    <x v="1"/>
    <n v="30"/>
  </r>
  <r>
    <s v="Victor Gardner"/>
    <x v="0"/>
    <n v="76"/>
    <x v="0"/>
    <s v="O-"/>
    <x v="0"/>
    <d v="2019-11-12T00:00:00"/>
    <s v="Amber Flores"/>
    <s v="Henry-Clay"/>
    <s v="Medicare"/>
    <n v="42007.244350615998"/>
    <n v="440"/>
    <x v="1"/>
    <d v="2019-12-07T00:00:00"/>
    <x v="2"/>
    <x v="1"/>
    <n v="25"/>
  </r>
  <r>
    <s v="William Johnson"/>
    <x v="2"/>
    <n v="55"/>
    <x v="0"/>
    <s v="AB+"/>
    <x v="0"/>
    <d v="2023-02-25T00:00:00"/>
    <s v="Kelly Thompson"/>
    <s v="Pearson LLC"/>
    <s v="Aetna"/>
    <n v="32263.6221565624"/>
    <n v="238"/>
    <x v="1"/>
    <d v="2023-03-27T00:00:00"/>
    <x v="0"/>
    <x v="1"/>
    <n v="30"/>
  </r>
  <r>
    <s v="William Stokes"/>
    <x v="0"/>
    <n v="81"/>
    <x v="0"/>
    <s v="O+"/>
    <x v="0"/>
    <d v="2022-08-19T00:00:00"/>
    <s v="Craig Haley"/>
    <s v="Snyder-Park"/>
    <s v="Aetna"/>
    <n v="4377.6019867773703"/>
    <n v="265"/>
    <x v="0"/>
    <d v="2022-09-09T00:00:00"/>
    <x v="4"/>
    <x v="2"/>
    <n v="21"/>
  </r>
  <r>
    <s v="William Williams"/>
    <x v="0"/>
    <n v="78"/>
    <x v="1"/>
    <s v="A+"/>
    <x v="0"/>
    <d v="2023-09-28T00:00:00"/>
    <s v="Mitchell Holder"/>
    <s v="Orr, Bowers and Harris"/>
    <s v="Blue Cross"/>
    <n v="20707.319633024901"/>
    <n v="261"/>
    <x v="0"/>
    <d v="2023-10-08T00:00:00"/>
    <x v="4"/>
    <x v="1"/>
    <n v="10"/>
  </r>
  <r>
    <s v="Yesenia Williams"/>
    <x v="4"/>
    <n v="62"/>
    <x v="0"/>
    <s v="A+"/>
    <x v="0"/>
    <d v="2020-02-09T00:00:00"/>
    <s v="Danny Mcdaniel"/>
    <s v="Lester Ltd"/>
    <s v="Medicare"/>
    <n v="30328.0815505709"/>
    <n v="381"/>
    <x v="2"/>
    <d v="2020-02-12T00:00:00"/>
    <x v="3"/>
    <x v="1"/>
    <n v="3"/>
  </r>
  <r>
    <s v="Zachary Wood"/>
    <x v="5"/>
    <n v="36"/>
    <x v="1"/>
    <s v="O-"/>
    <x v="0"/>
    <d v="2021-06-23T00:00:00"/>
    <s v="Jessica Smith"/>
    <s v="Wright-Welch"/>
    <s v="Aetna"/>
    <n v="7154.9566998575101"/>
    <n v="432"/>
    <x v="1"/>
    <d v="2021-07-03T00:00:00"/>
    <x v="2"/>
    <x v="0"/>
    <n v="10"/>
  </r>
  <r>
    <s v="Aaron Hughes"/>
    <x v="1"/>
    <n v="25"/>
    <x v="1"/>
    <s v="O-"/>
    <x v="1"/>
    <d v="2020-12-04T00:00:00"/>
    <s v="Scott Beck"/>
    <s v="Anderson, Burgess and Jones"/>
    <s v="Aetna"/>
    <n v="13318.195486021499"/>
    <n v="181"/>
    <x v="0"/>
    <d v="2020-12-30T00:00:00"/>
    <x v="3"/>
    <x v="2"/>
    <n v="26"/>
  </r>
  <r>
    <s v="Alan Rodriguez"/>
    <x v="5"/>
    <n v="42"/>
    <x v="1"/>
    <s v="O+"/>
    <x v="1"/>
    <d v="2023-06-14T00:00:00"/>
    <s v="Victoria Smith"/>
    <s v="Powell-Nguyen"/>
    <s v="Medicare"/>
    <n v="4740.1090264370896"/>
    <n v="425"/>
    <x v="1"/>
    <d v="2023-06-18T00:00:00"/>
    <x v="3"/>
    <x v="2"/>
    <n v="4"/>
  </r>
  <r>
    <s v="Alexis Huynh"/>
    <x v="2"/>
    <n v="54"/>
    <x v="0"/>
    <s v="O+"/>
    <x v="1"/>
    <d v="2019-06-30T00:00:00"/>
    <s v="Kathryn Boone"/>
    <s v="Campbell-Shelton"/>
    <s v="Cigna"/>
    <n v="23708.647050401902"/>
    <n v="358"/>
    <x v="1"/>
    <d v="2019-07-23T00:00:00"/>
    <x v="4"/>
    <x v="2"/>
    <n v="23"/>
  </r>
  <r>
    <s v="Allen Munoz"/>
    <x v="6"/>
    <n v="70"/>
    <x v="1"/>
    <s v="A-"/>
    <x v="1"/>
    <d v="2022-04-27T00:00:00"/>
    <s v="Eric Powell"/>
    <s v="Taylor-Kelly"/>
    <s v="UnitedHealthcare"/>
    <n v="47881.281107418901"/>
    <n v="144"/>
    <x v="2"/>
    <d v="2022-05-12T00:00:00"/>
    <x v="4"/>
    <x v="2"/>
    <n v="15"/>
  </r>
  <r>
    <s v="Allison Aguilar"/>
    <x v="2"/>
    <n v="54"/>
    <x v="1"/>
    <s v="O-"/>
    <x v="1"/>
    <d v="2022-09-23T00:00:00"/>
    <s v="Patty Murphy"/>
    <s v="Mayo-Lee"/>
    <s v="Medicare"/>
    <n v="39298.313979066799"/>
    <n v="499"/>
    <x v="1"/>
    <d v="2022-09-29T00:00:00"/>
    <x v="0"/>
    <x v="1"/>
    <n v="6"/>
  </r>
  <r>
    <s v="Amber Carter"/>
    <x v="2"/>
    <n v="55"/>
    <x v="0"/>
    <s v="B-"/>
    <x v="1"/>
    <d v="2022-12-21T00:00:00"/>
    <s v="Eric Marquez"/>
    <s v="Goodwin-Garcia"/>
    <s v="Aetna"/>
    <n v="25651.524166615702"/>
    <n v="210"/>
    <x v="2"/>
    <d v="2022-12-27T00:00:00"/>
    <x v="4"/>
    <x v="2"/>
    <n v="6"/>
  </r>
  <r>
    <s v="Amber Wade"/>
    <x v="0"/>
    <n v="82"/>
    <x v="0"/>
    <s v="B-"/>
    <x v="1"/>
    <d v="2021-08-31T00:00:00"/>
    <s v="Ricky Ryan"/>
    <s v="Nguyen, Thompson and Mckinney"/>
    <s v="Blue Cross"/>
    <n v="25944.5873699082"/>
    <n v="163"/>
    <x v="2"/>
    <d v="2021-09-29T00:00:00"/>
    <x v="4"/>
    <x v="2"/>
    <n v="29"/>
  </r>
  <r>
    <s v="Amy Jackson"/>
    <x v="1"/>
    <n v="22"/>
    <x v="1"/>
    <s v="B-"/>
    <x v="1"/>
    <d v="2019-04-12T00:00:00"/>
    <s v="Jose Harris"/>
    <s v="Peterson-Morris"/>
    <s v="Cigna"/>
    <n v="17743.968519301001"/>
    <n v="119"/>
    <x v="1"/>
    <d v="2019-04-25T00:00:00"/>
    <x v="1"/>
    <x v="2"/>
    <n v="13"/>
  </r>
  <r>
    <s v="Ana Hall"/>
    <x v="4"/>
    <n v="60"/>
    <x v="0"/>
    <s v="B+"/>
    <x v="1"/>
    <d v="2021-02-23T00:00:00"/>
    <s v="Gregory Schroeder"/>
    <s v="Davies, Smith and Richards"/>
    <s v="Medicare"/>
    <n v="36936.7877416013"/>
    <n v="275"/>
    <x v="0"/>
    <d v="2021-03-06T00:00:00"/>
    <x v="1"/>
    <x v="2"/>
    <n v="11"/>
  </r>
  <r>
    <s v="Andre Perez MD"/>
    <x v="6"/>
    <n v="71"/>
    <x v="1"/>
    <s v="A+"/>
    <x v="1"/>
    <d v="2020-02-02T00:00:00"/>
    <s v="Kevin Davis"/>
    <s v="Lawson LLC"/>
    <s v="UnitedHealthcare"/>
    <n v="21341.2388427238"/>
    <n v="372"/>
    <x v="1"/>
    <d v="2020-02-18T00:00:00"/>
    <x v="0"/>
    <x v="1"/>
    <n v="16"/>
  </r>
  <r>
    <s v="Andrea Williams"/>
    <x v="0"/>
    <n v="79"/>
    <x v="1"/>
    <s v="AB+"/>
    <x v="1"/>
    <d v="2019-04-21T00:00:00"/>
    <s v="Jason Mcintosh"/>
    <s v="Hill, Valencia and Ferguson"/>
    <s v="Aetna"/>
    <n v="41058.233873784498"/>
    <n v="148"/>
    <x v="2"/>
    <d v="2019-05-09T00:00:00"/>
    <x v="3"/>
    <x v="2"/>
    <n v="18"/>
  </r>
  <r>
    <s v="Angel Robles"/>
    <x v="0"/>
    <n v="76"/>
    <x v="1"/>
    <s v="O-"/>
    <x v="1"/>
    <d v="2019-04-27T00:00:00"/>
    <s v="Diane Fuller"/>
    <s v="Perry, Edwards and Gray"/>
    <s v="Medicare"/>
    <n v="11548.830510952301"/>
    <n v="162"/>
    <x v="0"/>
    <d v="2019-05-16T00:00:00"/>
    <x v="1"/>
    <x v="1"/>
    <n v="19"/>
  </r>
  <r>
    <s v="Angela Lopez"/>
    <x v="3"/>
    <n v="29"/>
    <x v="0"/>
    <s v="A+"/>
    <x v="1"/>
    <d v="2022-03-04T00:00:00"/>
    <s v="Alexander Cruz"/>
    <s v="Jones-Owens"/>
    <s v="Cigna"/>
    <n v="7375.7026775905197"/>
    <n v="469"/>
    <x v="2"/>
    <d v="2022-03-20T00:00:00"/>
    <x v="1"/>
    <x v="1"/>
    <n v="16"/>
  </r>
  <r>
    <s v="Angela Scott"/>
    <x v="3"/>
    <n v="31"/>
    <x v="0"/>
    <s v="O+"/>
    <x v="1"/>
    <d v="2022-09-27T00:00:00"/>
    <s v="Christopher Henry"/>
    <s v="Wagner, Mora and Watson"/>
    <s v="Aetna"/>
    <n v="1580.52389936031"/>
    <n v="385"/>
    <x v="1"/>
    <d v="2022-10-05T00:00:00"/>
    <x v="1"/>
    <x v="1"/>
    <n v="8"/>
  </r>
  <r>
    <s v="Anna Davis"/>
    <x v="3"/>
    <n v="32"/>
    <x v="0"/>
    <s v="B+"/>
    <x v="1"/>
    <d v="2023-06-25T00:00:00"/>
    <s v="Joshua Wilson"/>
    <s v="Hernandez-Callahan"/>
    <s v="Aetna"/>
    <n v="43321.063241324402"/>
    <n v="322"/>
    <x v="0"/>
    <d v="2023-06-28T00:00:00"/>
    <x v="3"/>
    <x v="1"/>
    <n v="3"/>
  </r>
  <r>
    <s v="Annette Cruz"/>
    <x v="4"/>
    <n v="60"/>
    <x v="0"/>
    <s v="O+"/>
    <x v="1"/>
    <d v="2021-05-27T00:00:00"/>
    <s v="Lindsay Curry"/>
    <s v="Morgan-Wilson"/>
    <s v="Blue Cross"/>
    <n v="25362.314192783499"/>
    <n v="148"/>
    <x v="2"/>
    <d v="2021-06-26T00:00:00"/>
    <x v="4"/>
    <x v="0"/>
    <n v="30"/>
  </r>
  <r>
    <s v="Annette Mitchell"/>
    <x v="2"/>
    <n v="47"/>
    <x v="0"/>
    <s v="AB+"/>
    <x v="1"/>
    <d v="2019-02-11T00:00:00"/>
    <s v="Nicole King"/>
    <s v="Harris-Moore"/>
    <s v="UnitedHealthcare"/>
    <n v="41051.670280796803"/>
    <n v="329"/>
    <x v="1"/>
    <d v="2019-02-21T00:00:00"/>
    <x v="0"/>
    <x v="1"/>
    <n v="10"/>
  </r>
  <r>
    <s v="Anthony Fisher"/>
    <x v="2"/>
    <n v="48"/>
    <x v="0"/>
    <s v="O+"/>
    <x v="1"/>
    <d v="2019-10-22T00:00:00"/>
    <s v="Kristin Nash"/>
    <s v="Jackson-Le"/>
    <s v="UnitedHealthcare"/>
    <n v="46144.939718407099"/>
    <n v="392"/>
    <x v="1"/>
    <d v="2019-11-10T00:00:00"/>
    <x v="3"/>
    <x v="1"/>
    <n v="19"/>
  </r>
  <r>
    <s v="Antonio Frederick"/>
    <x v="2"/>
    <n v="49"/>
    <x v="1"/>
    <s v="B-"/>
    <x v="1"/>
    <d v="2020-05-02T00:00:00"/>
    <s v="Brian Chandler"/>
    <s v="Garcia Ltd"/>
    <s v="Medicare"/>
    <n v="23303.3220921969"/>
    <n v="480"/>
    <x v="2"/>
    <d v="2020-05-03T00:00:00"/>
    <x v="0"/>
    <x v="2"/>
    <n v="1"/>
  </r>
  <r>
    <s v="April Eaton"/>
    <x v="4"/>
    <n v="63"/>
    <x v="0"/>
    <s v="A+"/>
    <x v="1"/>
    <d v="2021-11-12T00:00:00"/>
    <s v="Stephen Johnson"/>
    <s v="Adams, Garcia and Dudley"/>
    <s v="Cigna"/>
    <n v="3552.8587362936801"/>
    <n v="345"/>
    <x v="0"/>
    <d v="2021-11-30T00:00:00"/>
    <x v="2"/>
    <x v="0"/>
    <n v="18"/>
  </r>
  <r>
    <s v="April Gomez"/>
    <x v="0"/>
    <n v="83"/>
    <x v="0"/>
    <s v="A-"/>
    <x v="1"/>
    <d v="2019-10-08T00:00:00"/>
    <s v="Daniel Nelson"/>
    <s v="Jacobs, Walters and Flores"/>
    <s v="Aetna"/>
    <n v="46323.269465520301"/>
    <n v="142"/>
    <x v="1"/>
    <d v="2019-10-18T00:00:00"/>
    <x v="1"/>
    <x v="2"/>
    <n v="10"/>
  </r>
  <r>
    <s v="April Williams"/>
    <x v="4"/>
    <n v="62"/>
    <x v="1"/>
    <s v="B-"/>
    <x v="1"/>
    <d v="2020-07-17T00:00:00"/>
    <s v="Robert George"/>
    <s v="Charles-Owen"/>
    <s v="Cigna"/>
    <n v="25970.8661387596"/>
    <n v="235"/>
    <x v="0"/>
    <d v="2020-07-25T00:00:00"/>
    <x v="1"/>
    <x v="0"/>
    <n v="8"/>
  </r>
  <r>
    <s v="Ashley Martinez"/>
    <x v="5"/>
    <n v="36"/>
    <x v="0"/>
    <s v="A-"/>
    <x v="1"/>
    <d v="2019-06-07T00:00:00"/>
    <s v="Michelle Kennedy"/>
    <s v="Higgins-Robinson"/>
    <s v="Blue Cross"/>
    <n v="6752.4163709619397"/>
    <n v="405"/>
    <x v="2"/>
    <d v="2019-06-11T00:00:00"/>
    <x v="3"/>
    <x v="1"/>
    <n v="4"/>
  </r>
  <r>
    <s v="Autumn Ortiz"/>
    <x v="1"/>
    <n v="24"/>
    <x v="0"/>
    <s v="B+"/>
    <x v="1"/>
    <d v="2021-11-05T00:00:00"/>
    <s v="Stephen Fletcher"/>
    <s v="Potter Ltd"/>
    <s v="UnitedHealthcare"/>
    <n v="34712.191114827998"/>
    <n v="104"/>
    <x v="0"/>
    <d v="2021-11-11T00:00:00"/>
    <x v="4"/>
    <x v="2"/>
    <n v="6"/>
  </r>
  <r>
    <s v="Beverly Miller"/>
    <x v="2"/>
    <n v="54"/>
    <x v="1"/>
    <s v="A-"/>
    <x v="1"/>
    <d v="2022-08-05T00:00:00"/>
    <s v="Jodi Holland"/>
    <s v="Vaughn PLC"/>
    <s v="Cigna"/>
    <n v="41319.500315655103"/>
    <n v="293"/>
    <x v="2"/>
    <d v="2022-09-03T00:00:00"/>
    <x v="2"/>
    <x v="1"/>
    <n v="29"/>
  </r>
  <r>
    <s v="Bradley Jones"/>
    <x v="6"/>
    <n v="69"/>
    <x v="1"/>
    <s v="A-"/>
    <x v="1"/>
    <d v="2022-10-02T00:00:00"/>
    <s v="Joe Avery"/>
    <s v="Daniel, Branch and Molina"/>
    <s v="Blue Cross"/>
    <n v="1621.74136483954"/>
    <n v="124"/>
    <x v="0"/>
    <d v="2022-10-30T00:00:00"/>
    <x v="0"/>
    <x v="2"/>
    <n v="28"/>
  </r>
  <r>
    <s v="Brian Shea"/>
    <x v="4"/>
    <n v="61"/>
    <x v="1"/>
    <s v="AB-"/>
    <x v="1"/>
    <d v="2022-09-30T00:00:00"/>
    <s v="Bonnie Weaver"/>
    <s v="Rodriguez and Sons"/>
    <s v="Medicare"/>
    <n v="24357.6078664628"/>
    <n v="276"/>
    <x v="2"/>
    <d v="2022-10-05T00:00:00"/>
    <x v="4"/>
    <x v="2"/>
    <n v="5"/>
  </r>
  <r>
    <s v="Brooke Ellison"/>
    <x v="5"/>
    <n v="41"/>
    <x v="1"/>
    <s v="A+"/>
    <x v="1"/>
    <d v="2021-03-29T00:00:00"/>
    <s v="Christina Barnes"/>
    <s v="Gray, Scott and Hernandez"/>
    <s v="Medicare"/>
    <n v="42208.7987493162"/>
    <n v="162"/>
    <x v="0"/>
    <d v="2021-04-25T00:00:00"/>
    <x v="1"/>
    <x v="0"/>
    <n v="27"/>
  </r>
  <r>
    <s v="Carolyn Nguyen DVM"/>
    <x v="6"/>
    <n v="75"/>
    <x v="1"/>
    <s v="AB+"/>
    <x v="1"/>
    <d v="2022-06-05T00:00:00"/>
    <s v="Dr. Tyler Anthony"/>
    <s v="Robinson-Odonnell"/>
    <s v="Cigna"/>
    <n v="33301.630993388098"/>
    <n v="464"/>
    <x v="2"/>
    <d v="2022-06-18T00:00:00"/>
    <x v="2"/>
    <x v="2"/>
    <n v="13"/>
  </r>
  <r>
    <s v="Casey Brown"/>
    <x v="5"/>
    <n v="42"/>
    <x v="1"/>
    <s v="B+"/>
    <x v="1"/>
    <d v="2022-05-12T00:00:00"/>
    <s v="Andre Hernandez"/>
    <s v="Summers, Travis and Price"/>
    <s v="UnitedHealthcare"/>
    <n v="42655.642055873002"/>
    <n v="366"/>
    <x v="1"/>
    <d v="2022-06-05T00:00:00"/>
    <x v="1"/>
    <x v="1"/>
    <n v="24"/>
  </r>
  <r>
    <s v="Cheryl Jones"/>
    <x v="6"/>
    <n v="73"/>
    <x v="1"/>
    <s v="O-"/>
    <x v="1"/>
    <d v="2023-03-10T00:00:00"/>
    <s v="Diamond Robbins"/>
    <s v="Hunter Group"/>
    <s v="Aetna"/>
    <n v="45925.071772642601"/>
    <n v="224"/>
    <x v="0"/>
    <d v="2023-03-27T00:00:00"/>
    <x v="2"/>
    <x v="2"/>
    <n v="17"/>
  </r>
  <r>
    <s v="Chloe Adams"/>
    <x v="3"/>
    <n v="32"/>
    <x v="0"/>
    <s v="A-"/>
    <x v="1"/>
    <d v="2019-03-19T00:00:00"/>
    <s v="Cody Osborne"/>
    <s v="Robinson, Pitts and Hill"/>
    <s v="Blue Cross"/>
    <n v="11289.847591874301"/>
    <n v="481"/>
    <x v="2"/>
    <d v="2019-04-03T00:00:00"/>
    <x v="3"/>
    <x v="1"/>
    <n v="15"/>
  </r>
  <r>
    <s v="Christine Bryant"/>
    <x v="5"/>
    <n v="36"/>
    <x v="0"/>
    <s v="A+"/>
    <x v="1"/>
    <d v="2023-01-31T00:00:00"/>
    <s v="Shannon Perry"/>
    <s v="Franklin Group"/>
    <s v="Aetna"/>
    <n v="32654.992245896701"/>
    <n v="289"/>
    <x v="0"/>
    <d v="2023-02-21T00:00:00"/>
    <x v="4"/>
    <x v="2"/>
    <n v="21"/>
  </r>
  <r>
    <s v="Christopher Baker"/>
    <x v="3"/>
    <n v="35"/>
    <x v="0"/>
    <s v="B+"/>
    <x v="1"/>
    <d v="2023-10-11T00:00:00"/>
    <s v="Vickie Brooks"/>
    <s v="Douglas-Rodriguez"/>
    <s v="Blue Cross"/>
    <n v="18272.8255390097"/>
    <n v="359"/>
    <x v="1"/>
    <d v="2023-10-27T00:00:00"/>
    <x v="0"/>
    <x v="2"/>
    <n v="16"/>
  </r>
  <r>
    <s v="Christopher Clark MD"/>
    <x v="3"/>
    <n v="28"/>
    <x v="0"/>
    <s v="B-"/>
    <x v="1"/>
    <d v="2019-11-15T00:00:00"/>
    <s v="Brooke Phillips"/>
    <s v="Clark-Todd"/>
    <s v="UnitedHealthcare"/>
    <n v="28473.0312307065"/>
    <n v="353"/>
    <x v="2"/>
    <d v="2019-11-25T00:00:00"/>
    <x v="0"/>
    <x v="2"/>
    <n v="10"/>
  </r>
  <r>
    <s v="Christopher Haynes"/>
    <x v="5"/>
    <n v="38"/>
    <x v="1"/>
    <s v="AB+"/>
    <x v="1"/>
    <d v="2022-11-05T00:00:00"/>
    <s v="Mr. Jeffrey Oliver"/>
    <s v="Lawson Ltd"/>
    <s v="UnitedHealthcare"/>
    <n v="35815.455846479301"/>
    <n v="183"/>
    <x v="1"/>
    <d v="2022-12-04T00:00:00"/>
    <x v="3"/>
    <x v="1"/>
    <n v="29"/>
  </r>
  <r>
    <s v="Cindy Gomez"/>
    <x v="3"/>
    <n v="27"/>
    <x v="0"/>
    <s v="A-"/>
    <x v="1"/>
    <d v="2023-07-03T00:00:00"/>
    <s v="Mr. Timothy Santiago"/>
    <s v="Jones, Martinez and Moore"/>
    <s v="UnitedHealthcare"/>
    <n v="1166.7713188498301"/>
    <n v="212"/>
    <x v="0"/>
    <d v="2023-08-02T00:00:00"/>
    <x v="2"/>
    <x v="2"/>
    <n v="30"/>
  </r>
  <r>
    <s v="Clarence Munoz"/>
    <x v="4"/>
    <n v="61"/>
    <x v="1"/>
    <s v="B+"/>
    <x v="1"/>
    <d v="2019-03-08T00:00:00"/>
    <s v="Mark Dunn"/>
    <s v="Hayes Ltd"/>
    <s v="UnitedHealthcare"/>
    <n v="35381.349101178901"/>
    <n v="460"/>
    <x v="0"/>
    <d v="2019-03-24T00:00:00"/>
    <x v="1"/>
    <x v="1"/>
    <n v="16"/>
  </r>
  <r>
    <s v="Corey Johnson"/>
    <x v="2"/>
    <n v="55"/>
    <x v="1"/>
    <s v="O+"/>
    <x v="1"/>
    <d v="2023-09-03T00:00:00"/>
    <s v="Joe Leonard"/>
    <s v="Young-Cole"/>
    <s v="Blue Cross"/>
    <n v="38734.813541835101"/>
    <n v="259"/>
    <x v="0"/>
    <d v="2023-09-10T00:00:00"/>
    <x v="0"/>
    <x v="2"/>
    <n v="7"/>
  </r>
  <r>
    <s v="Courtney Salinas"/>
    <x v="3"/>
    <n v="34"/>
    <x v="1"/>
    <s v="A-"/>
    <x v="1"/>
    <d v="2023-06-03T00:00:00"/>
    <s v="Sean Bean"/>
    <s v="Edwards Group"/>
    <s v="Cigna"/>
    <n v="41324.848355036898"/>
    <n v="132"/>
    <x v="2"/>
    <d v="2023-06-07T00:00:00"/>
    <x v="0"/>
    <x v="1"/>
    <n v="4"/>
  </r>
  <r>
    <s v="Craig Garcia"/>
    <x v="3"/>
    <n v="32"/>
    <x v="1"/>
    <s v="B-"/>
    <x v="1"/>
    <d v="2023-07-07T00:00:00"/>
    <s v="Bradley Jones"/>
    <s v="Morris Inc"/>
    <s v="Blue Cross"/>
    <n v="23674.450003124199"/>
    <n v="457"/>
    <x v="1"/>
    <d v="2023-07-08T00:00:00"/>
    <x v="1"/>
    <x v="1"/>
    <n v="1"/>
  </r>
  <r>
    <s v="Craig Leonard"/>
    <x v="3"/>
    <n v="30"/>
    <x v="0"/>
    <s v="B+"/>
    <x v="1"/>
    <d v="2021-12-22T00:00:00"/>
    <s v="Diana Cooper"/>
    <s v="Davis Inc"/>
    <s v="Aetna"/>
    <n v="43169.871554592501"/>
    <n v="190"/>
    <x v="2"/>
    <d v="2021-12-30T00:00:00"/>
    <x v="2"/>
    <x v="2"/>
    <n v="8"/>
  </r>
  <r>
    <s v="Daniel Evans"/>
    <x v="3"/>
    <n v="26"/>
    <x v="1"/>
    <s v="B-"/>
    <x v="1"/>
    <d v="2020-06-19T00:00:00"/>
    <s v="Michael Olson"/>
    <s v="Sweeney Group"/>
    <s v="Medicare"/>
    <n v="4865.5518374109097"/>
    <n v="386"/>
    <x v="0"/>
    <d v="2020-06-28T00:00:00"/>
    <x v="1"/>
    <x v="1"/>
    <n v="9"/>
  </r>
  <r>
    <s v="Daniel Horne"/>
    <x v="2"/>
    <n v="51"/>
    <x v="1"/>
    <s v="O-"/>
    <x v="1"/>
    <d v="2018-12-13T00:00:00"/>
    <s v="William Townsend"/>
    <s v="Moore, Simmons and Norris"/>
    <s v="Cigna"/>
    <n v="23147.662039422601"/>
    <n v="121"/>
    <x v="1"/>
    <d v="2018-12-16T00:00:00"/>
    <x v="4"/>
    <x v="0"/>
    <n v="3"/>
  </r>
  <r>
    <s v="Daniel Mccoy"/>
    <x v="2"/>
    <n v="51"/>
    <x v="0"/>
    <s v="AB+"/>
    <x v="1"/>
    <d v="2022-12-25T00:00:00"/>
    <s v="Dylan Andrews"/>
    <s v="Sanchez Ltd"/>
    <s v="UnitedHealthcare"/>
    <n v="26191.855680458099"/>
    <n v="250"/>
    <x v="0"/>
    <d v="2022-12-30T00:00:00"/>
    <x v="0"/>
    <x v="0"/>
    <n v="5"/>
  </r>
  <r>
    <s v="Danielle Kim DVM"/>
    <x v="2"/>
    <n v="47"/>
    <x v="0"/>
    <s v="O+"/>
    <x v="1"/>
    <d v="2023-03-11T00:00:00"/>
    <s v="Shannon Gonzales"/>
    <s v="Moreno, Maldonado and Benjamin"/>
    <s v="Cigna"/>
    <n v="21025.566735250799"/>
    <n v="142"/>
    <x v="2"/>
    <d v="2023-04-01T00:00:00"/>
    <x v="4"/>
    <x v="2"/>
    <n v="21"/>
  </r>
  <r>
    <s v="David Garcia"/>
    <x v="4"/>
    <n v="60"/>
    <x v="0"/>
    <s v="O+"/>
    <x v="1"/>
    <d v="2020-01-18T00:00:00"/>
    <s v="Samuel Francis"/>
    <s v="Lane and Sons"/>
    <s v="Cigna"/>
    <n v="28481.455529918599"/>
    <n v="216"/>
    <x v="2"/>
    <d v="2020-02-17T00:00:00"/>
    <x v="1"/>
    <x v="0"/>
    <n v="30"/>
  </r>
  <r>
    <s v="David Hess"/>
    <x v="1"/>
    <n v="18"/>
    <x v="1"/>
    <s v="AB+"/>
    <x v="1"/>
    <d v="2023-07-10T00:00:00"/>
    <s v="Michael Chung"/>
    <s v="Collier and Sons"/>
    <s v="Cigna"/>
    <n v="44724.882707224198"/>
    <n v="114"/>
    <x v="1"/>
    <d v="2023-08-04T00:00:00"/>
    <x v="3"/>
    <x v="2"/>
    <n v="25"/>
  </r>
  <r>
    <s v="David Jacobs"/>
    <x v="2"/>
    <n v="51"/>
    <x v="1"/>
    <s v="A-"/>
    <x v="1"/>
    <d v="2022-10-13T00:00:00"/>
    <s v="Marco Gallegos"/>
    <s v="Mcknight-Hernandez"/>
    <s v="Aetna"/>
    <n v="22547.496004173601"/>
    <n v="491"/>
    <x v="1"/>
    <d v="2022-10-21T00:00:00"/>
    <x v="2"/>
    <x v="0"/>
    <n v="8"/>
  </r>
  <r>
    <s v="David Reyes"/>
    <x v="0"/>
    <n v="80"/>
    <x v="0"/>
    <s v="O-"/>
    <x v="1"/>
    <d v="2019-04-29T00:00:00"/>
    <s v="Renee Ford"/>
    <s v="Robbins Ltd"/>
    <s v="Medicare"/>
    <n v="20480.127366492499"/>
    <n v="194"/>
    <x v="1"/>
    <d v="2019-05-04T00:00:00"/>
    <x v="0"/>
    <x v="1"/>
    <n v="5"/>
  </r>
  <r>
    <s v="David Stuart"/>
    <x v="4"/>
    <n v="57"/>
    <x v="0"/>
    <s v="AB-"/>
    <x v="1"/>
    <d v="2020-10-22T00:00:00"/>
    <s v="John Martin"/>
    <s v="Copeland-Smith"/>
    <s v="UnitedHealthcare"/>
    <n v="48716.2891071493"/>
    <n v="476"/>
    <x v="1"/>
    <d v="2020-11-19T00:00:00"/>
    <x v="0"/>
    <x v="1"/>
    <n v="28"/>
  </r>
  <r>
    <s v="Deborah Butler"/>
    <x v="6"/>
    <n v="66"/>
    <x v="0"/>
    <s v="A+"/>
    <x v="1"/>
    <d v="2019-11-27T00:00:00"/>
    <s v="Tammy Williamson"/>
    <s v="Harris, Bailey and Le"/>
    <s v="Medicare"/>
    <n v="10753.757615365401"/>
    <n v="145"/>
    <x v="2"/>
    <d v="2019-12-14T00:00:00"/>
    <x v="2"/>
    <x v="1"/>
    <n v="17"/>
  </r>
  <r>
    <s v="Deborah Kelley"/>
    <x v="6"/>
    <n v="70"/>
    <x v="1"/>
    <s v="B+"/>
    <x v="1"/>
    <d v="2023-06-01T00:00:00"/>
    <s v="Amber Carter"/>
    <s v="Adkins, Morales and Maynard"/>
    <s v="Cigna"/>
    <n v="40930.336700342901"/>
    <n v="269"/>
    <x v="0"/>
    <d v="2023-06-27T00:00:00"/>
    <x v="2"/>
    <x v="2"/>
    <n v="26"/>
  </r>
  <r>
    <s v="Denise Randall"/>
    <x v="3"/>
    <n v="33"/>
    <x v="1"/>
    <s v="AB+"/>
    <x v="1"/>
    <d v="2018-11-14T00:00:00"/>
    <s v="Jordan Wise"/>
    <s v="Andrews, Mcguire and Turner"/>
    <s v="Cigna"/>
    <n v="27593.645082180599"/>
    <n v="161"/>
    <x v="0"/>
    <d v="2018-12-01T00:00:00"/>
    <x v="1"/>
    <x v="2"/>
    <n v="17"/>
  </r>
  <r>
    <s v="Dennis Banks"/>
    <x v="0"/>
    <n v="80"/>
    <x v="0"/>
    <s v="O+"/>
    <x v="1"/>
    <d v="2019-09-19T00:00:00"/>
    <s v="Amanda Blackburn"/>
    <s v="Foster Inc"/>
    <s v="Aetna"/>
    <n v="41417.844339025498"/>
    <n v="230"/>
    <x v="0"/>
    <d v="2019-10-18T00:00:00"/>
    <x v="3"/>
    <x v="2"/>
    <n v="29"/>
  </r>
  <r>
    <s v="Diana Watkins"/>
    <x v="3"/>
    <n v="32"/>
    <x v="0"/>
    <s v="B+"/>
    <x v="1"/>
    <d v="2022-04-30T00:00:00"/>
    <s v="Tara Jones"/>
    <s v="Smith-Robinson"/>
    <s v="Aetna"/>
    <n v="6070.7903873286596"/>
    <n v="283"/>
    <x v="2"/>
    <d v="2022-05-09T00:00:00"/>
    <x v="4"/>
    <x v="0"/>
    <n v="9"/>
  </r>
  <r>
    <s v="Douglas Myers"/>
    <x v="2"/>
    <n v="53"/>
    <x v="1"/>
    <s v="AB-"/>
    <x v="1"/>
    <d v="2019-08-01T00:00:00"/>
    <s v="Victoria Chavez"/>
    <s v="Little, Fuller and Riddle"/>
    <s v="UnitedHealthcare"/>
    <n v="43495.230345054202"/>
    <n v="493"/>
    <x v="2"/>
    <d v="2019-08-23T00:00:00"/>
    <x v="3"/>
    <x v="2"/>
    <n v="22"/>
  </r>
  <r>
    <s v="Dr. Benjamin Jimenez"/>
    <x v="0"/>
    <n v="78"/>
    <x v="0"/>
    <s v="A+"/>
    <x v="1"/>
    <d v="2022-08-21T00:00:00"/>
    <s v="Karen Mullen"/>
    <s v="Torres, Miller and Franklin"/>
    <s v="Medicare"/>
    <n v="4872.5220386779602"/>
    <n v="300"/>
    <x v="1"/>
    <d v="2022-08-23T00:00:00"/>
    <x v="3"/>
    <x v="1"/>
    <n v="2"/>
  </r>
  <r>
    <s v="Dr. Leah Delgado"/>
    <x v="5"/>
    <n v="42"/>
    <x v="0"/>
    <s v="O-"/>
    <x v="1"/>
    <d v="2021-10-02T00:00:00"/>
    <s v="David Sanchez"/>
    <s v="Edwards, Salinas and Snyder"/>
    <s v="Cigna"/>
    <n v="37113.070252732701"/>
    <n v="226"/>
    <x v="0"/>
    <d v="2021-10-07T00:00:00"/>
    <x v="0"/>
    <x v="0"/>
    <n v="5"/>
  </r>
  <r>
    <s v="Elizabeth Adams"/>
    <x v="3"/>
    <n v="28"/>
    <x v="1"/>
    <s v="AB-"/>
    <x v="1"/>
    <d v="2020-07-20T00:00:00"/>
    <s v="Monica Wright"/>
    <s v="Glover and Sons"/>
    <s v="Cigna"/>
    <n v="41414.986529870999"/>
    <n v="292"/>
    <x v="2"/>
    <d v="2020-08-09T00:00:00"/>
    <x v="3"/>
    <x v="2"/>
    <n v="20"/>
  </r>
  <r>
    <s v="Elizabeth Anderson"/>
    <x v="5"/>
    <n v="40"/>
    <x v="0"/>
    <s v="B-"/>
    <x v="1"/>
    <d v="2020-12-22T00:00:00"/>
    <s v="Mark Martin"/>
    <s v="Mann-Wood"/>
    <s v="Cigna"/>
    <n v="49125.157745441698"/>
    <n v="430"/>
    <x v="0"/>
    <d v="2021-01-02T00:00:00"/>
    <x v="4"/>
    <x v="0"/>
    <n v="11"/>
  </r>
  <r>
    <s v="Elizabeth Kline"/>
    <x v="5"/>
    <n v="42"/>
    <x v="0"/>
    <s v="AB+"/>
    <x v="1"/>
    <d v="2019-08-20T00:00:00"/>
    <s v="Tonya Castaneda"/>
    <s v="Martinez-Francis"/>
    <s v="Cigna"/>
    <n v="12287.139440438399"/>
    <n v="384"/>
    <x v="0"/>
    <d v="2019-09-07T00:00:00"/>
    <x v="4"/>
    <x v="0"/>
    <n v="18"/>
  </r>
  <r>
    <s v="Emily Hull"/>
    <x v="3"/>
    <n v="32"/>
    <x v="1"/>
    <s v="AB-"/>
    <x v="1"/>
    <d v="2023-05-24T00:00:00"/>
    <s v="Heather Burke"/>
    <s v="Schmidt, Jackson and Luna"/>
    <s v="Cigna"/>
    <n v="3717.53276817495"/>
    <n v="412"/>
    <x v="0"/>
    <d v="2023-06-12T00:00:00"/>
    <x v="2"/>
    <x v="1"/>
    <n v="19"/>
  </r>
  <r>
    <s v="Emily Perez"/>
    <x v="4"/>
    <n v="64"/>
    <x v="0"/>
    <s v="B+"/>
    <x v="1"/>
    <d v="2020-04-29T00:00:00"/>
    <s v="Michael Pacheco"/>
    <s v="Rios-Pratt"/>
    <s v="Medicare"/>
    <n v="23968.316918250101"/>
    <n v="245"/>
    <x v="0"/>
    <d v="2020-05-18T00:00:00"/>
    <x v="1"/>
    <x v="1"/>
    <n v="19"/>
  </r>
  <r>
    <s v="Eric Martinez"/>
    <x v="1"/>
    <n v="21"/>
    <x v="0"/>
    <s v="AB-"/>
    <x v="1"/>
    <d v="2021-12-23T00:00:00"/>
    <s v="Elizabeth Cordova"/>
    <s v="Schwartz PLC"/>
    <s v="Blue Cross"/>
    <n v="37246.819154310397"/>
    <n v="294"/>
    <x v="0"/>
    <d v="2022-01-07T00:00:00"/>
    <x v="0"/>
    <x v="1"/>
    <n v="15"/>
  </r>
  <r>
    <s v="Eric Wilson"/>
    <x v="4"/>
    <n v="65"/>
    <x v="0"/>
    <s v="O-"/>
    <x v="1"/>
    <d v="2020-04-28T00:00:00"/>
    <s v="Jeffery Maxwell"/>
    <s v="Johnson and Sons"/>
    <s v="Medicare"/>
    <n v="23961.069814057901"/>
    <n v="170"/>
    <x v="0"/>
    <d v="2020-05-24T00:00:00"/>
    <x v="1"/>
    <x v="0"/>
    <n v="26"/>
  </r>
  <r>
    <s v="Erin Sharp"/>
    <x v="3"/>
    <n v="34"/>
    <x v="1"/>
    <s v="A-"/>
    <x v="1"/>
    <d v="2021-09-01T00:00:00"/>
    <s v="Matthew Rodriguez"/>
    <s v="Frazier, Graham and Taylor"/>
    <s v="Cigna"/>
    <n v="17282.783447122001"/>
    <n v="210"/>
    <x v="2"/>
    <d v="2021-09-11T00:00:00"/>
    <x v="0"/>
    <x v="0"/>
    <n v="10"/>
  </r>
  <r>
    <s v="Ernest Peters"/>
    <x v="5"/>
    <n v="43"/>
    <x v="0"/>
    <s v="O+"/>
    <x v="1"/>
    <d v="2022-04-09T00:00:00"/>
    <s v="Christopher Sullivan"/>
    <s v="Price, Stevens and Singh"/>
    <s v="Blue Cross"/>
    <n v="5974.9702052410903"/>
    <n v="238"/>
    <x v="1"/>
    <d v="2022-04-13T00:00:00"/>
    <x v="1"/>
    <x v="0"/>
    <n v="4"/>
  </r>
  <r>
    <s v="Francisco Allen"/>
    <x v="3"/>
    <n v="26"/>
    <x v="0"/>
    <s v="B+"/>
    <x v="1"/>
    <d v="2022-07-31T00:00:00"/>
    <s v="Dustin Cunningham"/>
    <s v="Stokes-Johnson"/>
    <s v="Blue Cross"/>
    <n v="47633.196118288397"/>
    <n v="467"/>
    <x v="0"/>
    <d v="2022-08-10T00:00:00"/>
    <x v="0"/>
    <x v="0"/>
    <n v="10"/>
  </r>
  <r>
    <s v="Frederick Newman"/>
    <x v="0"/>
    <n v="79"/>
    <x v="0"/>
    <s v="B-"/>
    <x v="1"/>
    <d v="2022-06-02T00:00:00"/>
    <s v="Mr. Charles Garcia"/>
    <s v="Bell LLC"/>
    <s v="Medicare"/>
    <n v="12798.3544363728"/>
    <n v="206"/>
    <x v="0"/>
    <d v="2022-06-15T00:00:00"/>
    <x v="0"/>
    <x v="0"/>
    <n v="13"/>
  </r>
  <r>
    <s v="Gabrielle Francis"/>
    <x v="0"/>
    <n v="81"/>
    <x v="1"/>
    <s v="A-"/>
    <x v="1"/>
    <d v="2022-10-15T00:00:00"/>
    <s v="Jennifer Barry"/>
    <s v="Gilbert-Moody"/>
    <s v="Blue Cross"/>
    <n v="1923.9067941825499"/>
    <n v="462"/>
    <x v="0"/>
    <d v="2022-10-19T00:00:00"/>
    <x v="1"/>
    <x v="2"/>
    <n v="4"/>
  </r>
  <r>
    <s v="George Gordon"/>
    <x v="4"/>
    <n v="56"/>
    <x v="0"/>
    <s v="O+"/>
    <x v="1"/>
    <d v="2020-12-05T00:00:00"/>
    <s v="Angela Garcia"/>
    <s v="Young and Sons"/>
    <s v="Blue Cross"/>
    <n v="24181.192758454599"/>
    <n v="394"/>
    <x v="1"/>
    <d v="2020-12-18T00:00:00"/>
    <x v="2"/>
    <x v="2"/>
    <n v="13"/>
  </r>
  <r>
    <s v="Heather Washington"/>
    <x v="2"/>
    <n v="53"/>
    <x v="1"/>
    <s v="A+"/>
    <x v="1"/>
    <d v="2020-11-25T00:00:00"/>
    <s v="Joann Meyer"/>
    <s v="Robinson Ltd"/>
    <s v="Cigna"/>
    <n v="19218.4785931769"/>
    <n v="262"/>
    <x v="2"/>
    <d v="2020-12-05T00:00:00"/>
    <x v="1"/>
    <x v="1"/>
    <n v="10"/>
  </r>
  <r>
    <s v="Holly Norman"/>
    <x v="2"/>
    <n v="48"/>
    <x v="0"/>
    <s v="A+"/>
    <x v="1"/>
    <d v="2019-05-01T00:00:00"/>
    <s v="Karen Rogers"/>
    <s v="Wright-Hart"/>
    <s v="Medicare"/>
    <n v="24341.762471661499"/>
    <n v="288"/>
    <x v="0"/>
    <d v="2019-05-04T00:00:00"/>
    <x v="0"/>
    <x v="1"/>
    <n v="3"/>
  </r>
  <r>
    <s v="Jackie Arellano"/>
    <x v="6"/>
    <n v="69"/>
    <x v="0"/>
    <s v="O+"/>
    <x v="1"/>
    <d v="2023-01-15T00:00:00"/>
    <s v="Michael Kelly"/>
    <s v="Turner, Wallace and Reeves"/>
    <s v="Medicare"/>
    <n v="48488.178087849999"/>
    <n v="213"/>
    <x v="1"/>
    <d v="2023-01-23T00:00:00"/>
    <x v="0"/>
    <x v="2"/>
    <n v="8"/>
  </r>
  <r>
    <s v="Jacob Meyers"/>
    <x v="3"/>
    <n v="31"/>
    <x v="1"/>
    <s v="O-"/>
    <x v="1"/>
    <d v="2022-08-08T00:00:00"/>
    <s v="Wesley Mcpherson"/>
    <s v="Lynch-Garrett"/>
    <s v="Cigna"/>
    <n v="43882.561949005802"/>
    <n v="374"/>
    <x v="0"/>
    <d v="2022-08-14T00:00:00"/>
    <x v="3"/>
    <x v="2"/>
    <n v="6"/>
  </r>
  <r>
    <s v="James Roberts"/>
    <x v="3"/>
    <n v="28"/>
    <x v="0"/>
    <s v="O-"/>
    <x v="1"/>
    <d v="2022-01-04T00:00:00"/>
    <s v="Samantha Wagner"/>
    <s v="Hopkins, Ellison and Duran"/>
    <s v="Aetna"/>
    <n v="1897.4554096945701"/>
    <n v="247"/>
    <x v="0"/>
    <d v="2022-01-21T00:00:00"/>
    <x v="3"/>
    <x v="1"/>
    <n v="17"/>
  </r>
  <r>
    <s v="Jamie Kelley"/>
    <x v="2"/>
    <n v="48"/>
    <x v="1"/>
    <s v="O-"/>
    <x v="1"/>
    <d v="2022-07-10T00:00:00"/>
    <s v="Samuel Lowe"/>
    <s v="Williams LLC"/>
    <s v="Aetna"/>
    <n v="42621.4496468406"/>
    <n v="297"/>
    <x v="2"/>
    <d v="2022-07-28T00:00:00"/>
    <x v="0"/>
    <x v="0"/>
    <n v="18"/>
  </r>
  <r>
    <s v="Jasmin Scott"/>
    <x v="5"/>
    <n v="36"/>
    <x v="1"/>
    <s v="B+"/>
    <x v="1"/>
    <d v="2023-08-01T00:00:00"/>
    <s v="Brittany Carter"/>
    <s v="Thompson PLC"/>
    <s v="Cigna"/>
    <n v="49666.605650203499"/>
    <n v="251"/>
    <x v="1"/>
    <d v="2023-08-11T00:00:00"/>
    <x v="4"/>
    <x v="2"/>
    <n v="10"/>
  </r>
  <r>
    <s v="Jeffrey Clark"/>
    <x v="4"/>
    <n v="59"/>
    <x v="0"/>
    <s v="O+"/>
    <x v="1"/>
    <d v="2021-06-15T00:00:00"/>
    <s v="Kenneth Montgomery"/>
    <s v="Carson, Hernandez and Gallagher"/>
    <s v="UnitedHealthcare"/>
    <n v="23549.230665817198"/>
    <n v="398"/>
    <x v="2"/>
    <d v="2021-07-06T00:00:00"/>
    <x v="3"/>
    <x v="2"/>
    <n v="21"/>
  </r>
  <r>
    <s v="Jeffrey Cross"/>
    <x v="6"/>
    <n v="75"/>
    <x v="0"/>
    <s v="A+"/>
    <x v="1"/>
    <d v="2020-03-25T00:00:00"/>
    <s v="Ashley Taylor"/>
    <s v="Newman-Kline"/>
    <s v="Aetna"/>
    <n v="7140.7738327770403"/>
    <n v="290"/>
    <x v="2"/>
    <d v="2020-04-10T00:00:00"/>
    <x v="2"/>
    <x v="1"/>
    <n v="16"/>
  </r>
  <r>
    <s v="Jennifer Cunningham"/>
    <x v="0"/>
    <n v="81"/>
    <x v="1"/>
    <s v="A+"/>
    <x v="1"/>
    <d v="2022-07-06T00:00:00"/>
    <s v="Andrew Nash"/>
    <s v="Daniel, Scott and Fox"/>
    <s v="Aetna"/>
    <n v="49528.921182529702"/>
    <n v="382"/>
    <x v="0"/>
    <d v="2022-07-13T00:00:00"/>
    <x v="1"/>
    <x v="0"/>
    <n v="7"/>
  </r>
  <r>
    <s v="Jennifer Frye"/>
    <x v="3"/>
    <n v="35"/>
    <x v="1"/>
    <s v="AB-"/>
    <x v="1"/>
    <d v="2022-12-08T00:00:00"/>
    <s v="Stephanie Bryan"/>
    <s v="Howe, Wilson and Davis"/>
    <s v="Aetna"/>
    <n v="49359.792061706001"/>
    <n v="462"/>
    <x v="1"/>
    <d v="2022-12-16T00:00:00"/>
    <x v="1"/>
    <x v="2"/>
    <n v="8"/>
  </r>
  <r>
    <s v="Jennifer Rodriguez"/>
    <x v="0"/>
    <n v="83"/>
    <x v="0"/>
    <s v="AB-"/>
    <x v="1"/>
    <d v="2019-11-12T00:00:00"/>
    <s v="Rachel Sullivan"/>
    <s v="Duke Group"/>
    <s v="Cigna"/>
    <n v="5098.66312754721"/>
    <n v="192"/>
    <x v="1"/>
    <d v="2019-11-24T00:00:00"/>
    <x v="4"/>
    <x v="2"/>
    <n v="12"/>
  </r>
  <r>
    <s v="Jeremy Jones"/>
    <x v="4"/>
    <n v="61"/>
    <x v="0"/>
    <s v="B-"/>
    <x v="1"/>
    <d v="2023-05-18T00:00:00"/>
    <s v="Linda Tran"/>
    <s v="Sanders and Sons"/>
    <s v="UnitedHealthcare"/>
    <n v="5936.8544278852396"/>
    <n v="248"/>
    <x v="1"/>
    <d v="2023-05-19T00:00:00"/>
    <x v="1"/>
    <x v="0"/>
    <n v="1"/>
  </r>
  <r>
    <s v="Jerry Roman"/>
    <x v="3"/>
    <n v="30"/>
    <x v="1"/>
    <s v="B+"/>
    <x v="1"/>
    <d v="2020-06-22T00:00:00"/>
    <s v="Brian Barnett"/>
    <s v="Cook-Thompson"/>
    <s v="Blue Cross"/>
    <n v="33563.158863442797"/>
    <n v="310"/>
    <x v="0"/>
    <d v="2020-07-13T00:00:00"/>
    <x v="2"/>
    <x v="0"/>
    <n v="21"/>
  </r>
  <r>
    <s v="Jesse Sanders"/>
    <x v="3"/>
    <n v="27"/>
    <x v="0"/>
    <s v="A-"/>
    <x v="1"/>
    <d v="2020-01-14T00:00:00"/>
    <s v="Tim Bradshaw"/>
    <s v="Smith-Davila"/>
    <s v="Cigna"/>
    <n v="3345.7034888083399"/>
    <n v="292"/>
    <x v="0"/>
    <d v="2020-02-05T00:00:00"/>
    <x v="0"/>
    <x v="0"/>
    <n v="22"/>
  </r>
  <r>
    <s v="Jessica Duncan"/>
    <x v="0"/>
    <n v="84"/>
    <x v="1"/>
    <s v="B-"/>
    <x v="1"/>
    <d v="2023-06-10T00:00:00"/>
    <s v="Sara Howard"/>
    <s v="Chandler Group"/>
    <s v="Aetna"/>
    <n v="34295.819419245898"/>
    <n v="435"/>
    <x v="2"/>
    <d v="2023-07-10T00:00:00"/>
    <x v="1"/>
    <x v="1"/>
    <n v="30"/>
  </r>
  <r>
    <s v="Jessica Yates"/>
    <x v="3"/>
    <n v="29"/>
    <x v="0"/>
    <s v="O-"/>
    <x v="1"/>
    <d v="2022-11-08T00:00:00"/>
    <s v="James Roberson"/>
    <s v="Gray, Cobb and Robinson"/>
    <s v="Cigna"/>
    <n v="41749.141427979703"/>
    <n v="358"/>
    <x v="2"/>
    <d v="2022-11-17T00:00:00"/>
    <x v="4"/>
    <x v="2"/>
    <n v="9"/>
  </r>
  <r>
    <s v="Joel Whitehead"/>
    <x v="6"/>
    <n v="71"/>
    <x v="0"/>
    <s v="AB+"/>
    <x v="1"/>
    <d v="2021-03-09T00:00:00"/>
    <s v="Jacob Smith"/>
    <s v="Tate Ltd"/>
    <s v="Cigna"/>
    <n v="33952.609194823002"/>
    <n v="407"/>
    <x v="1"/>
    <d v="2021-04-08T00:00:00"/>
    <x v="3"/>
    <x v="0"/>
    <n v="30"/>
  </r>
  <r>
    <s v="John Kim"/>
    <x v="6"/>
    <n v="74"/>
    <x v="1"/>
    <s v="AB+"/>
    <x v="1"/>
    <d v="2018-12-13T00:00:00"/>
    <s v="Kevin Higgins"/>
    <s v="Miller LLC"/>
    <s v="Aetna"/>
    <n v="1032.2630866161501"/>
    <n v="377"/>
    <x v="2"/>
    <d v="2018-12-14T00:00:00"/>
    <x v="2"/>
    <x v="1"/>
    <n v="1"/>
  </r>
  <r>
    <s v="John Steele"/>
    <x v="6"/>
    <n v="74"/>
    <x v="0"/>
    <s v="O+"/>
    <x v="1"/>
    <d v="2022-12-02T00:00:00"/>
    <s v="Maria Griffin"/>
    <s v="Meyer Ltd"/>
    <s v="Cigna"/>
    <n v="15731.156626312701"/>
    <n v="340"/>
    <x v="1"/>
    <d v="2022-12-07T00:00:00"/>
    <x v="4"/>
    <x v="1"/>
    <n v="5"/>
  </r>
  <r>
    <s v="Jonathan Nielsen"/>
    <x v="0"/>
    <n v="79"/>
    <x v="0"/>
    <s v="A-"/>
    <x v="1"/>
    <d v="2021-11-12T00:00:00"/>
    <s v="Randy White"/>
    <s v="English, Brown and Weeks"/>
    <s v="UnitedHealthcare"/>
    <n v="14230.466490795699"/>
    <n v="357"/>
    <x v="0"/>
    <d v="2021-11-28T00:00:00"/>
    <x v="3"/>
    <x v="1"/>
    <n v="16"/>
  </r>
  <r>
    <s v="Joshua Owens"/>
    <x v="5"/>
    <n v="38"/>
    <x v="0"/>
    <s v="O+"/>
    <x v="1"/>
    <d v="2022-06-05T00:00:00"/>
    <s v="Wesley Rice"/>
    <s v="Arnold, Pugh and Brown"/>
    <s v="UnitedHealthcare"/>
    <n v="25768.149233251101"/>
    <n v="105"/>
    <x v="1"/>
    <d v="2022-06-25T00:00:00"/>
    <x v="2"/>
    <x v="1"/>
    <n v="20"/>
  </r>
  <r>
    <s v="Juan Vargas"/>
    <x v="4"/>
    <n v="56"/>
    <x v="1"/>
    <s v="A+"/>
    <x v="1"/>
    <d v="2020-12-15T00:00:00"/>
    <s v="Alexander Jones"/>
    <s v="Mccann, Carey and Brown"/>
    <s v="Cigna"/>
    <n v="16043.1491710517"/>
    <n v="231"/>
    <x v="2"/>
    <d v="2020-12-31T00:00:00"/>
    <x v="3"/>
    <x v="1"/>
    <n v="16"/>
  </r>
  <r>
    <s v="Julia Johnson"/>
    <x v="2"/>
    <n v="52"/>
    <x v="0"/>
    <s v="AB-"/>
    <x v="1"/>
    <d v="2020-03-15T00:00:00"/>
    <s v="Jason Wright"/>
    <s v="Mendoza-Lee"/>
    <s v="Cigna"/>
    <n v="25429.8307772794"/>
    <n v="104"/>
    <x v="0"/>
    <d v="2020-04-11T00:00:00"/>
    <x v="2"/>
    <x v="2"/>
    <n v="27"/>
  </r>
  <r>
    <s v="Julie Acevedo"/>
    <x v="0"/>
    <n v="79"/>
    <x v="1"/>
    <s v="O+"/>
    <x v="1"/>
    <d v="2021-08-27T00:00:00"/>
    <s v="Allison Schroeder"/>
    <s v="Neal, Walton and Henderson"/>
    <s v="Cigna"/>
    <n v="26642.918529735602"/>
    <n v="265"/>
    <x v="1"/>
    <d v="2021-09-06T00:00:00"/>
    <x v="0"/>
    <x v="0"/>
    <n v="10"/>
  </r>
  <r>
    <s v="Katelyn Vincent"/>
    <x v="3"/>
    <n v="29"/>
    <x v="1"/>
    <s v="O-"/>
    <x v="1"/>
    <d v="2019-12-11T00:00:00"/>
    <s v="Elizabeth Chase"/>
    <s v="Parker Inc"/>
    <s v="Aetna"/>
    <n v="43475.285098582797"/>
    <n v="404"/>
    <x v="0"/>
    <d v="2019-12-13T00:00:00"/>
    <x v="0"/>
    <x v="2"/>
    <n v="2"/>
  </r>
  <r>
    <s v="Kathy Cross"/>
    <x v="5"/>
    <n v="42"/>
    <x v="0"/>
    <s v="A+"/>
    <x v="1"/>
    <d v="2019-12-30T00:00:00"/>
    <s v="Andrew Mendez"/>
    <s v="Davis-Allen"/>
    <s v="Aetna"/>
    <n v="7942.8532858935896"/>
    <n v="155"/>
    <x v="1"/>
    <d v="2020-01-26T00:00:00"/>
    <x v="0"/>
    <x v="2"/>
    <n v="27"/>
  </r>
  <r>
    <s v="Kelly Jones"/>
    <x v="4"/>
    <n v="62"/>
    <x v="1"/>
    <s v="O-"/>
    <x v="1"/>
    <d v="2019-04-10T00:00:00"/>
    <s v="Laura Norris"/>
    <s v="Baird LLC"/>
    <s v="Medicare"/>
    <n v="29057.337887835201"/>
    <n v="292"/>
    <x v="2"/>
    <d v="2019-04-16T00:00:00"/>
    <x v="4"/>
    <x v="0"/>
    <n v="6"/>
  </r>
  <r>
    <s v="Kelly Miller"/>
    <x v="4"/>
    <n v="56"/>
    <x v="1"/>
    <s v="B-"/>
    <x v="1"/>
    <d v="2021-08-20T00:00:00"/>
    <s v="Mark Fischer"/>
    <s v="Hall-Mccoy"/>
    <s v="Medicare"/>
    <n v="29289.652600969199"/>
    <n v="295"/>
    <x v="0"/>
    <d v="2021-08-28T00:00:00"/>
    <x v="3"/>
    <x v="2"/>
    <n v="8"/>
  </r>
  <r>
    <s v="Kelly Taylor"/>
    <x v="0"/>
    <n v="82"/>
    <x v="1"/>
    <s v="O-"/>
    <x v="1"/>
    <d v="2020-02-06T00:00:00"/>
    <s v="Jennifer Carr"/>
    <s v="Smith-Jones"/>
    <s v="Cigna"/>
    <n v="1606.28519137338"/>
    <n v="491"/>
    <x v="0"/>
    <d v="2020-02-16T00:00:00"/>
    <x v="3"/>
    <x v="0"/>
    <n v="10"/>
  </r>
  <r>
    <s v="Kelly Walker"/>
    <x v="5"/>
    <n v="40"/>
    <x v="0"/>
    <s v="A+"/>
    <x v="1"/>
    <d v="2023-04-27T00:00:00"/>
    <s v="Jason Ryan"/>
    <s v="Meyer Inc"/>
    <s v="Aetna"/>
    <n v="31583.552791260099"/>
    <n v="214"/>
    <x v="1"/>
    <d v="2023-04-28T00:00:00"/>
    <x v="3"/>
    <x v="2"/>
    <n v="1"/>
  </r>
  <r>
    <s v="Kelsey Perry"/>
    <x v="3"/>
    <n v="28"/>
    <x v="0"/>
    <s v="A+"/>
    <x v="1"/>
    <d v="2020-03-09T00:00:00"/>
    <s v="Mike Alvarez"/>
    <s v="Hudson Ltd"/>
    <s v="Cigna"/>
    <n v="22780.1269681538"/>
    <n v="155"/>
    <x v="2"/>
    <d v="2020-03-26T00:00:00"/>
    <x v="3"/>
    <x v="2"/>
    <n v="17"/>
  </r>
  <r>
    <s v="Kenneth Armstrong"/>
    <x v="2"/>
    <n v="48"/>
    <x v="0"/>
    <s v="O+"/>
    <x v="1"/>
    <d v="2022-07-02T00:00:00"/>
    <s v="Michelle Lopez"/>
    <s v="Cook Ltd"/>
    <s v="Cigna"/>
    <n v="2754.2413838719699"/>
    <n v="496"/>
    <x v="2"/>
    <d v="2022-07-25T00:00:00"/>
    <x v="0"/>
    <x v="2"/>
    <n v="23"/>
  </r>
  <r>
    <s v="Kevin Johnson"/>
    <x v="0"/>
    <n v="78"/>
    <x v="1"/>
    <s v="O-"/>
    <x v="1"/>
    <d v="2021-02-06T00:00:00"/>
    <s v="Michael Smith"/>
    <s v="Hernandez, Hunt and Clark"/>
    <s v="Medicare"/>
    <n v="9007.9678662207698"/>
    <n v="247"/>
    <x v="2"/>
    <d v="2021-03-03T00:00:00"/>
    <x v="4"/>
    <x v="2"/>
    <n v="25"/>
  </r>
  <r>
    <s v="Kevin Padilla"/>
    <x v="6"/>
    <n v="69"/>
    <x v="0"/>
    <s v="AB+"/>
    <x v="1"/>
    <d v="2020-06-19T00:00:00"/>
    <s v="Dr. Gabriel Gibson"/>
    <s v="Taylor LLC"/>
    <s v="Aetna"/>
    <n v="9100.1868535414796"/>
    <n v="303"/>
    <x v="0"/>
    <d v="2020-07-05T00:00:00"/>
    <x v="0"/>
    <x v="0"/>
    <n v="16"/>
  </r>
  <r>
    <s v="Latoya Price"/>
    <x v="2"/>
    <n v="55"/>
    <x v="1"/>
    <s v="B+"/>
    <x v="1"/>
    <d v="2019-01-23T00:00:00"/>
    <s v="Dennis Morris"/>
    <s v="Olson Ltd"/>
    <s v="Cigna"/>
    <n v="21198.6547266212"/>
    <n v="259"/>
    <x v="2"/>
    <d v="2019-02-02T00:00:00"/>
    <x v="4"/>
    <x v="2"/>
    <n v="10"/>
  </r>
  <r>
    <s v="Leslie Kennedy"/>
    <x v="4"/>
    <n v="60"/>
    <x v="1"/>
    <s v="O+"/>
    <x v="1"/>
    <d v="2023-08-14T00:00:00"/>
    <s v="Steven Smith"/>
    <s v="Marshall, Bolton and Bridges"/>
    <s v="Cigna"/>
    <n v="29736.48579821"/>
    <n v="333"/>
    <x v="2"/>
    <d v="2023-09-02T00:00:00"/>
    <x v="3"/>
    <x v="1"/>
    <n v="19"/>
  </r>
  <r>
    <s v="Linda Davis"/>
    <x v="4"/>
    <n v="60"/>
    <x v="0"/>
    <s v="O+"/>
    <x v="1"/>
    <d v="2023-10-10T00:00:00"/>
    <s v="David Duke"/>
    <s v="Lee, Whitaker and Murphy"/>
    <s v="Aetna"/>
    <n v="8381.3283568794595"/>
    <n v="175"/>
    <x v="2"/>
    <d v="2023-10-26T00:00:00"/>
    <x v="4"/>
    <x v="1"/>
    <n v="16"/>
  </r>
  <r>
    <s v="Linda Gillespie"/>
    <x v="2"/>
    <n v="48"/>
    <x v="1"/>
    <s v="AB-"/>
    <x v="1"/>
    <d v="2023-09-16T00:00:00"/>
    <s v="Steven Serrano"/>
    <s v="Thomas Inc"/>
    <s v="Medicare"/>
    <n v="26642.367639766198"/>
    <n v="402"/>
    <x v="1"/>
    <d v="2023-10-14T00:00:00"/>
    <x v="0"/>
    <x v="2"/>
    <n v="28"/>
  </r>
  <r>
    <s v="Lisa Gonzalez"/>
    <x v="5"/>
    <n v="42"/>
    <x v="1"/>
    <s v="A+"/>
    <x v="1"/>
    <d v="2023-07-09T00:00:00"/>
    <s v="Gina Maddox"/>
    <s v="Lee, Rasmussen and Anderson"/>
    <s v="Medicare"/>
    <n v="22749.284138765299"/>
    <n v="223"/>
    <x v="0"/>
    <d v="2023-07-30T00:00:00"/>
    <x v="2"/>
    <x v="0"/>
    <n v="21"/>
  </r>
  <r>
    <s v="Louis Lewis"/>
    <x v="2"/>
    <n v="52"/>
    <x v="0"/>
    <s v="O+"/>
    <x v="1"/>
    <d v="2022-12-25T00:00:00"/>
    <s v="Joyce Cuevas"/>
    <s v="Everett-Flynn"/>
    <s v="Aetna"/>
    <n v="46868.408184011001"/>
    <n v="244"/>
    <x v="2"/>
    <d v="2022-12-31T00:00:00"/>
    <x v="2"/>
    <x v="1"/>
    <n v="6"/>
  </r>
  <r>
    <s v="Mark French"/>
    <x v="4"/>
    <n v="63"/>
    <x v="0"/>
    <s v="A-"/>
    <x v="1"/>
    <d v="2021-11-25T00:00:00"/>
    <s v="James Richard"/>
    <s v="Cole-Love"/>
    <s v="Blue Cross"/>
    <n v="12617.4853012448"/>
    <n v="408"/>
    <x v="1"/>
    <d v="2021-12-18T00:00:00"/>
    <x v="1"/>
    <x v="2"/>
    <n v="23"/>
  </r>
  <r>
    <s v="Mark Grant"/>
    <x v="0"/>
    <n v="81"/>
    <x v="1"/>
    <s v="AB+"/>
    <x v="1"/>
    <d v="2021-04-01T00:00:00"/>
    <s v="Bruce Matthews"/>
    <s v="Cline-Young"/>
    <s v="UnitedHealthcare"/>
    <n v="16487.676785652198"/>
    <n v="406"/>
    <x v="0"/>
    <d v="2021-05-01T00:00:00"/>
    <x v="1"/>
    <x v="2"/>
    <n v="30"/>
  </r>
  <r>
    <s v="Matthew Good DVM"/>
    <x v="2"/>
    <n v="46"/>
    <x v="0"/>
    <s v="AB+"/>
    <x v="1"/>
    <d v="2023-01-29T00:00:00"/>
    <s v="Jose Boone"/>
    <s v="Brewer, Mccarthy and Wilson"/>
    <s v="Blue Cross"/>
    <n v="18696.998297113201"/>
    <n v="266"/>
    <x v="1"/>
    <d v="2023-02-13T00:00:00"/>
    <x v="0"/>
    <x v="1"/>
    <n v="15"/>
  </r>
  <r>
    <s v="Matthew Landry"/>
    <x v="1"/>
    <n v="18"/>
    <x v="0"/>
    <s v="B+"/>
    <x v="1"/>
    <d v="2020-08-06T00:00:00"/>
    <s v="Lisa Salazar"/>
    <s v="Owens PLC"/>
    <s v="Aetna"/>
    <n v="28414.392830500499"/>
    <n v="136"/>
    <x v="0"/>
    <d v="2020-08-30T00:00:00"/>
    <x v="1"/>
    <x v="1"/>
    <n v="24"/>
  </r>
  <r>
    <s v="Megan Johnson"/>
    <x v="0"/>
    <n v="82"/>
    <x v="1"/>
    <s v="B-"/>
    <x v="1"/>
    <d v="2019-02-27T00:00:00"/>
    <s v="Anthony Ross"/>
    <s v="Hess-Robinson"/>
    <s v="Cigna"/>
    <n v="29401.013622756"/>
    <n v="450"/>
    <x v="0"/>
    <d v="2019-03-22T00:00:00"/>
    <x v="4"/>
    <x v="1"/>
    <n v="23"/>
  </r>
  <r>
    <s v="Megan Livingston"/>
    <x v="3"/>
    <n v="35"/>
    <x v="1"/>
    <s v="B-"/>
    <x v="1"/>
    <d v="2021-10-23T00:00:00"/>
    <s v="James Allison"/>
    <s v="Waters, Reeves and Navarro"/>
    <s v="Aetna"/>
    <n v="35830.270020977201"/>
    <n v="383"/>
    <x v="1"/>
    <d v="2021-10-27T00:00:00"/>
    <x v="2"/>
    <x v="2"/>
    <n v="4"/>
  </r>
  <r>
    <s v="Melissa Martin"/>
    <x v="0"/>
    <n v="79"/>
    <x v="0"/>
    <s v="A+"/>
    <x v="1"/>
    <d v="2019-12-04T00:00:00"/>
    <s v="Deanna Williams MD"/>
    <s v="Kim and Sons"/>
    <s v="Cigna"/>
    <n v="34573.602126393002"/>
    <n v="366"/>
    <x v="0"/>
    <d v="2019-12-12T00:00:00"/>
    <x v="0"/>
    <x v="2"/>
    <n v="8"/>
  </r>
  <r>
    <s v="Michael Simon"/>
    <x v="0"/>
    <n v="81"/>
    <x v="0"/>
    <s v="AB+"/>
    <x v="1"/>
    <d v="2020-09-25T00:00:00"/>
    <s v="Christopher Owens"/>
    <s v="Lane-Quinn"/>
    <s v="Cigna"/>
    <n v="45847.1214542573"/>
    <n v="303"/>
    <x v="0"/>
    <d v="2020-10-04T00:00:00"/>
    <x v="2"/>
    <x v="2"/>
    <n v="9"/>
  </r>
  <r>
    <s v="Michael White"/>
    <x v="2"/>
    <n v="48"/>
    <x v="1"/>
    <s v="AB+"/>
    <x v="1"/>
    <d v="2023-03-13T00:00:00"/>
    <s v="James Nichols"/>
    <s v="Hamilton-Dawson"/>
    <s v="Medicare"/>
    <n v="37318.522530848197"/>
    <n v="372"/>
    <x v="2"/>
    <d v="2023-03-19T00:00:00"/>
    <x v="4"/>
    <x v="1"/>
    <n v="6"/>
  </r>
  <r>
    <s v="Michelle Johnson"/>
    <x v="2"/>
    <n v="48"/>
    <x v="0"/>
    <s v="B-"/>
    <x v="1"/>
    <d v="2022-04-20T00:00:00"/>
    <s v="Maurice Collins"/>
    <s v="Rosales-Mendoza"/>
    <s v="Medicare"/>
    <n v="46859.3008095025"/>
    <n v="101"/>
    <x v="2"/>
    <d v="2022-05-05T00:00:00"/>
    <x v="4"/>
    <x v="1"/>
    <n v="15"/>
  </r>
  <r>
    <s v="Michelle Quinn"/>
    <x v="6"/>
    <n v="74"/>
    <x v="0"/>
    <s v="AB+"/>
    <x v="1"/>
    <d v="2021-11-06T00:00:00"/>
    <s v="Lindsay Watson"/>
    <s v="Bentley Ltd"/>
    <s v="Cigna"/>
    <n v="7164.8861716619103"/>
    <n v="130"/>
    <x v="2"/>
    <d v="2021-11-25T00:00:00"/>
    <x v="1"/>
    <x v="1"/>
    <n v="19"/>
  </r>
  <r>
    <s v="Mindy Torres"/>
    <x v="4"/>
    <n v="61"/>
    <x v="1"/>
    <s v="AB-"/>
    <x v="1"/>
    <d v="2022-04-28T00:00:00"/>
    <s v="Amber Flores"/>
    <s v="Randall, Pitts and Rodriguez"/>
    <s v="Aetna"/>
    <n v="16085.7375091101"/>
    <n v="465"/>
    <x v="0"/>
    <d v="2022-05-25T00:00:00"/>
    <x v="3"/>
    <x v="1"/>
    <n v="27"/>
  </r>
  <r>
    <s v="Miss Lisa Hale"/>
    <x v="0"/>
    <n v="78"/>
    <x v="1"/>
    <s v="B-"/>
    <x v="1"/>
    <d v="2021-03-12T00:00:00"/>
    <s v="Corey Hopkins"/>
    <s v="Nelson, Baker and Peterson"/>
    <s v="Cigna"/>
    <n v="22223.7458220634"/>
    <n v="118"/>
    <x v="1"/>
    <d v="2021-03-29T00:00:00"/>
    <x v="4"/>
    <x v="0"/>
    <n v="17"/>
  </r>
  <r>
    <s v="Monica Ryan"/>
    <x v="6"/>
    <n v="72"/>
    <x v="0"/>
    <s v="A-"/>
    <x v="1"/>
    <d v="2019-05-18T00:00:00"/>
    <s v="Jonathan Mcmillan"/>
    <s v="Thompson, Russell and Carlson"/>
    <s v="Blue Cross"/>
    <n v="36594.910736133097"/>
    <n v="453"/>
    <x v="0"/>
    <d v="2019-05-27T00:00:00"/>
    <x v="0"/>
    <x v="1"/>
    <n v="9"/>
  </r>
  <r>
    <s v="Monica Stevens"/>
    <x v="4"/>
    <n v="64"/>
    <x v="0"/>
    <s v="A+"/>
    <x v="1"/>
    <d v="2020-02-16T00:00:00"/>
    <s v="Ian Hunter"/>
    <s v="Bryant, Thomas and Townsend"/>
    <s v="Blue Cross"/>
    <n v="8895.1372878217207"/>
    <n v="137"/>
    <x v="0"/>
    <d v="2020-02-27T00:00:00"/>
    <x v="3"/>
    <x v="2"/>
    <n v="11"/>
  </r>
  <r>
    <s v="Nancy Peters"/>
    <x v="5"/>
    <n v="45"/>
    <x v="1"/>
    <s v="A-"/>
    <x v="1"/>
    <d v="2022-04-17T00:00:00"/>
    <s v="Adam Gonzales"/>
    <s v="Bennett, Taylor and Savage"/>
    <s v="Blue Cross"/>
    <n v="26172.079063597601"/>
    <n v="155"/>
    <x v="1"/>
    <d v="2022-05-04T00:00:00"/>
    <x v="0"/>
    <x v="0"/>
    <n v="17"/>
  </r>
  <r>
    <s v="Natalie Johnson"/>
    <x v="0"/>
    <n v="77"/>
    <x v="1"/>
    <s v="A-"/>
    <x v="1"/>
    <d v="2020-02-04T00:00:00"/>
    <s v="Tony Bean"/>
    <s v="Martinez, Nolan and Ray"/>
    <s v="Aetna"/>
    <n v="2169.8000252912502"/>
    <n v="250"/>
    <x v="1"/>
    <d v="2020-02-17T00:00:00"/>
    <x v="4"/>
    <x v="2"/>
    <n v="13"/>
  </r>
  <r>
    <s v="Nathan Schwartz"/>
    <x v="1"/>
    <n v="21"/>
    <x v="0"/>
    <s v="B+"/>
    <x v="1"/>
    <d v="2019-07-31T00:00:00"/>
    <s v="Eddie Shah"/>
    <s v="Foster-Adams"/>
    <s v="Cigna"/>
    <n v="36267.530045910098"/>
    <n v="359"/>
    <x v="0"/>
    <d v="2019-08-08T00:00:00"/>
    <x v="4"/>
    <x v="0"/>
    <n v="8"/>
  </r>
  <r>
    <s v="Pam Cantu"/>
    <x v="2"/>
    <n v="54"/>
    <x v="0"/>
    <s v="A-"/>
    <x v="1"/>
    <d v="2018-11-09T00:00:00"/>
    <s v="Jonathan Rodriguez"/>
    <s v="Burton-Hopkins"/>
    <s v="UnitedHealthcare"/>
    <n v="3623.4082314146499"/>
    <n v="361"/>
    <x v="2"/>
    <d v="2018-11-19T00:00:00"/>
    <x v="2"/>
    <x v="2"/>
    <n v="10"/>
  </r>
  <r>
    <s v="Patrick Howard"/>
    <x v="0"/>
    <n v="81"/>
    <x v="0"/>
    <s v="O+"/>
    <x v="1"/>
    <d v="2019-10-12T00:00:00"/>
    <s v="Dr. Jessica Castro"/>
    <s v="Robinson, Franklin and Perry"/>
    <s v="Blue Cross"/>
    <n v="20649.3872071603"/>
    <n v="246"/>
    <x v="2"/>
    <d v="2019-10-17T00:00:00"/>
    <x v="2"/>
    <x v="2"/>
    <n v="5"/>
  </r>
  <r>
    <s v="Rachel Brooks"/>
    <x v="5"/>
    <n v="45"/>
    <x v="1"/>
    <s v="AB-"/>
    <x v="1"/>
    <d v="2022-07-16T00:00:00"/>
    <s v="Kayla Hernandez"/>
    <s v="Carter-Young"/>
    <s v="UnitedHealthcare"/>
    <n v="11169.2994795705"/>
    <n v="269"/>
    <x v="2"/>
    <d v="2022-08-02T00:00:00"/>
    <x v="3"/>
    <x v="2"/>
    <n v="17"/>
  </r>
  <r>
    <s v="Rachel Marks"/>
    <x v="6"/>
    <n v="74"/>
    <x v="0"/>
    <s v="AB-"/>
    <x v="1"/>
    <d v="2021-10-22T00:00:00"/>
    <s v="Michael Lloyd"/>
    <s v="Hall LLC"/>
    <s v="Cigna"/>
    <n v="47469.0831666714"/>
    <n v="355"/>
    <x v="0"/>
    <d v="2021-11-18T00:00:00"/>
    <x v="4"/>
    <x v="0"/>
    <n v="27"/>
  </r>
  <r>
    <s v="Randall Meyer"/>
    <x v="4"/>
    <n v="65"/>
    <x v="0"/>
    <s v="O+"/>
    <x v="1"/>
    <d v="2021-12-16T00:00:00"/>
    <s v="Christopher Wallace"/>
    <s v="Maynard-Gill"/>
    <s v="UnitedHealthcare"/>
    <n v="18991.0732225217"/>
    <n v="424"/>
    <x v="1"/>
    <d v="2021-12-26T00:00:00"/>
    <x v="1"/>
    <x v="1"/>
    <n v="10"/>
  </r>
  <r>
    <s v="Raymond Cain"/>
    <x v="0"/>
    <n v="85"/>
    <x v="0"/>
    <s v="B+"/>
    <x v="1"/>
    <d v="2023-05-24T00:00:00"/>
    <s v="Joseph Navarro"/>
    <s v="Singleton, Cross and Jordan"/>
    <s v="UnitedHealthcare"/>
    <n v="21470.4177381972"/>
    <n v="264"/>
    <x v="0"/>
    <d v="2023-05-27T00:00:00"/>
    <x v="3"/>
    <x v="0"/>
    <n v="3"/>
  </r>
  <r>
    <s v="Rebecca Blackwell"/>
    <x v="6"/>
    <n v="71"/>
    <x v="0"/>
    <s v="B+"/>
    <x v="1"/>
    <d v="2021-08-28T00:00:00"/>
    <s v="Donald Williams"/>
    <s v="Choi, Stone and Gonzalez"/>
    <s v="Cigna"/>
    <n v="31040.1811841337"/>
    <n v="291"/>
    <x v="2"/>
    <d v="2021-09-01T00:00:00"/>
    <x v="3"/>
    <x v="1"/>
    <n v="4"/>
  </r>
  <r>
    <s v="Rebecca Parsons"/>
    <x v="2"/>
    <n v="51"/>
    <x v="1"/>
    <s v="B-"/>
    <x v="1"/>
    <d v="2021-01-29T00:00:00"/>
    <s v="Pamela Brown"/>
    <s v="James and Sons"/>
    <s v="Blue Cross"/>
    <n v="39031.362644016801"/>
    <n v="228"/>
    <x v="0"/>
    <d v="2021-02-23T00:00:00"/>
    <x v="2"/>
    <x v="2"/>
    <n v="25"/>
  </r>
  <r>
    <s v="Robert Benitez PhD"/>
    <x v="5"/>
    <n v="45"/>
    <x v="0"/>
    <s v="AB-"/>
    <x v="1"/>
    <d v="2023-09-09T00:00:00"/>
    <s v="Karen Baker"/>
    <s v="Reed-Parker"/>
    <s v="Blue Cross"/>
    <n v="43128.452163460403"/>
    <n v="495"/>
    <x v="1"/>
    <d v="2023-10-01T00:00:00"/>
    <x v="3"/>
    <x v="1"/>
    <n v="22"/>
  </r>
  <r>
    <s v="Robert Mcdonald"/>
    <x v="4"/>
    <n v="57"/>
    <x v="1"/>
    <s v="A+"/>
    <x v="1"/>
    <d v="2021-05-27T00:00:00"/>
    <s v="Pedro Harmon"/>
    <s v="Hill LLC"/>
    <s v="Medicare"/>
    <n v="17061.046663657198"/>
    <n v="357"/>
    <x v="2"/>
    <d v="2021-06-12T00:00:00"/>
    <x v="2"/>
    <x v="2"/>
    <n v="16"/>
  </r>
  <r>
    <s v="Robert Powell"/>
    <x v="2"/>
    <n v="50"/>
    <x v="1"/>
    <s v="B-"/>
    <x v="1"/>
    <d v="2021-05-05T00:00:00"/>
    <s v="Chris Torres"/>
    <s v="Smith LLC"/>
    <s v="Medicare"/>
    <n v="39734.995117091101"/>
    <n v="496"/>
    <x v="1"/>
    <d v="2021-05-14T00:00:00"/>
    <x v="1"/>
    <x v="2"/>
    <n v="9"/>
  </r>
  <r>
    <s v="Robert Taylor"/>
    <x v="1"/>
    <n v="19"/>
    <x v="1"/>
    <s v="B+"/>
    <x v="1"/>
    <d v="2021-01-10T00:00:00"/>
    <s v="Scott Martin"/>
    <s v="Harvey-Lewis"/>
    <s v="Aetna"/>
    <n v="6850.97280044338"/>
    <n v="270"/>
    <x v="0"/>
    <d v="2021-01-20T00:00:00"/>
    <x v="1"/>
    <x v="0"/>
    <n v="10"/>
  </r>
  <r>
    <s v="Robert Trevino"/>
    <x v="1"/>
    <n v="18"/>
    <x v="1"/>
    <s v="B+"/>
    <x v="1"/>
    <d v="2023-08-18T00:00:00"/>
    <s v="Dean Hart"/>
    <s v="Collier, Nicholson and Hill"/>
    <s v="Aetna"/>
    <n v="17745.867166260799"/>
    <n v="312"/>
    <x v="1"/>
    <d v="2023-08-20T00:00:00"/>
    <x v="0"/>
    <x v="0"/>
    <n v="2"/>
  </r>
  <r>
    <s v="Rose Robinson"/>
    <x v="6"/>
    <n v="73"/>
    <x v="1"/>
    <s v="B+"/>
    <x v="1"/>
    <d v="2022-08-27T00:00:00"/>
    <s v="Jason Kelley"/>
    <s v="Koch-Reynolds"/>
    <s v="UnitedHealthcare"/>
    <n v="3380.7723809302502"/>
    <n v="153"/>
    <x v="0"/>
    <d v="2022-09-13T00:00:00"/>
    <x v="3"/>
    <x v="0"/>
    <n v="17"/>
  </r>
  <r>
    <s v="Ruben Burns"/>
    <x v="3"/>
    <n v="35"/>
    <x v="1"/>
    <s v="O+"/>
    <x v="1"/>
    <d v="2023-06-01T00:00:00"/>
    <s v="Diane Jackson"/>
    <s v="Burke, Griffin and Cooper"/>
    <s v="UnitedHealthcare"/>
    <n v="47304.064845475099"/>
    <n v="404"/>
    <x v="1"/>
    <d v="2023-06-15T00:00:00"/>
    <x v="4"/>
    <x v="1"/>
    <n v="14"/>
  </r>
  <r>
    <s v="Ruth Perry"/>
    <x v="6"/>
    <n v="66"/>
    <x v="1"/>
    <s v="AB-"/>
    <x v="1"/>
    <d v="2023-04-29T00:00:00"/>
    <s v="Matthew Stafford"/>
    <s v="Gregory-Anderson"/>
    <s v="Aetna"/>
    <n v="3991.7558288253899"/>
    <n v="252"/>
    <x v="0"/>
    <d v="2023-05-18T00:00:00"/>
    <x v="2"/>
    <x v="2"/>
    <n v="19"/>
  </r>
  <r>
    <s v="Ryan Copeland"/>
    <x v="3"/>
    <n v="33"/>
    <x v="1"/>
    <s v="A-"/>
    <x v="1"/>
    <d v="2019-10-13T00:00:00"/>
    <s v="John Brown"/>
    <s v="Owens-Ford"/>
    <s v="Blue Cross"/>
    <n v="49910.077615104601"/>
    <n v="152"/>
    <x v="0"/>
    <d v="2019-10-24T00:00:00"/>
    <x v="1"/>
    <x v="0"/>
    <n v="11"/>
  </r>
  <r>
    <s v="Ryan Garrison"/>
    <x v="6"/>
    <n v="73"/>
    <x v="1"/>
    <s v="B-"/>
    <x v="1"/>
    <d v="2021-12-22T00:00:00"/>
    <s v="Brian Adams"/>
    <s v="Hayes, Collins and Terrell"/>
    <s v="Cigna"/>
    <n v="25403.265432304499"/>
    <n v="436"/>
    <x v="2"/>
    <d v="2022-01-15T00:00:00"/>
    <x v="1"/>
    <x v="1"/>
    <n v="24"/>
  </r>
  <r>
    <s v="Samuel Braun"/>
    <x v="0"/>
    <n v="81"/>
    <x v="1"/>
    <s v="B+"/>
    <x v="1"/>
    <d v="2019-06-15T00:00:00"/>
    <s v="Dana Davidson"/>
    <s v="Miller PLC"/>
    <s v="UnitedHealthcare"/>
    <n v="14267.909879475001"/>
    <n v="159"/>
    <x v="2"/>
    <d v="2019-07-04T00:00:00"/>
    <x v="1"/>
    <x v="1"/>
    <n v="19"/>
  </r>
  <r>
    <s v="Sandra Mcclain"/>
    <x v="2"/>
    <n v="54"/>
    <x v="0"/>
    <s v="A-"/>
    <x v="1"/>
    <d v="2020-05-12T00:00:00"/>
    <s v="Allen Powers"/>
    <s v="Harris-Greene"/>
    <s v="Cigna"/>
    <n v="11167.184062665699"/>
    <n v="395"/>
    <x v="1"/>
    <d v="2020-06-07T00:00:00"/>
    <x v="1"/>
    <x v="0"/>
    <n v="26"/>
  </r>
  <r>
    <s v="Sarah Campbell"/>
    <x v="3"/>
    <n v="29"/>
    <x v="1"/>
    <s v="AB-"/>
    <x v="1"/>
    <d v="2021-03-12T00:00:00"/>
    <s v="Luis Cabrera"/>
    <s v="Ferguson-Reyes"/>
    <s v="UnitedHealthcare"/>
    <n v="17245.167346985501"/>
    <n v="290"/>
    <x v="1"/>
    <d v="2021-03-18T00:00:00"/>
    <x v="3"/>
    <x v="2"/>
    <n v="6"/>
  </r>
  <r>
    <s v="Shannon Williams"/>
    <x v="6"/>
    <n v="72"/>
    <x v="1"/>
    <s v="B+"/>
    <x v="1"/>
    <d v="2021-07-04T00:00:00"/>
    <s v="Michael Hodges"/>
    <s v="Carter, Simmons and Russo"/>
    <s v="Cigna"/>
    <n v="24982.0468727966"/>
    <n v="475"/>
    <x v="2"/>
    <d v="2021-07-10T00:00:00"/>
    <x v="3"/>
    <x v="1"/>
    <n v="6"/>
  </r>
  <r>
    <s v="Sharon Perez"/>
    <x v="5"/>
    <n v="39"/>
    <x v="0"/>
    <s v="O-"/>
    <x v="1"/>
    <d v="2022-12-15T00:00:00"/>
    <s v="Jessica Bailey"/>
    <s v="Brown-Golden"/>
    <s v="Blue Cross"/>
    <n v="22788.2360263767"/>
    <n v="310"/>
    <x v="2"/>
    <d v="2022-12-16T00:00:00"/>
    <x v="3"/>
    <x v="1"/>
    <n v="1"/>
  </r>
  <r>
    <s v="Stacey Wade"/>
    <x v="3"/>
    <n v="31"/>
    <x v="0"/>
    <s v="O+"/>
    <x v="1"/>
    <d v="2023-03-31T00:00:00"/>
    <s v="Michelle Robinson MD"/>
    <s v="Johnson, Stephenson and Meyer"/>
    <s v="UnitedHealthcare"/>
    <n v="49401.132727330703"/>
    <n v="263"/>
    <x v="1"/>
    <d v="2023-04-02T00:00:00"/>
    <x v="0"/>
    <x v="0"/>
    <n v="2"/>
  </r>
  <r>
    <s v="Stephanie Bryant"/>
    <x v="1"/>
    <n v="21"/>
    <x v="0"/>
    <s v="A+"/>
    <x v="1"/>
    <d v="2022-06-01T00:00:00"/>
    <s v="Carol Brown"/>
    <s v="Chan PLC"/>
    <s v="Medicare"/>
    <n v="37817.354738951697"/>
    <n v="245"/>
    <x v="2"/>
    <d v="2022-06-29T00:00:00"/>
    <x v="1"/>
    <x v="2"/>
    <n v="28"/>
  </r>
  <r>
    <s v="Stephen Manning"/>
    <x v="4"/>
    <n v="57"/>
    <x v="0"/>
    <s v="A+"/>
    <x v="1"/>
    <d v="2022-11-22T00:00:00"/>
    <s v="William Oconnor"/>
    <s v="Sanford-Shaffer"/>
    <s v="Medicare"/>
    <n v="31911.129134091199"/>
    <n v="458"/>
    <x v="2"/>
    <d v="2022-12-09T00:00:00"/>
    <x v="2"/>
    <x v="1"/>
    <n v="17"/>
  </r>
  <r>
    <s v="Stephen Wheeler"/>
    <x v="5"/>
    <n v="39"/>
    <x v="1"/>
    <s v="A-"/>
    <x v="1"/>
    <d v="2020-02-26T00:00:00"/>
    <s v="Toni Hoover"/>
    <s v="Diaz-Ray"/>
    <s v="UnitedHealthcare"/>
    <n v="4327.0071764370896"/>
    <n v="443"/>
    <x v="2"/>
    <d v="2020-03-07T00:00:00"/>
    <x v="3"/>
    <x v="2"/>
    <n v="10"/>
  </r>
  <r>
    <s v="Steve Meyer"/>
    <x v="1"/>
    <n v="22"/>
    <x v="0"/>
    <s v="A-"/>
    <x v="1"/>
    <d v="2023-02-05T00:00:00"/>
    <s v="Jacqueline Steele"/>
    <s v="Miller, Griffith and George"/>
    <s v="Blue Cross"/>
    <n v="11876.3022877529"/>
    <n v="399"/>
    <x v="2"/>
    <d v="2023-02-11T00:00:00"/>
    <x v="1"/>
    <x v="2"/>
    <n v="6"/>
  </r>
  <r>
    <s v="Steven Bennett"/>
    <x v="0"/>
    <n v="79"/>
    <x v="1"/>
    <s v="O-"/>
    <x v="1"/>
    <d v="2022-12-12T00:00:00"/>
    <s v="Michael Chang"/>
    <s v="Schultz-Powers"/>
    <s v="Blue Cross"/>
    <n v="42610.704562629297"/>
    <n v="364"/>
    <x v="2"/>
    <d v="2022-12-26T00:00:00"/>
    <x v="0"/>
    <x v="2"/>
    <n v="14"/>
  </r>
  <r>
    <s v="Tanya Sanford DDS"/>
    <x v="4"/>
    <n v="63"/>
    <x v="1"/>
    <s v="A+"/>
    <x v="1"/>
    <d v="2019-08-02T00:00:00"/>
    <s v="Madeline Smith"/>
    <s v="Miranda, Nguyen and Obrien"/>
    <s v="Medicare"/>
    <n v="34730.2311812142"/>
    <n v="441"/>
    <x v="1"/>
    <d v="2019-08-25T00:00:00"/>
    <x v="1"/>
    <x v="0"/>
    <n v="23"/>
  </r>
  <r>
    <s v="Taylor Byrd"/>
    <x v="3"/>
    <n v="26"/>
    <x v="0"/>
    <s v="A-"/>
    <x v="1"/>
    <d v="2023-02-05T00:00:00"/>
    <s v="Anna Knapp"/>
    <s v="Johnson-Murphy"/>
    <s v="Cigna"/>
    <n v="4433.9509563254896"/>
    <n v="445"/>
    <x v="1"/>
    <d v="2023-02-18T00:00:00"/>
    <x v="1"/>
    <x v="2"/>
    <n v="13"/>
  </r>
  <r>
    <s v="Terrence Edwards"/>
    <x v="0"/>
    <n v="80"/>
    <x v="1"/>
    <s v="B-"/>
    <x v="1"/>
    <d v="2021-02-13T00:00:00"/>
    <s v="Wanda Warren"/>
    <s v="Cole and Sons"/>
    <s v="Aetna"/>
    <n v="4357.9280469576397"/>
    <n v="361"/>
    <x v="1"/>
    <d v="2021-03-02T00:00:00"/>
    <x v="1"/>
    <x v="2"/>
    <n v="17"/>
  </r>
  <r>
    <s v="Terry Lawson"/>
    <x v="3"/>
    <n v="31"/>
    <x v="0"/>
    <s v="O+"/>
    <x v="1"/>
    <d v="2019-07-07T00:00:00"/>
    <s v="Daniel Mack"/>
    <s v="Valencia, Rice and Reed"/>
    <s v="Blue Cross"/>
    <n v="9976.2357320533902"/>
    <n v="272"/>
    <x v="0"/>
    <d v="2019-07-23T00:00:00"/>
    <x v="4"/>
    <x v="1"/>
    <n v="16"/>
  </r>
  <r>
    <s v="Terry Martinez"/>
    <x v="4"/>
    <n v="65"/>
    <x v="1"/>
    <s v="A+"/>
    <x v="1"/>
    <d v="2022-05-31T00:00:00"/>
    <s v="Paul Tanner"/>
    <s v="Williams-Reeves"/>
    <s v="Cigna"/>
    <n v="7971.3156463714304"/>
    <n v="227"/>
    <x v="0"/>
    <d v="2022-06-24T00:00:00"/>
    <x v="0"/>
    <x v="0"/>
    <n v="24"/>
  </r>
  <r>
    <s v="Theresa Mendoza"/>
    <x v="2"/>
    <n v="46"/>
    <x v="0"/>
    <s v="A+"/>
    <x v="1"/>
    <d v="2023-03-03T00:00:00"/>
    <s v="Wendy Galloway"/>
    <s v="Wood-Krause"/>
    <s v="Aetna"/>
    <n v="1996.3107212810501"/>
    <n v="469"/>
    <x v="2"/>
    <d v="2023-03-05T00:00:00"/>
    <x v="0"/>
    <x v="0"/>
    <n v="2"/>
  </r>
  <r>
    <s v="Theresa Woodard"/>
    <x v="0"/>
    <n v="84"/>
    <x v="0"/>
    <s v="O+"/>
    <x v="1"/>
    <d v="2022-09-27T00:00:00"/>
    <s v="Carol Park"/>
    <s v="Olsen-Morrison"/>
    <s v="Blue Cross"/>
    <n v="32934.472752273403"/>
    <n v="357"/>
    <x v="0"/>
    <d v="2022-10-26T00:00:00"/>
    <x v="1"/>
    <x v="2"/>
    <n v="29"/>
  </r>
  <r>
    <s v="Thomas Brown"/>
    <x v="4"/>
    <n v="64"/>
    <x v="0"/>
    <s v="AB+"/>
    <x v="1"/>
    <d v="2018-11-01T00:00:00"/>
    <s v="Travis Davidson"/>
    <s v="Young, Hicks and Garrett"/>
    <s v="Medicare"/>
    <n v="29563.971418990299"/>
    <n v="232"/>
    <x v="2"/>
    <d v="2018-11-05T00:00:00"/>
    <x v="4"/>
    <x v="1"/>
    <n v="4"/>
  </r>
  <r>
    <s v="Timothy Hernandez"/>
    <x v="5"/>
    <n v="39"/>
    <x v="0"/>
    <s v="O-"/>
    <x v="1"/>
    <d v="2021-05-13T00:00:00"/>
    <s v="Anna Mclean"/>
    <s v="Silva and Sons"/>
    <s v="Medicare"/>
    <n v="35921.2499751328"/>
    <n v="312"/>
    <x v="0"/>
    <d v="2021-05-20T00:00:00"/>
    <x v="0"/>
    <x v="1"/>
    <n v="7"/>
  </r>
  <r>
    <s v="Timothy Lynch"/>
    <x v="4"/>
    <n v="60"/>
    <x v="1"/>
    <s v="A+"/>
    <x v="1"/>
    <d v="2021-05-24T00:00:00"/>
    <s v="Latoya Knapp"/>
    <s v="Silva-Stephenson"/>
    <s v="Medicare"/>
    <n v="19286.4818152915"/>
    <n v="456"/>
    <x v="0"/>
    <d v="2021-06-21T00:00:00"/>
    <x v="1"/>
    <x v="1"/>
    <n v="28"/>
  </r>
  <r>
    <s v="Timothy Melton"/>
    <x v="1"/>
    <n v="22"/>
    <x v="1"/>
    <s v="A-"/>
    <x v="1"/>
    <d v="2021-10-02T00:00:00"/>
    <s v="Dawn Waller"/>
    <s v="Miller Ltd"/>
    <s v="Blue Cross"/>
    <n v="8487.4387121098098"/>
    <n v="497"/>
    <x v="0"/>
    <d v="2021-10-15T00:00:00"/>
    <x v="1"/>
    <x v="0"/>
    <n v="13"/>
  </r>
  <r>
    <s v="Timothy Wu"/>
    <x v="6"/>
    <n v="68"/>
    <x v="0"/>
    <s v="B-"/>
    <x v="1"/>
    <d v="2020-03-02T00:00:00"/>
    <s v="Kenneth Nunez"/>
    <s v="Jones-Dillon"/>
    <s v="Blue Cross"/>
    <n v="16887.3025338394"/>
    <n v="340"/>
    <x v="2"/>
    <d v="2020-03-20T00:00:00"/>
    <x v="0"/>
    <x v="0"/>
    <n v="18"/>
  </r>
  <r>
    <s v="Todd Hernandez"/>
    <x v="1"/>
    <n v="24"/>
    <x v="1"/>
    <s v="AB-"/>
    <x v="1"/>
    <d v="2022-11-03T00:00:00"/>
    <s v="Pamela Patel"/>
    <s v="Olson-Cooper"/>
    <s v="Blue Cross"/>
    <n v="19760.568704282799"/>
    <n v="347"/>
    <x v="0"/>
    <d v="2022-11-09T00:00:00"/>
    <x v="3"/>
    <x v="2"/>
    <n v="6"/>
  </r>
  <r>
    <s v="Victoria Dunn"/>
    <x v="3"/>
    <n v="34"/>
    <x v="0"/>
    <s v="AB+"/>
    <x v="1"/>
    <d v="2018-12-23T00:00:00"/>
    <s v="Allison Bond"/>
    <s v="Mendoza, Mccann and Rodriguez"/>
    <s v="Cigna"/>
    <n v="45391.284642001199"/>
    <n v="398"/>
    <x v="2"/>
    <d v="2019-01-13T00:00:00"/>
    <x v="4"/>
    <x v="1"/>
    <n v="21"/>
  </r>
  <r>
    <s v="Abigail Mitchell"/>
    <x v="5"/>
    <n v="39"/>
    <x v="0"/>
    <s v="O-"/>
    <x v="2"/>
    <d v="2020-10-03T00:00:00"/>
    <s v="Cory Campbell"/>
    <s v="Cooper-Diaz"/>
    <s v="Blue Cross"/>
    <n v="23327.642713751"/>
    <n v="121"/>
    <x v="1"/>
    <d v="2020-10-18T00:00:00"/>
    <x v="3"/>
    <x v="1"/>
    <n v="15"/>
  </r>
  <r>
    <s v="Alfred Johnson"/>
    <x v="1"/>
    <n v="18"/>
    <x v="1"/>
    <s v="O-"/>
    <x v="2"/>
    <d v="2018-11-20T00:00:00"/>
    <s v="Norman Williams"/>
    <s v="Flores-Key"/>
    <s v="Cigna"/>
    <n v="22964.5130258465"/>
    <n v="142"/>
    <x v="2"/>
    <d v="2018-12-07T00:00:00"/>
    <x v="2"/>
    <x v="1"/>
    <n v="17"/>
  </r>
  <r>
    <s v="Alicia Evans"/>
    <x v="2"/>
    <n v="50"/>
    <x v="0"/>
    <s v="A-"/>
    <x v="2"/>
    <d v="2018-12-05T00:00:00"/>
    <s v="Russell Smith"/>
    <s v="Morris, Bowman and Nelson"/>
    <s v="Blue Cross"/>
    <n v="3240.3099231891301"/>
    <n v="310"/>
    <x v="2"/>
    <d v="2018-12-12T00:00:00"/>
    <x v="0"/>
    <x v="0"/>
    <n v="7"/>
  </r>
  <r>
    <s v="Amanda Ortiz"/>
    <x v="3"/>
    <n v="35"/>
    <x v="1"/>
    <s v="A+"/>
    <x v="2"/>
    <d v="2019-06-30T00:00:00"/>
    <s v="John Chavez MD"/>
    <s v="Miller Ltd"/>
    <s v="Aetna"/>
    <n v="47452.4418761653"/>
    <n v="141"/>
    <x v="2"/>
    <d v="2019-07-20T00:00:00"/>
    <x v="4"/>
    <x v="2"/>
    <n v="20"/>
  </r>
  <r>
    <s v="Amanda Smith MD"/>
    <x v="1"/>
    <n v="19"/>
    <x v="1"/>
    <s v="O-"/>
    <x v="2"/>
    <d v="2019-02-02T00:00:00"/>
    <s v="Karen Cox"/>
    <s v="Dominguez-Nelson"/>
    <s v="Blue Cross"/>
    <n v="36439.078449532302"/>
    <n v="303"/>
    <x v="1"/>
    <d v="2019-02-05T00:00:00"/>
    <x v="4"/>
    <x v="2"/>
    <n v="3"/>
  </r>
  <r>
    <s v="Amber Foley"/>
    <x v="5"/>
    <n v="42"/>
    <x v="0"/>
    <s v="O+"/>
    <x v="2"/>
    <d v="2020-06-28T00:00:00"/>
    <s v="Amber Jennings"/>
    <s v="Nichols Ltd"/>
    <s v="Medicare"/>
    <n v="33771.617147745201"/>
    <n v="292"/>
    <x v="0"/>
    <d v="2020-07-23T00:00:00"/>
    <x v="0"/>
    <x v="1"/>
    <n v="25"/>
  </r>
  <r>
    <s v="Amy Bowman"/>
    <x v="0"/>
    <n v="79"/>
    <x v="0"/>
    <s v="B+"/>
    <x v="2"/>
    <d v="2019-01-01T00:00:00"/>
    <s v="Brittany Lewis"/>
    <s v="Martin, Marshall and Willis"/>
    <s v="Cigna"/>
    <n v="8476.7408719127907"/>
    <n v="262"/>
    <x v="2"/>
    <d v="2019-01-24T00:00:00"/>
    <x v="3"/>
    <x v="1"/>
    <n v="23"/>
  </r>
  <r>
    <s v="Amy Keller"/>
    <x v="0"/>
    <n v="77"/>
    <x v="0"/>
    <s v="O-"/>
    <x v="2"/>
    <d v="2022-02-27T00:00:00"/>
    <s v="Laurie Floyd"/>
    <s v="Reyes and Sons"/>
    <s v="Cigna"/>
    <n v="39008.290881766799"/>
    <n v="231"/>
    <x v="1"/>
    <d v="2022-03-23T00:00:00"/>
    <x v="1"/>
    <x v="2"/>
    <n v="24"/>
  </r>
  <r>
    <s v="Amy Roberts"/>
    <x v="5"/>
    <n v="45"/>
    <x v="1"/>
    <s v="B-"/>
    <x v="2"/>
    <d v="2021-04-13T00:00:00"/>
    <s v="Anthony Roberts"/>
    <s v="Little-Spencer"/>
    <s v="Aetna"/>
    <n v="40325.071393983002"/>
    <n v="306"/>
    <x v="1"/>
    <d v="2021-05-11T00:00:00"/>
    <x v="0"/>
    <x v="2"/>
    <n v="28"/>
  </r>
  <r>
    <s v="Angela Beard"/>
    <x v="5"/>
    <n v="37"/>
    <x v="1"/>
    <s v="AB+"/>
    <x v="2"/>
    <d v="2021-03-28T00:00:00"/>
    <s v="Colleen Velazquez"/>
    <s v="Tanner-Stanton"/>
    <s v="Medicare"/>
    <n v="25146.9666533932"/>
    <n v="148"/>
    <x v="1"/>
    <d v="2021-04-04T00:00:00"/>
    <x v="4"/>
    <x v="1"/>
    <n v="7"/>
  </r>
  <r>
    <s v="Angela Garcia"/>
    <x v="1"/>
    <n v="23"/>
    <x v="1"/>
    <s v="B+"/>
    <x v="2"/>
    <d v="2019-09-11T00:00:00"/>
    <s v="Christopher Flores"/>
    <s v="Russell-Rubio"/>
    <s v="Blue Cross"/>
    <n v="31600.772077491099"/>
    <n v="237"/>
    <x v="1"/>
    <d v="2019-09-21T00:00:00"/>
    <x v="4"/>
    <x v="1"/>
    <n v="10"/>
  </r>
  <r>
    <s v="Angela Taylor"/>
    <x v="0"/>
    <n v="81"/>
    <x v="1"/>
    <s v="O+"/>
    <x v="2"/>
    <d v="2023-03-23T00:00:00"/>
    <s v="Kimberly Henry"/>
    <s v="Yoder Inc"/>
    <s v="Cigna"/>
    <n v="28751.332434017"/>
    <n v="326"/>
    <x v="1"/>
    <d v="2023-04-18T00:00:00"/>
    <x v="1"/>
    <x v="1"/>
    <n v="26"/>
  </r>
  <r>
    <s v="Anthony Brown"/>
    <x v="4"/>
    <n v="62"/>
    <x v="1"/>
    <s v="B-"/>
    <x v="2"/>
    <d v="2019-12-30T00:00:00"/>
    <s v="Joseph Park"/>
    <s v="Olsen-Johnson"/>
    <s v="Blue Cross"/>
    <n v="33571.516571357999"/>
    <n v="178"/>
    <x v="2"/>
    <d v="2020-01-07T00:00:00"/>
    <x v="4"/>
    <x v="0"/>
    <n v="8"/>
  </r>
  <r>
    <s v="Bernard Gibbs"/>
    <x v="1"/>
    <n v="20"/>
    <x v="0"/>
    <s v="A+"/>
    <x v="2"/>
    <d v="2021-06-09T00:00:00"/>
    <s v="Ronald Chen"/>
    <s v="Harrison-Tanner"/>
    <s v="UnitedHealthcare"/>
    <n v="30217.251132772199"/>
    <n v="295"/>
    <x v="1"/>
    <d v="2021-06-28T00:00:00"/>
    <x v="2"/>
    <x v="1"/>
    <n v="19"/>
  </r>
  <r>
    <s v="Brett Montoya"/>
    <x v="4"/>
    <n v="59"/>
    <x v="0"/>
    <s v="AB+"/>
    <x v="2"/>
    <d v="2022-07-24T00:00:00"/>
    <s v="Julia Perez"/>
    <s v="Brooks, Williams and Long"/>
    <s v="Cigna"/>
    <n v="5061.5932847128397"/>
    <n v="249"/>
    <x v="1"/>
    <d v="2022-07-28T00:00:00"/>
    <x v="1"/>
    <x v="1"/>
    <n v="4"/>
  </r>
  <r>
    <s v="Brian Foster"/>
    <x v="2"/>
    <n v="55"/>
    <x v="1"/>
    <s v="A-"/>
    <x v="2"/>
    <d v="2020-09-19T00:00:00"/>
    <s v="James Garcia"/>
    <s v="Rodriguez, Ellis and Young"/>
    <s v="Blue Cross"/>
    <n v="26442.3587502392"/>
    <n v="442"/>
    <x v="1"/>
    <d v="2020-10-18T00:00:00"/>
    <x v="4"/>
    <x v="2"/>
    <n v="29"/>
  </r>
  <r>
    <s v="Bryan Moyer"/>
    <x v="4"/>
    <n v="57"/>
    <x v="1"/>
    <s v="B-"/>
    <x v="2"/>
    <d v="2020-01-09T00:00:00"/>
    <s v="Nicole George"/>
    <s v="Henderson, Arias and Snyder"/>
    <s v="UnitedHealthcare"/>
    <n v="6098.4602764132096"/>
    <n v="372"/>
    <x v="2"/>
    <d v="2020-01-17T00:00:00"/>
    <x v="4"/>
    <x v="1"/>
    <n v="8"/>
  </r>
  <r>
    <s v="Charles Simmons"/>
    <x v="4"/>
    <n v="57"/>
    <x v="0"/>
    <s v="AB+"/>
    <x v="2"/>
    <d v="2023-05-19T00:00:00"/>
    <s v="Lindsey Gentry"/>
    <s v="Munoz, Sanchez and Adams"/>
    <s v="Aetna"/>
    <n v="46161.707930600001"/>
    <n v="278"/>
    <x v="0"/>
    <d v="2023-06-13T00:00:00"/>
    <x v="0"/>
    <x v="2"/>
    <n v="25"/>
  </r>
  <r>
    <s v="Charles Singleton"/>
    <x v="4"/>
    <n v="61"/>
    <x v="0"/>
    <s v="AB-"/>
    <x v="2"/>
    <d v="2020-01-03T00:00:00"/>
    <s v="Philip Torres"/>
    <s v="Cline, Murphy and Stevens"/>
    <s v="Blue Cross"/>
    <n v="45434.409732783599"/>
    <n v="230"/>
    <x v="2"/>
    <d v="2020-01-30T00:00:00"/>
    <x v="4"/>
    <x v="2"/>
    <n v="27"/>
  </r>
  <r>
    <s v="Charles Wade"/>
    <x v="3"/>
    <n v="33"/>
    <x v="1"/>
    <s v="O-"/>
    <x v="2"/>
    <d v="2023-10-24T00:00:00"/>
    <s v="Kathy Walker"/>
    <s v="Reyes, May and Smith"/>
    <s v="UnitedHealthcare"/>
    <n v="41787.188127198096"/>
    <n v="474"/>
    <x v="2"/>
    <d v="2023-10-27T00:00:00"/>
    <x v="3"/>
    <x v="2"/>
    <n v="3"/>
  </r>
  <r>
    <s v="Chase Mooney"/>
    <x v="5"/>
    <n v="44"/>
    <x v="1"/>
    <s v="O-"/>
    <x v="2"/>
    <d v="2019-09-14T00:00:00"/>
    <s v="Theresa Santana"/>
    <s v="Lopez PLC"/>
    <s v="UnitedHealthcare"/>
    <n v="46304.035954818697"/>
    <n v="230"/>
    <x v="0"/>
    <d v="2019-09-25T00:00:00"/>
    <x v="0"/>
    <x v="1"/>
    <n v="11"/>
  </r>
  <r>
    <s v="Cheryl Mcgee"/>
    <x v="0"/>
    <n v="78"/>
    <x v="1"/>
    <s v="B+"/>
    <x v="2"/>
    <d v="2021-05-07T00:00:00"/>
    <s v="Tina Stevenson"/>
    <s v="Rodriguez LLC"/>
    <s v="Cigna"/>
    <n v="29272.274469788201"/>
    <n v="153"/>
    <x v="1"/>
    <d v="2021-05-19T00:00:00"/>
    <x v="0"/>
    <x v="0"/>
    <n v="12"/>
  </r>
  <r>
    <s v="Cheryl Thomas"/>
    <x v="6"/>
    <n v="68"/>
    <x v="1"/>
    <s v="AB-"/>
    <x v="2"/>
    <d v="2023-03-29T00:00:00"/>
    <s v="Duane Lane"/>
    <s v="Chen-Patterson"/>
    <s v="Medicare"/>
    <n v="46231.7325101553"/>
    <n v="153"/>
    <x v="1"/>
    <d v="2023-04-26T00:00:00"/>
    <x v="2"/>
    <x v="1"/>
    <n v="28"/>
  </r>
  <r>
    <s v="Christian Guerrero"/>
    <x v="1"/>
    <n v="20"/>
    <x v="1"/>
    <s v="B+"/>
    <x v="2"/>
    <d v="2023-07-03T00:00:00"/>
    <s v="Catherine Russell"/>
    <s v="Berry, Stone and Wood"/>
    <s v="Blue Cross"/>
    <n v="33776.799588303998"/>
    <n v="484"/>
    <x v="2"/>
    <d v="2023-07-19T00:00:00"/>
    <x v="3"/>
    <x v="0"/>
    <n v="16"/>
  </r>
  <r>
    <s v="Christopher Barron"/>
    <x v="5"/>
    <n v="41"/>
    <x v="1"/>
    <s v="O-"/>
    <x v="2"/>
    <d v="2021-11-25T00:00:00"/>
    <s v="Jennifer Wade"/>
    <s v="Young, Martin and Johnson"/>
    <s v="Aetna"/>
    <n v="11272.0877660565"/>
    <n v="349"/>
    <x v="2"/>
    <d v="2021-12-04T00:00:00"/>
    <x v="3"/>
    <x v="1"/>
    <n v="9"/>
  </r>
  <r>
    <s v="Christopher Gilbert"/>
    <x v="1"/>
    <n v="20"/>
    <x v="1"/>
    <s v="AB+"/>
    <x v="2"/>
    <d v="2020-08-20T00:00:00"/>
    <s v="Nicholas Glover"/>
    <s v="Rodgers-Walker"/>
    <s v="UnitedHealthcare"/>
    <n v="13962.4277750975"/>
    <n v="409"/>
    <x v="2"/>
    <d v="2020-09-14T00:00:00"/>
    <x v="4"/>
    <x v="0"/>
    <n v="25"/>
  </r>
  <r>
    <s v="Christopher Martin"/>
    <x v="0"/>
    <n v="81"/>
    <x v="0"/>
    <s v="B+"/>
    <x v="2"/>
    <d v="2020-01-30T00:00:00"/>
    <s v="Aaron Padilla"/>
    <s v="Johnson, Cook and Morris"/>
    <s v="Cigna"/>
    <n v="4002.8241565255998"/>
    <n v="425"/>
    <x v="2"/>
    <d v="2020-02-01T00:00:00"/>
    <x v="3"/>
    <x v="0"/>
    <n v="2"/>
  </r>
  <r>
    <s v="Corey Cruz"/>
    <x v="2"/>
    <n v="55"/>
    <x v="1"/>
    <s v="A+"/>
    <x v="2"/>
    <d v="2019-08-09T00:00:00"/>
    <s v="Wendy King"/>
    <s v="Martinez PLC"/>
    <s v="UnitedHealthcare"/>
    <n v="36906.240483643101"/>
    <n v="417"/>
    <x v="2"/>
    <d v="2019-08-28T00:00:00"/>
    <x v="0"/>
    <x v="2"/>
    <n v="19"/>
  </r>
  <r>
    <s v="Cory Miller"/>
    <x v="5"/>
    <n v="40"/>
    <x v="0"/>
    <s v="AB-"/>
    <x v="2"/>
    <d v="2020-10-29T00:00:00"/>
    <s v="Alyssa Collins"/>
    <s v="Aguilar-Lambert"/>
    <s v="Cigna"/>
    <n v="46133.541648337399"/>
    <n v="325"/>
    <x v="0"/>
    <d v="2020-11-08T00:00:00"/>
    <x v="1"/>
    <x v="0"/>
    <n v="10"/>
  </r>
  <r>
    <s v="Crystal Allen"/>
    <x v="0"/>
    <n v="77"/>
    <x v="0"/>
    <s v="B-"/>
    <x v="2"/>
    <d v="2023-05-09T00:00:00"/>
    <s v="John Duncan"/>
    <s v="Gonzalez, Shepherd and Jacobs"/>
    <s v="Cigna"/>
    <n v="28265.168342965098"/>
    <n v="119"/>
    <x v="2"/>
    <d v="2023-06-06T00:00:00"/>
    <x v="1"/>
    <x v="1"/>
    <n v="28"/>
  </r>
  <r>
    <s v="Crystal Green"/>
    <x v="6"/>
    <n v="72"/>
    <x v="1"/>
    <s v="AB-"/>
    <x v="2"/>
    <d v="2019-03-09T00:00:00"/>
    <s v="George Jones"/>
    <s v="Jordan-Lawson"/>
    <s v="UnitedHealthcare"/>
    <n v="9221.5702656110097"/>
    <n v="415"/>
    <x v="0"/>
    <d v="2019-03-16T00:00:00"/>
    <x v="0"/>
    <x v="2"/>
    <n v="7"/>
  </r>
  <r>
    <s v="Crystal Smith"/>
    <x v="2"/>
    <n v="53"/>
    <x v="1"/>
    <s v="AB+"/>
    <x v="2"/>
    <d v="2020-07-18T00:00:00"/>
    <s v="Sarah Williams"/>
    <s v="Casey, Jefferson and Carlson"/>
    <s v="Blue Cross"/>
    <n v="15622.6936871907"/>
    <n v="485"/>
    <x v="0"/>
    <d v="2020-07-22T00:00:00"/>
    <x v="1"/>
    <x v="2"/>
    <n v="4"/>
  </r>
  <r>
    <s v="Cynthia Patterson"/>
    <x v="5"/>
    <n v="42"/>
    <x v="0"/>
    <s v="B-"/>
    <x v="2"/>
    <d v="2020-01-02T00:00:00"/>
    <s v="Dr. Sean Russell"/>
    <s v="Johnson Ltd"/>
    <s v="Medicare"/>
    <n v="26419.324812573901"/>
    <n v="483"/>
    <x v="1"/>
    <d v="2020-01-30T00:00:00"/>
    <x v="1"/>
    <x v="0"/>
    <n v="28"/>
  </r>
  <r>
    <s v="Cynthia Stanton"/>
    <x v="1"/>
    <n v="21"/>
    <x v="1"/>
    <s v="A+"/>
    <x v="2"/>
    <d v="2021-12-28T00:00:00"/>
    <s v="Sara Watts"/>
    <s v="Gray, Andersen and Williams"/>
    <s v="Cigna"/>
    <n v="44935.269696984702"/>
    <n v="439"/>
    <x v="1"/>
    <d v="2022-01-09T00:00:00"/>
    <x v="4"/>
    <x v="2"/>
    <n v="12"/>
  </r>
  <r>
    <s v="Daniel Barajas"/>
    <x v="2"/>
    <n v="52"/>
    <x v="1"/>
    <s v="AB+"/>
    <x v="2"/>
    <d v="2022-10-29T00:00:00"/>
    <s v="Mr. Mark Nguyen"/>
    <s v="Casey-Thomas"/>
    <s v="Aetna"/>
    <n v="35327.496805934599"/>
    <n v="187"/>
    <x v="0"/>
    <d v="2022-11-05T00:00:00"/>
    <x v="0"/>
    <x v="2"/>
    <n v="7"/>
  </r>
  <r>
    <s v="Daniel Kline"/>
    <x v="1"/>
    <n v="23"/>
    <x v="1"/>
    <s v="AB+"/>
    <x v="2"/>
    <d v="2019-09-29T00:00:00"/>
    <s v="Monica Peters"/>
    <s v="Schmidt Ltd"/>
    <s v="UnitedHealthcare"/>
    <n v="6849.0152740529902"/>
    <n v="110"/>
    <x v="2"/>
    <d v="2019-10-24T00:00:00"/>
    <x v="3"/>
    <x v="0"/>
    <n v="25"/>
  </r>
  <r>
    <s v="Daniel Mayo"/>
    <x v="2"/>
    <n v="52"/>
    <x v="1"/>
    <s v="O-"/>
    <x v="2"/>
    <d v="2019-06-25T00:00:00"/>
    <s v="William Hart"/>
    <s v="Huber, Todd and Martin"/>
    <s v="Blue Cross"/>
    <n v="16520.401042826099"/>
    <n v="454"/>
    <x v="1"/>
    <d v="2019-07-06T00:00:00"/>
    <x v="2"/>
    <x v="2"/>
    <n v="11"/>
  </r>
  <r>
    <s v="Danielle Rice"/>
    <x v="2"/>
    <n v="55"/>
    <x v="1"/>
    <s v="AB-"/>
    <x v="2"/>
    <d v="2019-03-04T00:00:00"/>
    <s v="Ryan Wilkins"/>
    <s v="Dean, Duncan and Lamb"/>
    <s v="UnitedHealthcare"/>
    <n v="23907.335315170301"/>
    <n v="247"/>
    <x v="0"/>
    <d v="2019-03-24T00:00:00"/>
    <x v="0"/>
    <x v="0"/>
    <n v="20"/>
  </r>
  <r>
    <s v="David Boyd"/>
    <x v="5"/>
    <n v="41"/>
    <x v="0"/>
    <s v="AB-"/>
    <x v="2"/>
    <d v="2021-03-07T00:00:00"/>
    <s v="Kyle Miller"/>
    <s v="Caldwell, Patton and Scott"/>
    <s v="Medicare"/>
    <n v="4890.9526970876605"/>
    <n v="355"/>
    <x v="1"/>
    <d v="2021-04-05T00:00:00"/>
    <x v="0"/>
    <x v="2"/>
    <n v="29"/>
  </r>
  <r>
    <s v="David Casey"/>
    <x v="1"/>
    <n v="24"/>
    <x v="1"/>
    <s v="B-"/>
    <x v="2"/>
    <d v="2022-02-01T00:00:00"/>
    <s v="Jason Little"/>
    <s v="Hernandez, Ramos and Gutierrez"/>
    <s v="Aetna"/>
    <n v="25926.948542070601"/>
    <n v="394"/>
    <x v="0"/>
    <d v="2022-02-15T00:00:00"/>
    <x v="3"/>
    <x v="1"/>
    <n v="14"/>
  </r>
  <r>
    <s v="David Harding"/>
    <x v="2"/>
    <n v="54"/>
    <x v="1"/>
    <s v="O+"/>
    <x v="2"/>
    <d v="2019-11-15T00:00:00"/>
    <s v="Sheri Ramirez"/>
    <s v="Young Group"/>
    <s v="Aetna"/>
    <n v="41708.409184186799"/>
    <n v="193"/>
    <x v="2"/>
    <d v="2019-12-12T00:00:00"/>
    <x v="1"/>
    <x v="1"/>
    <n v="27"/>
  </r>
  <r>
    <s v="David Hines"/>
    <x v="4"/>
    <n v="57"/>
    <x v="1"/>
    <s v="B-"/>
    <x v="2"/>
    <d v="2020-06-14T00:00:00"/>
    <s v="Wendy Hooper"/>
    <s v="Gay, Ortiz and Smith"/>
    <s v="Aetna"/>
    <n v="18524.743950500499"/>
    <n v="115"/>
    <x v="0"/>
    <d v="2020-06-28T00:00:00"/>
    <x v="1"/>
    <x v="1"/>
    <n v="14"/>
  </r>
  <r>
    <s v="David Reed"/>
    <x v="5"/>
    <n v="41"/>
    <x v="1"/>
    <s v="AB-"/>
    <x v="2"/>
    <d v="2023-05-17T00:00:00"/>
    <s v="Alex Sutton"/>
    <s v="Johnson, Carlson and Pratt"/>
    <s v="UnitedHealthcare"/>
    <n v="39086.987872830097"/>
    <n v="472"/>
    <x v="1"/>
    <d v="2023-05-23T00:00:00"/>
    <x v="1"/>
    <x v="1"/>
    <n v="6"/>
  </r>
  <r>
    <s v="David Wright"/>
    <x v="1"/>
    <n v="18"/>
    <x v="0"/>
    <s v="O-"/>
    <x v="2"/>
    <d v="2020-02-03T00:00:00"/>
    <s v="James Copeland"/>
    <s v="Stevens, Dawson and Davenport"/>
    <s v="Medicare"/>
    <n v="39174.539019406402"/>
    <n v="434"/>
    <x v="2"/>
    <d v="2020-02-28T00:00:00"/>
    <x v="4"/>
    <x v="2"/>
    <n v="25"/>
  </r>
  <r>
    <s v="Deanna Stone"/>
    <x v="0"/>
    <n v="84"/>
    <x v="0"/>
    <s v="AB-"/>
    <x v="2"/>
    <d v="2018-11-07T00:00:00"/>
    <s v="Jessica Jackson"/>
    <s v="Parker-Higgins"/>
    <s v="Cigna"/>
    <n v="11504.2435255"/>
    <n v="304"/>
    <x v="1"/>
    <d v="2018-11-17T00:00:00"/>
    <x v="4"/>
    <x v="2"/>
    <n v="10"/>
  </r>
  <r>
    <s v="Deborah Perry"/>
    <x v="4"/>
    <n v="59"/>
    <x v="0"/>
    <s v="B+"/>
    <x v="2"/>
    <d v="2022-05-27T00:00:00"/>
    <s v="Sandra Cross"/>
    <s v="Santiago-Moon"/>
    <s v="Blue Cross"/>
    <n v="26655.7709973124"/>
    <n v="405"/>
    <x v="1"/>
    <d v="2022-06-18T00:00:00"/>
    <x v="0"/>
    <x v="2"/>
    <n v="22"/>
  </r>
  <r>
    <s v="Donald Holden"/>
    <x v="0"/>
    <n v="77"/>
    <x v="1"/>
    <s v="A-"/>
    <x v="2"/>
    <d v="2020-07-30T00:00:00"/>
    <s v="Justin Carter"/>
    <s v="Henry LLC"/>
    <s v="Blue Cross"/>
    <n v="1769.4794225964399"/>
    <n v="344"/>
    <x v="2"/>
    <d v="2020-08-04T00:00:00"/>
    <x v="2"/>
    <x v="2"/>
    <n v="5"/>
  </r>
  <r>
    <s v="Drew Edwards"/>
    <x v="2"/>
    <n v="47"/>
    <x v="0"/>
    <s v="A-"/>
    <x v="2"/>
    <d v="2021-06-17T00:00:00"/>
    <s v="Nathaniel White"/>
    <s v="Oliver, Perez and Thomas"/>
    <s v="Aetna"/>
    <n v="30137.596269944999"/>
    <n v="196"/>
    <x v="1"/>
    <d v="2021-07-04T00:00:00"/>
    <x v="4"/>
    <x v="1"/>
    <n v="17"/>
  </r>
  <r>
    <s v="Dylan Mcknight"/>
    <x v="2"/>
    <n v="47"/>
    <x v="1"/>
    <s v="B-"/>
    <x v="2"/>
    <d v="2019-06-14T00:00:00"/>
    <s v="Ashley Edwards"/>
    <s v="Johnson, Brewer and Hudson"/>
    <s v="Medicare"/>
    <n v="10705.098399640699"/>
    <n v="437"/>
    <x v="1"/>
    <d v="2019-07-13T00:00:00"/>
    <x v="0"/>
    <x v="0"/>
    <n v="29"/>
  </r>
  <r>
    <s v="Eduardo Davidson"/>
    <x v="1"/>
    <n v="20"/>
    <x v="1"/>
    <s v="A+"/>
    <x v="2"/>
    <d v="2021-05-06T00:00:00"/>
    <s v="Tricia Mcclure"/>
    <s v="Murphy-Edwards"/>
    <s v="Blue Cross"/>
    <n v="9731.39531830136"/>
    <n v="109"/>
    <x v="0"/>
    <d v="2021-05-13T00:00:00"/>
    <x v="2"/>
    <x v="0"/>
    <n v="7"/>
  </r>
  <r>
    <s v="Elizabeth Sullivan"/>
    <x v="5"/>
    <n v="45"/>
    <x v="1"/>
    <s v="A-"/>
    <x v="2"/>
    <d v="2021-12-12T00:00:00"/>
    <s v="Lee Evans"/>
    <s v="Tran-Morris"/>
    <s v="Medicare"/>
    <n v="30845.782022184401"/>
    <n v="252"/>
    <x v="0"/>
    <d v="2021-12-18T00:00:00"/>
    <x v="3"/>
    <x v="0"/>
    <n v="6"/>
  </r>
  <r>
    <s v="Eric Price"/>
    <x v="2"/>
    <n v="55"/>
    <x v="0"/>
    <s v="AB+"/>
    <x v="2"/>
    <d v="2020-11-24T00:00:00"/>
    <s v="Renee Brown"/>
    <s v="Silva Group"/>
    <s v="Blue Cross"/>
    <n v="31359.518931029099"/>
    <n v="262"/>
    <x v="2"/>
    <d v="2020-12-17T00:00:00"/>
    <x v="0"/>
    <x v="2"/>
    <n v="23"/>
  </r>
  <r>
    <s v="Erica Santos"/>
    <x v="5"/>
    <n v="41"/>
    <x v="1"/>
    <s v="B-"/>
    <x v="2"/>
    <d v="2023-06-10T00:00:00"/>
    <s v="Donna Vasquez"/>
    <s v="Snyder PLC"/>
    <s v="Blue Cross"/>
    <n v="23360.658613186599"/>
    <n v="460"/>
    <x v="0"/>
    <d v="2023-07-01T00:00:00"/>
    <x v="0"/>
    <x v="0"/>
    <n v="21"/>
  </r>
  <r>
    <s v="Erik Wood"/>
    <x v="0"/>
    <n v="84"/>
    <x v="1"/>
    <s v="O+"/>
    <x v="2"/>
    <d v="2023-04-11T00:00:00"/>
    <s v="Lori Horton"/>
    <s v="Moore Ltd"/>
    <s v="UnitedHealthcare"/>
    <n v="19037.819963447098"/>
    <n v="203"/>
    <x v="2"/>
    <d v="2023-05-09T00:00:00"/>
    <x v="0"/>
    <x v="2"/>
    <n v="28"/>
  </r>
  <r>
    <s v="Erin Baldwin"/>
    <x v="5"/>
    <n v="36"/>
    <x v="0"/>
    <s v="AB-"/>
    <x v="2"/>
    <d v="2022-03-21T00:00:00"/>
    <s v="Richard Rhodes"/>
    <s v="Craig Group"/>
    <s v="Blue Cross"/>
    <n v="11523.996974043799"/>
    <n v="319"/>
    <x v="2"/>
    <d v="2022-03-27T00:00:00"/>
    <x v="1"/>
    <x v="1"/>
    <n v="6"/>
  </r>
  <r>
    <s v="Felicia Rodriguez"/>
    <x v="4"/>
    <n v="57"/>
    <x v="0"/>
    <s v="AB+"/>
    <x v="2"/>
    <d v="2022-06-17T00:00:00"/>
    <s v="Misty Lopez"/>
    <s v="Martin and Sons"/>
    <s v="Blue Cross"/>
    <n v="10159.6708344095"/>
    <n v="221"/>
    <x v="2"/>
    <d v="2022-07-04T00:00:00"/>
    <x v="0"/>
    <x v="0"/>
    <n v="17"/>
  </r>
  <r>
    <s v="Francisco Ritter"/>
    <x v="0"/>
    <n v="78"/>
    <x v="1"/>
    <s v="O+"/>
    <x v="2"/>
    <d v="2020-12-31T00:00:00"/>
    <s v="Karen Nelson"/>
    <s v="Lewis-Boone"/>
    <s v="Blue Cross"/>
    <n v="43547.772222266904"/>
    <n v="134"/>
    <x v="2"/>
    <d v="2021-01-06T00:00:00"/>
    <x v="4"/>
    <x v="2"/>
    <n v="6"/>
  </r>
  <r>
    <s v="Frederick Salazar"/>
    <x v="1"/>
    <n v="21"/>
    <x v="0"/>
    <s v="B+"/>
    <x v="2"/>
    <d v="2021-11-27T00:00:00"/>
    <s v="Richard Shaw"/>
    <s v="Finley-Bradley"/>
    <s v="Cigna"/>
    <n v="39323.851303983"/>
    <n v="309"/>
    <x v="1"/>
    <d v="2021-12-11T00:00:00"/>
    <x v="0"/>
    <x v="0"/>
    <n v="14"/>
  </r>
  <r>
    <s v="Gabrielle Russell"/>
    <x v="6"/>
    <n v="68"/>
    <x v="1"/>
    <s v="AB+"/>
    <x v="2"/>
    <d v="2020-02-29T00:00:00"/>
    <s v="Tina Rogers"/>
    <s v="Berry-Gallagher"/>
    <s v="Medicare"/>
    <n v="2628.9478199845598"/>
    <n v="380"/>
    <x v="1"/>
    <d v="2020-03-12T00:00:00"/>
    <x v="2"/>
    <x v="1"/>
    <n v="12"/>
  </r>
  <r>
    <s v="Gail Harris"/>
    <x v="5"/>
    <n v="36"/>
    <x v="1"/>
    <s v="B-"/>
    <x v="2"/>
    <d v="2022-09-30T00:00:00"/>
    <s v="Joshua Harris"/>
    <s v="Liu-Hunt"/>
    <s v="UnitedHealthcare"/>
    <n v="49565.021330192903"/>
    <n v="125"/>
    <x v="2"/>
    <d v="2022-10-18T00:00:00"/>
    <x v="4"/>
    <x v="2"/>
    <n v="18"/>
  </r>
  <r>
    <s v="Harry Johns"/>
    <x v="6"/>
    <n v="72"/>
    <x v="1"/>
    <s v="A+"/>
    <x v="2"/>
    <d v="2019-09-20T00:00:00"/>
    <s v="Stephanie Avila"/>
    <s v="Gutierrez-Jackson"/>
    <s v="Medicare"/>
    <n v="27603.996209706202"/>
    <n v="139"/>
    <x v="2"/>
    <d v="2019-10-19T00:00:00"/>
    <x v="2"/>
    <x v="0"/>
    <n v="29"/>
  </r>
  <r>
    <s v="Harry Thomas"/>
    <x v="0"/>
    <n v="79"/>
    <x v="0"/>
    <s v="AB-"/>
    <x v="2"/>
    <d v="2020-12-14T00:00:00"/>
    <s v="Brittany Weaver"/>
    <s v="Greer-Anderson"/>
    <s v="Medicare"/>
    <n v="6628.3561385704197"/>
    <n v="152"/>
    <x v="0"/>
    <d v="2020-12-16T00:00:00"/>
    <x v="1"/>
    <x v="2"/>
    <n v="2"/>
  </r>
  <r>
    <s v="Heather Johnston"/>
    <x v="2"/>
    <n v="50"/>
    <x v="0"/>
    <s v="A-"/>
    <x v="2"/>
    <d v="2022-07-07T00:00:00"/>
    <s v="Christopher Sandoval"/>
    <s v="Acosta, Thompson and Schultz"/>
    <s v="Blue Cross"/>
    <n v="25511.207481400499"/>
    <n v="348"/>
    <x v="0"/>
    <d v="2022-08-05T00:00:00"/>
    <x v="0"/>
    <x v="0"/>
    <n v="29"/>
  </r>
  <r>
    <s v="Heather Turner"/>
    <x v="0"/>
    <n v="79"/>
    <x v="0"/>
    <s v="AB+"/>
    <x v="2"/>
    <d v="2023-09-16T00:00:00"/>
    <s v="Elaine Medina"/>
    <s v="Rivera-Delgado"/>
    <s v="Blue Cross"/>
    <n v="11391.1221602653"/>
    <n v="180"/>
    <x v="2"/>
    <d v="2023-09-27T00:00:00"/>
    <x v="2"/>
    <x v="0"/>
    <n v="11"/>
  </r>
  <r>
    <s v="Jeffery Patton"/>
    <x v="4"/>
    <n v="56"/>
    <x v="1"/>
    <s v="AB+"/>
    <x v="2"/>
    <d v="2023-07-06T00:00:00"/>
    <s v="John Webb"/>
    <s v="Lopez-Morales"/>
    <s v="Aetna"/>
    <n v="47900.188645302696"/>
    <n v="440"/>
    <x v="2"/>
    <d v="2023-07-20T00:00:00"/>
    <x v="4"/>
    <x v="1"/>
    <n v="14"/>
  </r>
  <r>
    <s v="Jeffery Tucker"/>
    <x v="4"/>
    <n v="57"/>
    <x v="0"/>
    <s v="AB-"/>
    <x v="2"/>
    <d v="2019-10-18T00:00:00"/>
    <s v="James Phillips"/>
    <s v="Williams-Henderson"/>
    <s v="Medicare"/>
    <n v="36200.574823271003"/>
    <n v="150"/>
    <x v="0"/>
    <d v="2019-11-07T00:00:00"/>
    <x v="0"/>
    <x v="0"/>
    <n v="20"/>
  </r>
  <r>
    <s v="Jeffrey Carter"/>
    <x v="1"/>
    <n v="21"/>
    <x v="0"/>
    <s v="A+"/>
    <x v="2"/>
    <d v="2022-04-05T00:00:00"/>
    <s v="Gloria Hernandez"/>
    <s v="Ingram Inc"/>
    <s v="Medicare"/>
    <n v="45853.988019674602"/>
    <n v="401"/>
    <x v="2"/>
    <d v="2022-04-21T00:00:00"/>
    <x v="4"/>
    <x v="1"/>
    <n v="16"/>
  </r>
  <r>
    <s v="Jeffrey Wilson"/>
    <x v="2"/>
    <n v="50"/>
    <x v="0"/>
    <s v="A+"/>
    <x v="2"/>
    <d v="2023-08-26T00:00:00"/>
    <s v="Alexander Hamilton"/>
    <s v="James-Valenzuela"/>
    <s v="UnitedHealthcare"/>
    <n v="19710.535332992898"/>
    <n v="107"/>
    <x v="1"/>
    <d v="2023-09-16T00:00:00"/>
    <x v="1"/>
    <x v="0"/>
    <n v="21"/>
  </r>
  <r>
    <s v="Jennifer Harrison"/>
    <x v="0"/>
    <n v="79"/>
    <x v="1"/>
    <s v="B+"/>
    <x v="2"/>
    <d v="2023-02-20T00:00:00"/>
    <s v="Sherry Lara"/>
    <s v="Rojas-Cook"/>
    <s v="Blue Cross"/>
    <n v="19989.167918245999"/>
    <n v="449"/>
    <x v="2"/>
    <d v="2023-03-14T00:00:00"/>
    <x v="1"/>
    <x v="2"/>
    <n v="22"/>
  </r>
  <r>
    <s v="Jennifer Trevino"/>
    <x v="6"/>
    <n v="68"/>
    <x v="1"/>
    <s v="B-"/>
    <x v="2"/>
    <d v="2019-08-24T00:00:00"/>
    <s v="Shannon Hall"/>
    <s v="Brown-Nielsen"/>
    <s v="Cigna"/>
    <n v="14029.2069505289"/>
    <n v="260"/>
    <x v="1"/>
    <d v="2019-09-05T00:00:00"/>
    <x v="2"/>
    <x v="2"/>
    <n v="12"/>
  </r>
  <r>
    <s v="Jesse Tucker"/>
    <x v="5"/>
    <n v="40"/>
    <x v="0"/>
    <s v="O-"/>
    <x v="2"/>
    <d v="2019-06-16T00:00:00"/>
    <s v="Michele Cruz"/>
    <s v="Hardin, Cortez and Bailey"/>
    <s v="UnitedHealthcare"/>
    <n v="34855.727260136897"/>
    <n v="233"/>
    <x v="2"/>
    <d v="2019-07-05T00:00:00"/>
    <x v="0"/>
    <x v="1"/>
    <n v="19"/>
  </r>
  <r>
    <s v="Jessica Garcia"/>
    <x v="0"/>
    <n v="84"/>
    <x v="1"/>
    <s v="O-"/>
    <x v="2"/>
    <d v="2023-04-11T00:00:00"/>
    <s v="Gregory Anderson"/>
    <s v="Phillips-Johnson"/>
    <s v="Blue Cross"/>
    <n v="5411.4145455129101"/>
    <n v="270"/>
    <x v="0"/>
    <d v="2023-05-06T00:00:00"/>
    <x v="0"/>
    <x v="1"/>
    <n v="25"/>
  </r>
  <r>
    <s v="Jessica Mcdonald"/>
    <x v="5"/>
    <n v="43"/>
    <x v="0"/>
    <s v="O-"/>
    <x v="2"/>
    <d v="2021-10-23T00:00:00"/>
    <s v="Randy Scott"/>
    <s v="Booker Inc"/>
    <s v="Blue Cross"/>
    <n v="43750.163335970901"/>
    <n v="131"/>
    <x v="2"/>
    <d v="2021-11-10T00:00:00"/>
    <x v="0"/>
    <x v="0"/>
    <n v="18"/>
  </r>
  <r>
    <s v="Jessica Roman"/>
    <x v="2"/>
    <n v="50"/>
    <x v="1"/>
    <s v="B+"/>
    <x v="2"/>
    <d v="2022-01-20T00:00:00"/>
    <s v="Teresa Griffith DDS"/>
    <s v="Shaw, Hernandez and Ford"/>
    <s v="Cigna"/>
    <n v="29878.881332256002"/>
    <n v="479"/>
    <x v="0"/>
    <d v="2022-01-22T00:00:00"/>
    <x v="0"/>
    <x v="2"/>
    <n v="2"/>
  </r>
  <r>
    <s v="Joel Mendoza"/>
    <x v="4"/>
    <n v="65"/>
    <x v="1"/>
    <s v="AB+"/>
    <x v="2"/>
    <d v="2018-11-17T00:00:00"/>
    <s v="Antonio Richardson"/>
    <s v="Austin LLC"/>
    <s v="Medicare"/>
    <n v="31097.836432076601"/>
    <n v="285"/>
    <x v="1"/>
    <d v="2018-12-08T00:00:00"/>
    <x v="0"/>
    <x v="2"/>
    <n v="21"/>
  </r>
  <r>
    <s v="John Griffin"/>
    <x v="0"/>
    <n v="78"/>
    <x v="0"/>
    <s v="B-"/>
    <x v="2"/>
    <d v="2020-04-03T00:00:00"/>
    <s v="Kelsey Clark"/>
    <s v="Aguirre LLC"/>
    <s v="Aetna"/>
    <n v="25948.507189184002"/>
    <n v="359"/>
    <x v="1"/>
    <d v="2020-04-06T00:00:00"/>
    <x v="4"/>
    <x v="1"/>
    <n v="3"/>
  </r>
  <r>
    <s v="Johnny Stephens"/>
    <x v="4"/>
    <n v="61"/>
    <x v="1"/>
    <s v="O+"/>
    <x v="2"/>
    <d v="2019-08-16T00:00:00"/>
    <s v="Matthew Olsen"/>
    <s v="Miller, Ryan and Rodriguez"/>
    <s v="UnitedHealthcare"/>
    <n v="19180.357681207701"/>
    <n v="469"/>
    <x v="0"/>
    <d v="2019-09-10T00:00:00"/>
    <x v="1"/>
    <x v="1"/>
    <n v="25"/>
  </r>
  <r>
    <s v="Joseph Smith"/>
    <x v="1"/>
    <n v="20"/>
    <x v="1"/>
    <s v="O-"/>
    <x v="2"/>
    <d v="2023-01-29T00:00:00"/>
    <s v="Amanda Stout"/>
    <s v="Carlson-Quinn"/>
    <s v="Blue Cross"/>
    <n v="2397.2433727984098"/>
    <n v="193"/>
    <x v="2"/>
    <d v="2023-02-02T00:00:00"/>
    <x v="2"/>
    <x v="1"/>
    <n v="4"/>
  </r>
  <r>
    <s v="Joshua Faulkner"/>
    <x v="0"/>
    <n v="81"/>
    <x v="1"/>
    <s v="A+"/>
    <x v="2"/>
    <d v="2019-07-09T00:00:00"/>
    <s v="Michael Goodman"/>
    <s v="Brown Ltd"/>
    <s v="Blue Cross"/>
    <n v="32362.671074725698"/>
    <n v="290"/>
    <x v="1"/>
    <d v="2019-07-13T00:00:00"/>
    <x v="2"/>
    <x v="1"/>
    <n v="4"/>
  </r>
  <r>
    <s v="Joshua Phillips"/>
    <x v="0"/>
    <n v="85"/>
    <x v="1"/>
    <s v="B-"/>
    <x v="2"/>
    <d v="2019-07-24T00:00:00"/>
    <s v="Anthony Miller"/>
    <s v="Nelson LLC"/>
    <s v="Blue Cross"/>
    <n v="13393.830698773199"/>
    <n v="387"/>
    <x v="2"/>
    <d v="2019-08-19T00:00:00"/>
    <x v="3"/>
    <x v="1"/>
    <n v="26"/>
  </r>
  <r>
    <s v="Joy Mitchell"/>
    <x v="6"/>
    <n v="67"/>
    <x v="1"/>
    <s v="A+"/>
    <x v="2"/>
    <d v="2020-02-24T00:00:00"/>
    <s v="Kimberly Garcia"/>
    <s v="Johnson-Perry"/>
    <s v="Aetna"/>
    <n v="7515.1067261651497"/>
    <n v="118"/>
    <x v="2"/>
    <d v="2020-03-18T00:00:00"/>
    <x v="4"/>
    <x v="2"/>
    <n v="23"/>
  </r>
  <r>
    <s v="Kaitlyn Sampson"/>
    <x v="0"/>
    <n v="80"/>
    <x v="0"/>
    <s v="B+"/>
    <x v="2"/>
    <d v="2021-07-07T00:00:00"/>
    <s v="Philip Mullins"/>
    <s v="Jensen-Howard"/>
    <s v="Blue Cross"/>
    <n v="12042.408939254799"/>
    <n v="385"/>
    <x v="0"/>
    <d v="2021-07-08T00:00:00"/>
    <x v="4"/>
    <x v="0"/>
    <n v="1"/>
  </r>
  <r>
    <s v="Karen Fox"/>
    <x v="6"/>
    <n v="70"/>
    <x v="0"/>
    <s v="B-"/>
    <x v="2"/>
    <d v="2020-05-22T00:00:00"/>
    <s v="Paul Hill"/>
    <s v="Stephenson-Hill"/>
    <s v="Cigna"/>
    <n v="47716.541559324003"/>
    <n v="150"/>
    <x v="0"/>
    <d v="2020-05-29T00:00:00"/>
    <x v="3"/>
    <x v="2"/>
    <n v="7"/>
  </r>
  <r>
    <s v="Karen Mills"/>
    <x v="2"/>
    <n v="52"/>
    <x v="0"/>
    <s v="A-"/>
    <x v="2"/>
    <d v="2022-12-31T00:00:00"/>
    <s v="Natasha Valenzuela"/>
    <s v="Frazier, Bolton and Hensley"/>
    <s v="Cigna"/>
    <n v="33070.804942685398"/>
    <n v="265"/>
    <x v="0"/>
    <d v="2023-01-18T00:00:00"/>
    <x v="4"/>
    <x v="1"/>
    <n v="18"/>
  </r>
  <r>
    <s v="Kathleen Murray"/>
    <x v="0"/>
    <n v="79"/>
    <x v="0"/>
    <s v="O+"/>
    <x v="2"/>
    <d v="2022-03-29T00:00:00"/>
    <s v="Heather Lewis"/>
    <s v="Reyes Inc"/>
    <s v="Cigna"/>
    <n v="45444.293735330597"/>
    <n v="368"/>
    <x v="0"/>
    <d v="2022-04-21T00:00:00"/>
    <x v="4"/>
    <x v="2"/>
    <n v="23"/>
  </r>
  <r>
    <s v="Kayla Jackson"/>
    <x v="6"/>
    <n v="72"/>
    <x v="0"/>
    <s v="O-"/>
    <x v="2"/>
    <d v="2023-01-24T00:00:00"/>
    <s v="Kristy Reynolds"/>
    <s v="Bennett-Hooper"/>
    <s v="Medicare"/>
    <n v="17370.674028876401"/>
    <n v="334"/>
    <x v="1"/>
    <d v="2023-02-18T00:00:00"/>
    <x v="2"/>
    <x v="2"/>
    <n v="25"/>
  </r>
  <r>
    <s v="Keith Chambers"/>
    <x v="3"/>
    <n v="34"/>
    <x v="1"/>
    <s v="A-"/>
    <x v="2"/>
    <d v="2022-12-27T00:00:00"/>
    <s v="Gary Baldwin"/>
    <s v="Mendez PLC"/>
    <s v="Aetna"/>
    <n v="8144.4999172053604"/>
    <n v="369"/>
    <x v="1"/>
    <d v="2023-01-11T00:00:00"/>
    <x v="0"/>
    <x v="1"/>
    <n v="15"/>
  </r>
  <r>
    <s v="Kenneth Lopez"/>
    <x v="3"/>
    <n v="27"/>
    <x v="0"/>
    <s v="A-"/>
    <x v="2"/>
    <d v="2020-01-19T00:00:00"/>
    <s v="Miranda Robinson"/>
    <s v="Wood, Howard and Reed"/>
    <s v="Cigna"/>
    <n v="47508.000179159601"/>
    <n v="120"/>
    <x v="2"/>
    <d v="2020-01-24T00:00:00"/>
    <x v="1"/>
    <x v="0"/>
    <n v="5"/>
  </r>
  <r>
    <s v="Kevin Armstrong"/>
    <x v="3"/>
    <n v="34"/>
    <x v="0"/>
    <s v="AB-"/>
    <x v="2"/>
    <d v="2019-04-29T00:00:00"/>
    <s v="Dr. Lori Lowe"/>
    <s v="Christian LLC"/>
    <s v="Cigna"/>
    <n v="10160.5792785794"/>
    <n v="236"/>
    <x v="1"/>
    <d v="2019-05-24T00:00:00"/>
    <x v="1"/>
    <x v="0"/>
    <n v="25"/>
  </r>
  <r>
    <s v="Kevin Copeland"/>
    <x v="5"/>
    <n v="40"/>
    <x v="0"/>
    <s v="O-"/>
    <x v="2"/>
    <d v="2019-05-12T00:00:00"/>
    <s v="Brian Walsh"/>
    <s v="Thomas, Hill and Hart"/>
    <s v="Cigna"/>
    <n v="17656.038396248801"/>
    <n v="119"/>
    <x v="2"/>
    <d v="2019-05-25T00:00:00"/>
    <x v="4"/>
    <x v="1"/>
    <n v="13"/>
  </r>
  <r>
    <s v="Kevin Johnson"/>
    <x v="6"/>
    <n v="74"/>
    <x v="1"/>
    <s v="B-"/>
    <x v="2"/>
    <d v="2022-10-01T00:00:00"/>
    <s v="Alexis Alexander"/>
    <s v="Kerr Group"/>
    <s v="Blue Cross"/>
    <n v="5706.4381417368004"/>
    <n v="492"/>
    <x v="1"/>
    <d v="2022-10-28T00:00:00"/>
    <x v="1"/>
    <x v="2"/>
    <n v="27"/>
  </r>
  <r>
    <s v="Kimberly Mccarthy"/>
    <x v="0"/>
    <n v="76"/>
    <x v="1"/>
    <s v="AB-"/>
    <x v="2"/>
    <d v="2019-03-22T00:00:00"/>
    <s v="Adrian Davis"/>
    <s v="Harrison Group"/>
    <s v="UnitedHealthcare"/>
    <n v="35296.607397482003"/>
    <n v="478"/>
    <x v="0"/>
    <d v="2019-04-12T00:00:00"/>
    <x v="4"/>
    <x v="0"/>
    <n v="21"/>
  </r>
  <r>
    <s v="Kristin Proctor"/>
    <x v="4"/>
    <n v="64"/>
    <x v="0"/>
    <s v="O-"/>
    <x v="2"/>
    <d v="2023-07-21T00:00:00"/>
    <s v="Kevin Ryan"/>
    <s v="Silva-Rodriguez"/>
    <s v="Aetna"/>
    <n v="25817.6951849426"/>
    <n v="163"/>
    <x v="1"/>
    <d v="2023-07-22T00:00:00"/>
    <x v="3"/>
    <x v="2"/>
    <n v="1"/>
  </r>
  <r>
    <s v="Kyle Dean"/>
    <x v="5"/>
    <n v="39"/>
    <x v="1"/>
    <s v="A-"/>
    <x v="2"/>
    <d v="2020-02-02T00:00:00"/>
    <s v="Nicole Fernandez"/>
    <s v="House-Boyle"/>
    <s v="Aetna"/>
    <n v="28792.0506208064"/>
    <n v="416"/>
    <x v="1"/>
    <d v="2020-02-15T00:00:00"/>
    <x v="4"/>
    <x v="2"/>
    <n v="13"/>
  </r>
  <r>
    <s v="Lauren Patterson"/>
    <x v="3"/>
    <n v="28"/>
    <x v="1"/>
    <s v="O+"/>
    <x v="2"/>
    <d v="2020-01-02T00:00:00"/>
    <s v="Aaron Smith"/>
    <s v="Logan-Hughes"/>
    <s v="UnitedHealthcare"/>
    <n v="18793.673611654802"/>
    <n v="184"/>
    <x v="2"/>
    <d v="2020-01-09T00:00:00"/>
    <x v="1"/>
    <x v="1"/>
    <n v="7"/>
  </r>
  <r>
    <s v="Linda Chavez"/>
    <x v="3"/>
    <n v="33"/>
    <x v="1"/>
    <s v="A-"/>
    <x v="2"/>
    <d v="2019-12-01T00:00:00"/>
    <s v="Tiffany Crawford"/>
    <s v="Winters and Sons"/>
    <s v="Cigna"/>
    <n v="24609.374626807199"/>
    <n v="137"/>
    <x v="1"/>
    <d v="2019-12-18T00:00:00"/>
    <x v="0"/>
    <x v="2"/>
    <n v="17"/>
  </r>
  <r>
    <s v="Lisa Phillips"/>
    <x v="3"/>
    <n v="34"/>
    <x v="1"/>
    <s v="A-"/>
    <x v="2"/>
    <d v="2020-09-25T00:00:00"/>
    <s v="Brent Murray"/>
    <s v="Mann, Sanchez and Bailey"/>
    <s v="Medicare"/>
    <n v="26851.736552517501"/>
    <n v="233"/>
    <x v="2"/>
    <d v="2020-10-21T00:00:00"/>
    <x v="4"/>
    <x v="0"/>
    <n v="26"/>
  </r>
  <r>
    <s v="Lisa Rojas"/>
    <x v="3"/>
    <n v="30"/>
    <x v="1"/>
    <s v="B+"/>
    <x v="2"/>
    <d v="2023-09-01T00:00:00"/>
    <s v="John Ryan MD"/>
    <s v="Wright PLC"/>
    <s v="Cigna"/>
    <n v="47295.557512958803"/>
    <n v="189"/>
    <x v="1"/>
    <d v="2023-09-07T00:00:00"/>
    <x v="2"/>
    <x v="1"/>
    <n v="6"/>
  </r>
  <r>
    <s v="Lori Walker"/>
    <x v="4"/>
    <n v="60"/>
    <x v="1"/>
    <s v="AB-"/>
    <x v="2"/>
    <d v="2023-06-08T00:00:00"/>
    <s v="Paula Chavez"/>
    <s v="Foster-Reeves"/>
    <s v="UnitedHealthcare"/>
    <n v="20592.203163869199"/>
    <n v="230"/>
    <x v="0"/>
    <d v="2023-06-30T00:00:00"/>
    <x v="1"/>
    <x v="0"/>
    <n v="22"/>
  </r>
  <r>
    <s v="Luis Cooper"/>
    <x v="1"/>
    <n v="21"/>
    <x v="0"/>
    <s v="A-"/>
    <x v="2"/>
    <d v="2019-07-14T00:00:00"/>
    <s v="Derrick Krause"/>
    <s v="Lawson Inc"/>
    <s v="UnitedHealthcare"/>
    <n v="1308.45051112281"/>
    <n v="203"/>
    <x v="2"/>
    <d v="2019-07-15T00:00:00"/>
    <x v="4"/>
    <x v="2"/>
    <n v="1"/>
  </r>
  <r>
    <s v="Maria Mahoney"/>
    <x v="6"/>
    <n v="71"/>
    <x v="0"/>
    <s v="AB+"/>
    <x v="2"/>
    <d v="2021-02-03T00:00:00"/>
    <s v="Denise Costa"/>
    <s v="George-Lawrence"/>
    <s v="Blue Cross"/>
    <n v="31603.4642899963"/>
    <n v="129"/>
    <x v="2"/>
    <d v="2021-03-03T00:00:00"/>
    <x v="0"/>
    <x v="0"/>
    <n v="28"/>
  </r>
  <r>
    <s v="Mariah Davis"/>
    <x v="4"/>
    <n v="59"/>
    <x v="0"/>
    <s v="A-"/>
    <x v="2"/>
    <d v="2021-03-07T00:00:00"/>
    <s v="Christopher Blair"/>
    <s v="Johnson Group"/>
    <s v="Medicare"/>
    <n v="16579.523111324699"/>
    <n v="181"/>
    <x v="0"/>
    <d v="2021-03-14T00:00:00"/>
    <x v="0"/>
    <x v="2"/>
    <n v="7"/>
  </r>
  <r>
    <s v="Marie Vargas"/>
    <x v="0"/>
    <n v="77"/>
    <x v="1"/>
    <s v="B-"/>
    <x v="2"/>
    <d v="2018-12-21T00:00:00"/>
    <s v="Christine Smith"/>
    <s v="Young, Scott and Franco"/>
    <s v="Blue Cross"/>
    <n v="26589.433270353598"/>
    <n v="443"/>
    <x v="1"/>
    <d v="2018-12-26T00:00:00"/>
    <x v="2"/>
    <x v="1"/>
    <n v="5"/>
  </r>
  <r>
    <s v="Mark Proctor"/>
    <x v="0"/>
    <n v="78"/>
    <x v="1"/>
    <s v="A-"/>
    <x v="2"/>
    <d v="2020-01-03T00:00:00"/>
    <s v="Ashley Kim"/>
    <s v="Caldwell-Ford"/>
    <s v="Medicare"/>
    <n v="10230.631506124"/>
    <n v="481"/>
    <x v="2"/>
    <d v="2020-01-30T00:00:00"/>
    <x v="4"/>
    <x v="1"/>
    <n v="27"/>
  </r>
  <r>
    <s v="Martha Franklin"/>
    <x v="6"/>
    <n v="67"/>
    <x v="1"/>
    <s v="B+"/>
    <x v="2"/>
    <d v="2022-03-23T00:00:00"/>
    <s v="Brandon Ray"/>
    <s v="Saunders-Hudson"/>
    <s v="Blue Cross"/>
    <n v="32007.352858773302"/>
    <n v="416"/>
    <x v="0"/>
    <d v="2022-04-04T00:00:00"/>
    <x v="1"/>
    <x v="0"/>
    <n v="12"/>
  </r>
  <r>
    <s v="Mary Brown"/>
    <x v="3"/>
    <n v="31"/>
    <x v="1"/>
    <s v="A+"/>
    <x v="2"/>
    <d v="2021-04-29T00:00:00"/>
    <s v="Dennis Mitchell"/>
    <s v="Brown LLC"/>
    <s v="Aetna"/>
    <n v="13794.7204420814"/>
    <n v="194"/>
    <x v="2"/>
    <d v="2021-05-06T00:00:00"/>
    <x v="3"/>
    <x v="0"/>
    <n v="7"/>
  </r>
  <r>
    <s v="Matthew Norris"/>
    <x v="5"/>
    <n v="36"/>
    <x v="1"/>
    <s v="O-"/>
    <x v="2"/>
    <d v="2020-03-13T00:00:00"/>
    <s v="Pamela Davis MD"/>
    <s v="Hale Ltd"/>
    <s v="Cigna"/>
    <n v="32681.888295183599"/>
    <n v="450"/>
    <x v="2"/>
    <d v="2020-04-01T00:00:00"/>
    <x v="3"/>
    <x v="1"/>
    <n v="19"/>
  </r>
  <r>
    <s v="Melissa Harris"/>
    <x v="5"/>
    <n v="36"/>
    <x v="1"/>
    <s v="O+"/>
    <x v="2"/>
    <d v="2020-01-02T00:00:00"/>
    <s v="Cheryl Palmer"/>
    <s v="Wolfe Ltd"/>
    <s v="Blue Cross"/>
    <n v="37527.7115142537"/>
    <n v="247"/>
    <x v="2"/>
    <d v="2020-01-27T00:00:00"/>
    <x v="4"/>
    <x v="0"/>
    <n v="25"/>
  </r>
  <r>
    <s v="Melissa Jones"/>
    <x v="5"/>
    <n v="43"/>
    <x v="0"/>
    <s v="AB-"/>
    <x v="2"/>
    <d v="2019-04-12T00:00:00"/>
    <s v="Jose Richard"/>
    <s v="Cruz, Harris and Murray"/>
    <s v="Blue Cross"/>
    <n v="29696.191641405701"/>
    <n v="425"/>
    <x v="0"/>
    <d v="2019-05-08T00:00:00"/>
    <x v="1"/>
    <x v="1"/>
    <n v="26"/>
  </r>
  <r>
    <s v="Melissa Martinez"/>
    <x v="0"/>
    <n v="81"/>
    <x v="0"/>
    <s v="AB+"/>
    <x v="2"/>
    <d v="2023-10-16T00:00:00"/>
    <s v="Kristin Young"/>
    <s v="Johnson Group"/>
    <s v="UnitedHealthcare"/>
    <n v="42494.658488975401"/>
    <n v="180"/>
    <x v="2"/>
    <d v="2023-10-29T00:00:00"/>
    <x v="2"/>
    <x v="2"/>
    <n v="13"/>
  </r>
  <r>
    <s v="Michael Bradshaw"/>
    <x v="4"/>
    <n v="65"/>
    <x v="0"/>
    <s v="AB+"/>
    <x v="2"/>
    <d v="2021-06-05T00:00:00"/>
    <s v="Katherine Lowe"/>
    <s v="Castaneda-Hardy"/>
    <s v="Cigna"/>
    <n v="10342.836123527301"/>
    <n v="120"/>
    <x v="1"/>
    <d v="2021-06-25T00:00:00"/>
    <x v="1"/>
    <x v="0"/>
    <n v="20"/>
  </r>
  <r>
    <s v="Michael Burns"/>
    <x v="1"/>
    <n v="19"/>
    <x v="1"/>
    <s v="B-"/>
    <x v="2"/>
    <d v="2021-06-30T00:00:00"/>
    <s v="Janice Vargas"/>
    <s v="Wiggins Ltd"/>
    <s v="Aetna"/>
    <n v="16171.9485556363"/>
    <n v="414"/>
    <x v="1"/>
    <d v="2021-07-14T00:00:00"/>
    <x v="4"/>
    <x v="0"/>
    <n v="14"/>
  </r>
  <r>
    <s v="Michael Ford"/>
    <x v="3"/>
    <n v="26"/>
    <x v="0"/>
    <s v="B-"/>
    <x v="2"/>
    <d v="2021-02-10T00:00:00"/>
    <s v="Raymond Moore Jr."/>
    <s v="Baker-Aguirre"/>
    <s v="Medicare"/>
    <n v="18898.603555373898"/>
    <n v="245"/>
    <x v="0"/>
    <d v="2021-02-21T00:00:00"/>
    <x v="1"/>
    <x v="0"/>
    <n v="11"/>
  </r>
  <r>
    <s v="Michael Hall"/>
    <x v="4"/>
    <n v="59"/>
    <x v="0"/>
    <s v="B-"/>
    <x v="2"/>
    <d v="2021-06-24T00:00:00"/>
    <s v="Jeffrey Steele"/>
    <s v="Patton and Sons"/>
    <s v="Blue Cross"/>
    <n v="47695.933068269602"/>
    <n v="439"/>
    <x v="1"/>
    <d v="2021-07-11T00:00:00"/>
    <x v="1"/>
    <x v="0"/>
    <n v="17"/>
  </r>
  <r>
    <s v="Michael Jones"/>
    <x v="4"/>
    <n v="62"/>
    <x v="1"/>
    <s v="AB+"/>
    <x v="2"/>
    <d v="2020-03-31T00:00:00"/>
    <s v="Shane Cabrera"/>
    <s v="Bush-Lutz"/>
    <s v="UnitedHealthcare"/>
    <n v="25359.564504504298"/>
    <n v="468"/>
    <x v="1"/>
    <d v="2020-04-13T00:00:00"/>
    <x v="3"/>
    <x v="0"/>
    <n v="13"/>
  </r>
  <r>
    <s v="Michael Lewis"/>
    <x v="6"/>
    <n v="69"/>
    <x v="1"/>
    <s v="B-"/>
    <x v="2"/>
    <d v="2021-02-06T00:00:00"/>
    <s v="Mr. Adam Ramirez"/>
    <s v="Richardson-Haas"/>
    <s v="Cigna"/>
    <n v="5290.3970617896503"/>
    <n v="362"/>
    <x v="1"/>
    <d v="2021-02-13T00:00:00"/>
    <x v="1"/>
    <x v="0"/>
    <n v="7"/>
  </r>
  <r>
    <s v="Michael Mccall"/>
    <x v="3"/>
    <n v="35"/>
    <x v="0"/>
    <s v="O+"/>
    <x v="2"/>
    <d v="2019-10-04T00:00:00"/>
    <s v="Kelly Smith"/>
    <s v="Sims PLC"/>
    <s v="Aetna"/>
    <n v="9766.8238671046602"/>
    <n v="133"/>
    <x v="1"/>
    <d v="2019-10-12T00:00:00"/>
    <x v="3"/>
    <x v="2"/>
    <n v="8"/>
  </r>
  <r>
    <s v="Michael Monroe"/>
    <x v="1"/>
    <n v="21"/>
    <x v="1"/>
    <s v="AB+"/>
    <x v="2"/>
    <d v="2019-08-23T00:00:00"/>
    <s v="Karen Garrison"/>
    <s v="Estrada-Sawyer"/>
    <s v="Medicare"/>
    <n v="17892.930585551301"/>
    <n v="230"/>
    <x v="0"/>
    <d v="2019-09-15T00:00:00"/>
    <x v="0"/>
    <x v="0"/>
    <n v="23"/>
  </r>
  <r>
    <s v="Michael Parker"/>
    <x v="6"/>
    <n v="73"/>
    <x v="1"/>
    <s v="B+"/>
    <x v="2"/>
    <d v="2019-09-04T00:00:00"/>
    <s v="Linda Gomez"/>
    <s v="Hunter and Sons"/>
    <s v="UnitedHealthcare"/>
    <n v="1720.11865579955"/>
    <n v="197"/>
    <x v="0"/>
    <d v="2019-09-14T00:00:00"/>
    <x v="0"/>
    <x v="1"/>
    <n v="10"/>
  </r>
  <r>
    <s v="Micheal Duran"/>
    <x v="4"/>
    <n v="56"/>
    <x v="1"/>
    <s v="AB-"/>
    <x v="2"/>
    <d v="2019-11-16T00:00:00"/>
    <s v="Jimmy Brown"/>
    <s v="Schwartz, Lowery and Anderson"/>
    <s v="Blue Cross"/>
    <n v="12517.3831162815"/>
    <n v="112"/>
    <x v="0"/>
    <d v="2019-11-17T00:00:00"/>
    <x v="0"/>
    <x v="2"/>
    <n v="1"/>
  </r>
  <r>
    <s v="Michelle Harris"/>
    <x v="6"/>
    <n v="74"/>
    <x v="0"/>
    <s v="B+"/>
    <x v="2"/>
    <d v="2021-02-04T00:00:00"/>
    <s v="David Patel"/>
    <s v="Lin Inc"/>
    <s v="Medicare"/>
    <n v="2534.7004700955599"/>
    <n v="284"/>
    <x v="0"/>
    <d v="2021-02-22T00:00:00"/>
    <x v="0"/>
    <x v="0"/>
    <n v="18"/>
  </r>
  <r>
    <s v="Michelle Robinson MD"/>
    <x v="1"/>
    <n v="22"/>
    <x v="0"/>
    <s v="B-"/>
    <x v="2"/>
    <d v="2019-02-05T00:00:00"/>
    <s v="Paul Walker"/>
    <s v="Mills-Montgomery"/>
    <s v="Cigna"/>
    <n v="29004.148319391199"/>
    <n v="172"/>
    <x v="0"/>
    <d v="2019-02-09T00:00:00"/>
    <x v="4"/>
    <x v="2"/>
    <n v="4"/>
  </r>
  <r>
    <s v="Mike Winters"/>
    <x v="5"/>
    <n v="37"/>
    <x v="0"/>
    <s v="AB-"/>
    <x v="2"/>
    <d v="2019-07-02T00:00:00"/>
    <s v="Crystal Wallace"/>
    <s v="Jimenez and Sons"/>
    <s v="Cigna"/>
    <n v="9880.3931415524294"/>
    <n v="235"/>
    <x v="1"/>
    <d v="2019-07-18T00:00:00"/>
    <x v="1"/>
    <x v="1"/>
    <n v="16"/>
  </r>
  <r>
    <s v="Miss Courtney Navarro"/>
    <x v="6"/>
    <n v="66"/>
    <x v="1"/>
    <s v="B-"/>
    <x v="2"/>
    <d v="2021-10-10T00:00:00"/>
    <s v="Peggy Bailey"/>
    <s v="Scott, Carrillo and Frank"/>
    <s v="Blue Cross"/>
    <n v="9781.2278771511592"/>
    <n v="145"/>
    <x v="0"/>
    <d v="2021-10-14T00:00:00"/>
    <x v="2"/>
    <x v="2"/>
    <n v="4"/>
  </r>
  <r>
    <s v="Mr. Theodore Roberts"/>
    <x v="3"/>
    <n v="35"/>
    <x v="1"/>
    <s v="B-"/>
    <x v="2"/>
    <d v="2023-09-24T00:00:00"/>
    <s v="Gabriel Hopkins"/>
    <s v="Herrera Inc"/>
    <s v="Cigna"/>
    <n v="4861.5983494601196"/>
    <n v="483"/>
    <x v="1"/>
    <d v="2023-10-14T00:00:00"/>
    <x v="0"/>
    <x v="1"/>
    <n v="20"/>
  </r>
  <r>
    <s v="Mrs. Ashley Simpson MD"/>
    <x v="4"/>
    <n v="64"/>
    <x v="1"/>
    <s v="A-"/>
    <x v="2"/>
    <d v="2020-10-16T00:00:00"/>
    <s v="Michael Robinson"/>
    <s v="Briggs-Campos"/>
    <s v="Cigna"/>
    <n v="18089.133069620901"/>
    <n v="239"/>
    <x v="1"/>
    <d v="2020-11-02T00:00:00"/>
    <x v="2"/>
    <x v="1"/>
    <n v="17"/>
  </r>
  <r>
    <s v="Mrs. Christine Rodriguez"/>
    <x v="0"/>
    <n v="79"/>
    <x v="0"/>
    <s v="A-"/>
    <x v="2"/>
    <d v="2022-01-27T00:00:00"/>
    <s v="Cynthia Brown"/>
    <s v="Spencer Ltd"/>
    <s v="UnitedHealthcare"/>
    <n v="28158.3277655569"/>
    <n v="374"/>
    <x v="2"/>
    <d v="2022-02-15T00:00:00"/>
    <x v="2"/>
    <x v="2"/>
    <n v="19"/>
  </r>
  <r>
    <s v="Mrs. Margaret Morris DDS"/>
    <x v="1"/>
    <n v="22"/>
    <x v="0"/>
    <s v="B-"/>
    <x v="2"/>
    <d v="2023-07-04T00:00:00"/>
    <s v="Samuel Carrillo"/>
    <s v="Williams-Lopez"/>
    <s v="Aetna"/>
    <n v="34386.586353979103"/>
    <n v="462"/>
    <x v="0"/>
    <d v="2023-07-26T00:00:00"/>
    <x v="2"/>
    <x v="1"/>
    <n v="22"/>
  </r>
  <r>
    <s v="Nancy Moore"/>
    <x v="3"/>
    <n v="26"/>
    <x v="0"/>
    <s v="B-"/>
    <x v="2"/>
    <d v="2023-07-11T00:00:00"/>
    <s v="Christopher Garcia"/>
    <s v="Nunez-Morton"/>
    <s v="Cigna"/>
    <n v="34595.328394890697"/>
    <n v="205"/>
    <x v="0"/>
    <d v="2023-08-02T00:00:00"/>
    <x v="0"/>
    <x v="2"/>
    <n v="22"/>
  </r>
  <r>
    <s v="Nicole Smith"/>
    <x v="6"/>
    <n v="66"/>
    <x v="0"/>
    <s v="A+"/>
    <x v="2"/>
    <d v="2021-03-24T00:00:00"/>
    <s v="Anne White"/>
    <s v="Jackson, Rich and Rivera"/>
    <s v="Medicare"/>
    <n v="15847.4402458235"/>
    <n v="264"/>
    <x v="2"/>
    <d v="2021-04-12T00:00:00"/>
    <x v="1"/>
    <x v="0"/>
    <n v="19"/>
  </r>
  <r>
    <s v="Patrick Bates"/>
    <x v="3"/>
    <n v="32"/>
    <x v="1"/>
    <s v="B+"/>
    <x v="2"/>
    <d v="2023-07-09T00:00:00"/>
    <s v="Jillian Marshall"/>
    <s v="Lara, Ward and Brown"/>
    <s v="Blue Cross"/>
    <n v="44535.253036195601"/>
    <n v="413"/>
    <x v="1"/>
    <d v="2023-07-17T00:00:00"/>
    <x v="0"/>
    <x v="1"/>
    <n v="8"/>
  </r>
  <r>
    <s v="Peter Alvarado"/>
    <x v="3"/>
    <n v="34"/>
    <x v="0"/>
    <s v="AB+"/>
    <x v="2"/>
    <d v="2021-08-18T00:00:00"/>
    <s v="Robert Leblanc"/>
    <s v="Sparks and Sons"/>
    <s v="Cigna"/>
    <n v="7858.3987309716304"/>
    <n v="199"/>
    <x v="1"/>
    <d v="2021-09-09T00:00:00"/>
    <x v="0"/>
    <x v="2"/>
    <n v="22"/>
  </r>
  <r>
    <s v="Peter Davis MD"/>
    <x v="6"/>
    <n v="70"/>
    <x v="0"/>
    <s v="O-"/>
    <x v="2"/>
    <d v="2021-01-29T00:00:00"/>
    <s v="Brandon Hines"/>
    <s v="Gilbert, Perkins and Camacho"/>
    <s v="Medicare"/>
    <n v="37667.4122573395"/>
    <n v="468"/>
    <x v="1"/>
    <d v="2021-02-15T00:00:00"/>
    <x v="4"/>
    <x v="0"/>
    <n v="17"/>
  </r>
  <r>
    <s v="Rachael Davidson"/>
    <x v="4"/>
    <n v="57"/>
    <x v="0"/>
    <s v="O-"/>
    <x v="2"/>
    <d v="2022-03-29T00:00:00"/>
    <s v="Jared Harmon"/>
    <s v="Moyer-Vasquez"/>
    <s v="Cigna"/>
    <n v="41295.399748056399"/>
    <n v="361"/>
    <x v="1"/>
    <d v="2022-04-02T00:00:00"/>
    <x v="3"/>
    <x v="1"/>
    <n v="4"/>
  </r>
  <r>
    <s v="Randy Huffman"/>
    <x v="6"/>
    <n v="71"/>
    <x v="1"/>
    <s v="O-"/>
    <x v="2"/>
    <d v="2019-06-20T00:00:00"/>
    <s v="Tamara Carter"/>
    <s v="Murphy and Sons"/>
    <s v="Aetna"/>
    <n v="25286.452650626499"/>
    <n v="360"/>
    <x v="1"/>
    <d v="2019-06-28T00:00:00"/>
    <x v="0"/>
    <x v="1"/>
    <n v="8"/>
  </r>
  <r>
    <s v="Robert Brown"/>
    <x v="1"/>
    <n v="18"/>
    <x v="1"/>
    <s v="A-"/>
    <x v="2"/>
    <d v="2021-03-06T00:00:00"/>
    <s v="Teresa Cannon"/>
    <s v="Rodgers-Wallace"/>
    <s v="Medicare"/>
    <n v="20948.868408245198"/>
    <n v="451"/>
    <x v="0"/>
    <d v="2021-03-08T00:00:00"/>
    <x v="4"/>
    <x v="0"/>
    <n v="2"/>
  </r>
  <r>
    <s v="Robert Ho"/>
    <x v="2"/>
    <n v="47"/>
    <x v="0"/>
    <s v="AB+"/>
    <x v="2"/>
    <d v="2018-12-08T00:00:00"/>
    <s v="Michael Villanueva"/>
    <s v="Mason, Baker and Smith"/>
    <s v="Cigna"/>
    <n v="5674.2143374650004"/>
    <n v="209"/>
    <x v="2"/>
    <d v="2018-12-15T00:00:00"/>
    <x v="1"/>
    <x v="2"/>
    <n v="7"/>
  </r>
  <r>
    <s v="Ronnie Hughes"/>
    <x v="4"/>
    <n v="56"/>
    <x v="0"/>
    <s v="A-"/>
    <x v="2"/>
    <d v="2019-05-14T00:00:00"/>
    <s v="Nicole Mcclain"/>
    <s v="Hawkins Ltd"/>
    <s v="Aetna"/>
    <n v="12935.413249863501"/>
    <n v="392"/>
    <x v="0"/>
    <d v="2019-06-11T00:00:00"/>
    <x v="0"/>
    <x v="2"/>
    <n v="28"/>
  </r>
  <r>
    <s v="Ryan Frazier"/>
    <x v="6"/>
    <n v="75"/>
    <x v="0"/>
    <s v="B-"/>
    <x v="2"/>
    <d v="2023-04-25T00:00:00"/>
    <s v="Lucas Phillips"/>
    <s v="Escobar PLC"/>
    <s v="Medicare"/>
    <n v="3535.0118812478199"/>
    <n v="130"/>
    <x v="0"/>
    <d v="2023-04-30T00:00:00"/>
    <x v="4"/>
    <x v="2"/>
    <n v="5"/>
  </r>
  <r>
    <s v="Ryan Richmond"/>
    <x v="0"/>
    <n v="84"/>
    <x v="1"/>
    <s v="A-"/>
    <x v="2"/>
    <d v="2020-03-28T00:00:00"/>
    <s v="Sean Thomas"/>
    <s v="Allen and Sons"/>
    <s v="Cigna"/>
    <n v="6575.1394679001396"/>
    <n v="213"/>
    <x v="1"/>
    <d v="2020-04-03T00:00:00"/>
    <x v="3"/>
    <x v="2"/>
    <n v="6"/>
  </r>
  <r>
    <s v="Sally Henderson"/>
    <x v="6"/>
    <n v="73"/>
    <x v="0"/>
    <s v="A-"/>
    <x v="2"/>
    <d v="2019-08-20T00:00:00"/>
    <s v="John Brown"/>
    <s v="Haney Ltd"/>
    <s v="Medicare"/>
    <n v="19095.937815324301"/>
    <n v="233"/>
    <x v="2"/>
    <d v="2019-09-06T00:00:00"/>
    <x v="0"/>
    <x v="2"/>
    <n v="17"/>
  </r>
  <r>
    <s v="Scott Nicholson"/>
    <x v="1"/>
    <n v="25"/>
    <x v="1"/>
    <s v="A-"/>
    <x v="2"/>
    <d v="2020-11-03T00:00:00"/>
    <s v="Kelly Scott MD"/>
    <s v="Thomas-Silva"/>
    <s v="Blue Cross"/>
    <n v="31155.404271297299"/>
    <n v="360"/>
    <x v="1"/>
    <d v="2020-11-07T00:00:00"/>
    <x v="2"/>
    <x v="0"/>
    <n v="4"/>
  </r>
  <r>
    <s v="Sean Sullivan"/>
    <x v="2"/>
    <n v="53"/>
    <x v="0"/>
    <s v="A+"/>
    <x v="2"/>
    <d v="2022-02-08T00:00:00"/>
    <s v="Craig Harris"/>
    <s v="Mueller, Evans and Simpson"/>
    <s v="UnitedHealthcare"/>
    <n v="8508.1495565135592"/>
    <n v="183"/>
    <x v="2"/>
    <d v="2022-02-10T00:00:00"/>
    <x v="4"/>
    <x v="1"/>
    <n v="2"/>
  </r>
  <r>
    <s v="Sierra Moreno"/>
    <x v="5"/>
    <n v="43"/>
    <x v="0"/>
    <s v="AB+"/>
    <x v="2"/>
    <d v="2021-02-10T00:00:00"/>
    <s v="Jacob Olson"/>
    <s v="Zimmerman, Salinas and Hill"/>
    <s v="Cigna"/>
    <n v="44147.7935461421"/>
    <n v="315"/>
    <x v="1"/>
    <d v="2021-03-09T00:00:00"/>
    <x v="3"/>
    <x v="1"/>
    <n v="27"/>
  </r>
  <r>
    <s v="Sonya Hernandez"/>
    <x v="2"/>
    <n v="51"/>
    <x v="0"/>
    <s v="B-"/>
    <x v="2"/>
    <d v="2019-02-16T00:00:00"/>
    <s v="Amber Young"/>
    <s v="Cunningham Ltd"/>
    <s v="Blue Cross"/>
    <n v="32010.078697996199"/>
    <n v="258"/>
    <x v="2"/>
    <d v="2019-03-06T00:00:00"/>
    <x v="3"/>
    <x v="0"/>
    <n v="18"/>
  </r>
  <r>
    <s v="Stacey Craig"/>
    <x v="4"/>
    <n v="64"/>
    <x v="0"/>
    <s v="O+"/>
    <x v="2"/>
    <d v="2022-08-15T00:00:00"/>
    <s v="Laura Cruz"/>
    <s v="Peters Ltd"/>
    <s v="Aetna"/>
    <n v="34241.758927837102"/>
    <n v="262"/>
    <x v="2"/>
    <d v="2022-09-02T00:00:00"/>
    <x v="3"/>
    <x v="1"/>
    <n v="18"/>
  </r>
  <r>
    <s v="Stacy Williams"/>
    <x v="5"/>
    <n v="40"/>
    <x v="1"/>
    <s v="O+"/>
    <x v="2"/>
    <d v="2022-06-27T00:00:00"/>
    <s v="Stephanie Bennett"/>
    <s v="Coffey, Howell and Sanders"/>
    <s v="Cigna"/>
    <n v="42431.391270283901"/>
    <n v="334"/>
    <x v="0"/>
    <d v="2022-07-02T00:00:00"/>
    <x v="4"/>
    <x v="1"/>
    <n v="5"/>
  </r>
  <r>
    <s v="Tamara Salazar"/>
    <x v="2"/>
    <n v="46"/>
    <x v="0"/>
    <s v="O+"/>
    <x v="2"/>
    <d v="2020-08-23T00:00:00"/>
    <s v="Jasmine Russell"/>
    <s v="Campbell Ltd"/>
    <s v="Blue Cross"/>
    <n v="6537.1469441774498"/>
    <n v="213"/>
    <x v="2"/>
    <d v="2020-09-12T00:00:00"/>
    <x v="4"/>
    <x v="0"/>
    <n v="20"/>
  </r>
  <r>
    <s v="Tammy Hamilton"/>
    <x v="5"/>
    <n v="36"/>
    <x v="1"/>
    <s v="A-"/>
    <x v="2"/>
    <d v="2020-02-01T00:00:00"/>
    <s v="Kristi Chan"/>
    <s v="Miller-Andrews"/>
    <s v="Blue Cross"/>
    <n v="22805.877722145298"/>
    <n v="226"/>
    <x v="2"/>
    <d v="2020-02-22T00:00:00"/>
    <x v="4"/>
    <x v="2"/>
    <n v="21"/>
  </r>
  <r>
    <s v="Tammy Lewis"/>
    <x v="5"/>
    <n v="45"/>
    <x v="0"/>
    <s v="B-"/>
    <x v="2"/>
    <d v="2021-01-04T00:00:00"/>
    <s v="Charles Weber"/>
    <s v="Mahoney Inc"/>
    <s v="UnitedHealthcare"/>
    <n v="2089.9212968616198"/>
    <n v="287"/>
    <x v="1"/>
    <d v="2021-01-15T00:00:00"/>
    <x v="2"/>
    <x v="0"/>
    <n v="11"/>
  </r>
  <r>
    <s v="Tammy Thompson"/>
    <x v="1"/>
    <n v="19"/>
    <x v="1"/>
    <s v="AB+"/>
    <x v="2"/>
    <d v="2021-05-31T00:00:00"/>
    <s v="Rodney Obrien"/>
    <s v="Davies-Holloway"/>
    <s v="Medicare"/>
    <n v="25436.9947196715"/>
    <n v="211"/>
    <x v="2"/>
    <d v="2021-06-01T00:00:00"/>
    <x v="4"/>
    <x v="0"/>
    <n v="1"/>
  </r>
  <r>
    <s v="Tammy Williams"/>
    <x v="0"/>
    <n v="83"/>
    <x v="0"/>
    <s v="O-"/>
    <x v="2"/>
    <d v="2020-03-24T00:00:00"/>
    <s v="Jessica Sanders"/>
    <s v="Hood Ltd"/>
    <s v="Blue Cross"/>
    <n v="12831.046557387501"/>
    <n v="370"/>
    <x v="0"/>
    <d v="2020-03-28T00:00:00"/>
    <x v="4"/>
    <x v="0"/>
    <n v="4"/>
  </r>
  <r>
    <s v="Teresa Marks"/>
    <x v="2"/>
    <n v="51"/>
    <x v="0"/>
    <s v="O+"/>
    <x v="2"/>
    <d v="2023-08-19T00:00:00"/>
    <s v="Kathryn Garcia"/>
    <s v="Taylor, Ross and Hanna"/>
    <s v="UnitedHealthcare"/>
    <n v="28792.6319746318"/>
    <n v="460"/>
    <x v="1"/>
    <d v="2023-09-07T00:00:00"/>
    <x v="1"/>
    <x v="0"/>
    <n v="19"/>
  </r>
  <r>
    <s v="Theodore Sanchez"/>
    <x v="3"/>
    <n v="26"/>
    <x v="1"/>
    <s v="A-"/>
    <x v="2"/>
    <d v="2022-02-10T00:00:00"/>
    <s v="Sean Knight"/>
    <s v="Thomas Group"/>
    <s v="Aetna"/>
    <n v="49053.356073379"/>
    <n v="383"/>
    <x v="1"/>
    <d v="2022-02-26T00:00:00"/>
    <x v="0"/>
    <x v="1"/>
    <n v="16"/>
  </r>
  <r>
    <s v="Theresa Ball"/>
    <x v="2"/>
    <n v="46"/>
    <x v="1"/>
    <s v="A-"/>
    <x v="2"/>
    <d v="2023-09-30T00:00:00"/>
    <s v="Pamela Taylor"/>
    <s v="Herrera Group"/>
    <s v="Aetna"/>
    <n v="29898.8944238105"/>
    <n v="164"/>
    <x v="0"/>
    <d v="2023-10-02T00:00:00"/>
    <x v="4"/>
    <x v="2"/>
    <n v="2"/>
  </r>
  <r>
    <s v="Thomas Walsh"/>
    <x v="0"/>
    <n v="81"/>
    <x v="1"/>
    <s v="A-"/>
    <x v="2"/>
    <d v="2020-08-09T00:00:00"/>
    <s v="Kevin Conrad"/>
    <s v="Torres and Sons"/>
    <s v="UnitedHealthcare"/>
    <n v="16011.956739589299"/>
    <n v="253"/>
    <x v="1"/>
    <d v="2020-08-23T00:00:00"/>
    <x v="2"/>
    <x v="0"/>
    <n v="14"/>
  </r>
  <r>
    <s v="Thomas Washington"/>
    <x v="6"/>
    <n v="71"/>
    <x v="0"/>
    <s v="A+"/>
    <x v="2"/>
    <d v="2022-03-17T00:00:00"/>
    <s v="Sherri Jones"/>
    <s v="Miller-Perry"/>
    <s v="Aetna"/>
    <n v="23559.596143840899"/>
    <n v="405"/>
    <x v="1"/>
    <d v="2022-04-09T00:00:00"/>
    <x v="2"/>
    <x v="0"/>
    <n v="23"/>
  </r>
  <r>
    <s v="Tiffany Macias"/>
    <x v="6"/>
    <n v="68"/>
    <x v="1"/>
    <s v="A+"/>
    <x v="2"/>
    <d v="2022-11-02T00:00:00"/>
    <s v="Lori Hanna"/>
    <s v="Phillips, Wilkinson and Garza"/>
    <s v="UnitedHealthcare"/>
    <n v="20293.670726972599"/>
    <n v="247"/>
    <x v="2"/>
    <d v="2022-11-19T00:00:00"/>
    <x v="2"/>
    <x v="2"/>
    <n v="17"/>
  </r>
  <r>
    <s v="Timothy Mcgrath"/>
    <x v="5"/>
    <n v="42"/>
    <x v="1"/>
    <s v="B-"/>
    <x v="2"/>
    <d v="2020-06-07T00:00:00"/>
    <s v="Kimberly Brewer"/>
    <s v="Rodgers, Martin and Bridges"/>
    <s v="Cigna"/>
    <n v="37081.460987861101"/>
    <n v="283"/>
    <x v="1"/>
    <d v="2020-06-11T00:00:00"/>
    <x v="3"/>
    <x v="0"/>
    <n v="4"/>
  </r>
  <r>
    <s v="Timothy Miranda"/>
    <x v="4"/>
    <n v="62"/>
    <x v="1"/>
    <s v="B+"/>
    <x v="2"/>
    <d v="2018-11-21T00:00:00"/>
    <s v="Kara Barton"/>
    <s v="Harper-Gray"/>
    <s v="Aetna"/>
    <n v="1608.6917926893"/>
    <n v="153"/>
    <x v="2"/>
    <d v="2018-11-29T00:00:00"/>
    <x v="0"/>
    <x v="2"/>
    <n v="8"/>
  </r>
  <r>
    <s v="Tina Howard"/>
    <x v="1"/>
    <n v="20"/>
    <x v="0"/>
    <s v="O+"/>
    <x v="2"/>
    <d v="2019-04-10T00:00:00"/>
    <s v="Ellen Spence"/>
    <s v="Donaldson, Wilson and Martin"/>
    <s v="Medicare"/>
    <n v="43865.899919224597"/>
    <n v="360"/>
    <x v="2"/>
    <d v="2019-05-09T00:00:00"/>
    <x v="1"/>
    <x v="1"/>
    <n v="29"/>
  </r>
  <r>
    <s v="Travis Jordan"/>
    <x v="2"/>
    <n v="54"/>
    <x v="0"/>
    <s v="B-"/>
    <x v="2"/>
    <d v="2021-12-17T00:00:00"/>
    <s v="Robert Burton"/>
    <s v="Brock-Parker"/>
    <s v="Cigna"/>
    <n v="16479.896915585301"/>
    <n v="156"/>
    <x v="0"/>
    <d v="2021-12-27T00:00:00"/>
    <x v="2"/>
    <x v="1"/>
    <n v="10"/>
  </r>
  <r>
    <s v="Travis Williams"/>
    <x v="4"/>
    <n v="63"/>
    <x v="1"/>
    <s v="B-"/>
    <x v="2"/>
    <d v="2020-09-26T00:00:00"/>
    <s v="Samuel Gilbert"/>
    <s v="Smith, Lopez and Taylor"/>
    <s v="Medicare"/>
    <n v="45218.396855689702"/>
    <n v="269"/>
    <x v="0"/>
    <d v="2020-10-05T00:00:00"/>
    <x v="4"/>
    <x v="0"/>
    <n v="9"/>
  </r>
  <r>
    <s v="Tyler Rosario"/>
    <x v="5"/>
    <n v="43"/>
    <x v="0"/>
    <s v="O-"/>
    <x v="2"/>
    <d v="2021-07-07T00:00:00"/>
    <s v="Julia Gibson"/>
    <s v="Diaz-Smith"/>
    <s v="Aetna"/>
    <n v="42685.190003543503"/>
    <n v="436"/>
    <x v="1"/>
    <d v="2021-07-16T00:00:00"/>
    <x v="0"/>
    <x v="2"/>
    <n v="9"/>
  </r>
  <r>
    <s v="Vanessa Taylor"/>
    <x v="5"/>
    <n v="45"/>
    <x v="1"/>
    <s v="AB+"/>
    <x v="2"/>
    <d v="2019-05-14T00:00:00"/>
    <s v="Austin Fernandez"/>
    <s v="Myers, Randall and Williams"/>
    <s v="UnitedHealthcare"/>
    <n v="1523.10601988182"/>
    <n v="333"/>
    <x v="0"/>
    <d v="2019-05-15T00:00:00"/>
    <x v="0"/>
    <x v="1"/>
    <n v="1"/>
  </r>
  <r>
    <s v="Victoria Kennedy"/>
    <x v="4"/>
    <n v="62"/>
    <x v="0"/>
    <s v="O+"/>
    <x v="2"/>
    <d v="2023-06-04T00:00:00"/>
    <s v="Gina Daniel"/>
    <s v="Snyder, Banks and Austin"/>
    <s v="Blue Cross"/>
    <n v="30219.840568138901"/>
    <n v="248"/>
    <x v="2"/>
    <d v="2023-06-29T00:00:00"/>
    <x v="1"/>
    <x v="1"/>
    <n v="25"/>
  </r>
  <r>
    <s v="Vincent Reese"/>
    <x v="0"/>
    <n v="84"/>
    <x v="0"/>
    <s v="O+"/>
    <x v="2"/>
    <d v="2020-06-23T00:00:00"/>
    <s v="Chris Weeks"/>
    <s v="Riddle PLC"/>
    <s v="Aetna"/>
    <n v="22269.5569739936"/>
    <n v="158"/>
    <x v="1"/>
    <d v="2020-07-08T00:00:00"/>
    <x v="1"/>
    <x v="2"/>
    <n v="15"/>
  </r>
  <r>
    <s v="Walter Miller"/>
    <x v="6"/>
    <n v="74"/>
    <x v="1"/>
    <s v="O-"/>
    <x v="2"/>
    <d v="2022-03-21T00:00:00"/>
    <s v="George Davis"/>
    <s v="Grimes Group"/>
    <s v="Aetna"/>
    <n v="9548.4011594508502"/>
    <n v="384"/>
    <x v="1"/>
    <d v="2022-04-19T00:00:00"/>
    <x v="4"/>
    <x v="1"/>
    <n v="29"/>
  </r>
  <r>
    <s v="Whitney Bradley"/>
    <x v="6"/>
    <n v="69"/>
    <x v="1"/>
    <s v="A+"/>
    <x v="2"/>
    <d v="2021-11-11T00:00:00"/>
    <s v="David Vargas"/>
    <s v="Arnold Group"/>
    <s v="Blue Cross"/>
    <n v="16471.376988443"/>
    <n v="413"/>
    <x v="2"/>
    <d v="2021-12-04T00:00:00"/>
    <x v="0"/>
    <x v="1"/>
    <n v="23"/>
  </r>
  <r>
    <s v="Whitney Garza"/>
    <x v="6"/>
    <n v="71"/>
    <x v="0"/>
    <s v="O-"/>
    <x v="2"/>
    <d v="2021-12-10T00:00:00"/>
    <s v="Nathaniel Richardson"/>
    <s v="Diaz Group"/>
    <s v="Medicare"/>
    <n v="44941.230443883796"/>
    <n v="485"/>
    <x v="1"/>
    <d v="2021-12-12T00:00:00"/>
    <x v="3"/>
    <x v="0"/>
    <n v="2"/>
  </r>
  <r>
    <s v="Zachary Roberts"/>
    <x v="1"/>
    <n v="25"/>
    <x v="0"/>
    <s v="AB+"/>
    <x v="2"/>
    <d v="2023-03-11T00:00:00"/>
    <s v="Dr. Robert Massey"/>
    <s v="Flores Group"/>
    <s v="Cigna"/>
    <n v="29531.968949386301"/>
    <n v="194"/>
    <x v="2"/>
    <d v="2023-04-07T00:00:00"/>
    <x v="3"/>
    <x v="2"/>
    <n v="27"/>
  </r>
  <r>
    <s v="Aaron Gray"/>
    <x v="5"/>
    <n v="38"/>
    <x v="1"/>
    <s v="B+"/>
    <x v="3"/>
    <d v="2021-06-01T00:00:00"/>
    <s v="Rachel Wood"/>
    <s v="Porter, Smith and Allison"/>
    <s v="Cigna"/>
    <n v="6897.1003201639996"/>
    <n v="164"/>
    <x v="1"/>
    <d v="2021-06-24T00:00:00"/>
    <x v="1"/>
    <x v="2"/>
    <n v="23"/>
  </r>
  <r>
    <s v="Adam Ballard"/>
    <x v="6"/>
    <n v="72"/>
    <x v="0"/>
    <s v="A+"/>
    <x v="3"/>
    <d v="2021-01-11T00:00:00"/>
    <s v="Barbara Hurst"/>
    <s v="Morgan PLC"/>
    <s v="Cigna"/>
    <n v="30304.653849840699"/>
    <n v="129"/>
    <x v="2"/>
    <d v="2021-01-29T00:00:00"/>
    <x v="3"/>
    <x v="0"/>
    <n v="18"/>
  </r>
  <r>
    <s v="Adam Butler"/>
    <x v="3"/>
    <n v="35"/>
    <x v="1"/>
    <s v="A+"/>
    <x v="3"/>
    <d v="2023-08-01T00:00:00"/>
    <s v="Elizabeth Humphrey"/>
    <s v="Sparks, Figueroa and Carroll"/>
    <s v="Blue Cross"/>
    <n v="44655.699075422199"/>
    <n v="363"/>
    <x v="1"/>
    <d v="2023-08-16T00:00:00"/>
    <x v="3"/>
    <x v="0"/>
    <n v="15"/>
  </r>
  <r>
    <s v="Albert Carter"/>
    <x v="3"/>
    <n v="29"/>
    <x v="0"/>
    <s v="A-"/>
    <x v="3"/>
    <d v="2020-08-07T00:00:00"/>
    <s v="Kelly Sanchez"/>
    <s v="Summers PLC"/>
    <s v="Cigna"/>
    <n v="37867.019332053897"/>
    <n v="445"/>
    <x v="1"/>
    <d v="2020-08-28T00:00:00"/>
    <x v="4"/>
    <x v="1"/>
    <n v="21"/>
  </r>
  <r>
    <s v="Alec Hess"/>
    <x v="2"/>
    <n v="52"/>
    <x v="1"/>
    <s v="A+"/>
    <x v="3"/>
    <d v="2023-07-16T00:00:00"/>
    <s v="Scott Barton"/>
    <s v="Bright LLC"/>
    <s v="Blue Cross"/>
    <n v="35954.786568013304"/>
    <n v="470"/>
    <x v="2"/>
    <d v="2023-08-11T00:00:00"/>
    <x v="2"/>
    <x v="1"/>
    <n v="26"/>
  </r>
  <r>
    <s v="Alexis Chen"/>
    <x v="2"/>
    <n v="48"/>
    <x v="0"/>
    <s v="AB-"/>
    <x v="3"/>
    <d v="2020-01-23T00:00:00"/>
    <s v="Dr. Nicolas Bryant"/>
    <s v="Rhodes, Jones and Gomez"/>
    <s v="Cigna"/>
    <n v="24305.533702188499"/>
    <n v="135"/>
    <x v="2"/>
    <d v="2020-01-28T00:00:00"/>
    <x v="2"/>
    <x v="0"/>
    <n v="5"/>
  </r>
  <r>
    <s v="Alicia French"/>
    <x v="2"/>
    <n v="52"/>
    <x v="0"/>
    <s v="AB-"/>
    <x v="3"/>
    <d v="2021-02-07T00:00:00"/>
    <s v="Betty Evans"/>
    <s v="Alvarez, Norman and Barrera"/>
    <s v="Aetna"/>
    <n v="17219.172491391098"/>
    <n v="101"/>
    <x v="2"/>
    <d v="2021-02-21T00:00:00"/>
    <x v="3"/>
    <x v="2"/>
    <n v="14"/>
  </r>
  <r>
    <s v="Allison Reed PhD"/>
    <x v="0"/>
    <n v="78"/>
    <x v="1"/>
    <s v="B+"/>
    <x v="3"/>
    <d v="2020-03-05T00:00:00"/>
    <s v="Anthony Hernandez"/>
    <s v="Walton Inc"/>
    <s v="Cigna"/>
    <n v="35699.311529053499"/>
    <n v="329"/>
    <x v="2"/>
    <d v="2020-03-18T00:00:00"/>
    <x v="3"/>
    <x v="1"/>
    <n v="13"/>
  </r>
  <r>
    <s v="Allison White"/>
    <x v="0"/>
    <n v="81"/>
    <x v="0"/>
    <s v="A+"/>
    <x v="3"/>
    <d v="2021-08-16T00:00:00"/>
    <s v="Wesley Thompson"/>
    <s v="Willis Inc"/>
    <s v="UnitedHealthcare"/>
    <n v="17835.9505418435"/>
    <n v="275"/>
    <x v="2"/>
    <d v="2021-09-01T00:00:00"/>
    <x v="3"/>
    <x v="1"/>
    <n v="16"/>
  </r>
  <r>
    <s v="Amanda Lee"/>
    <x v="6"/>
    <n v="71"/>
    <x v="0"/>
    <s v="A-"/>
    <x v="3"/>
    <d v="2020-02-12T00:00:00"/>
    <s v="Brenda Burton"/>
    <s v="Bass, Larson and Williams"/>
    <s v="UnitedHealthcare"/>
    <n v="17166.802113751899"/>
    <n v="181"/>
    <x v="0"/>
    <d v="2020-03-06T00:00:00"/>
    <x v="0"/>
    <x v="2"/>
    <n v="23"/>
  </r>
  <r>
    <s v="Amanda Stein DVM"/>
    <x v="4"/>
    <n v="56"/>
    <x v="0"/>
    <s v="O+"/>
    <x v="3"/>
    <d v="2023-10-28T00:00:00"/>
    <s v="Sergio Conner"/>
    <s v="Yu, Garcia and Jones"/>
    <s v="Aetna"/>
    <n v="18904.738199568299"/>
    <n v="404"/>
    <x v="2"/>
    <d v="2023-11-25T00:00:00"/>
    <x v="0"/>
    <x v="0"/>
    <n v="28"/>
  </r>
  <r>
    <s v="Amy Jensen"/>
    <x v="6"/>
    <n v="74"/>
    <x v="0"/>
    <s v="O-"/>
    <x v="3"/>
    <d v="2022-03-02T00:00:00"/>
    <s v="Kara Frey"/>
    <s v="Barrera Ltd"/>
    <s v="Cigna"/>
    <n v="28004.3415366876"/>
    <n v="261"/>
    <x v="0"/>
    <d v="2022-03-25T00:00:00"/>
    <x v="1"/>
    <x v="2"/>
    <n v="23"/>
  </r>
  <r>
    <s v="Andrea Rich"/>
    <x v="6"/>
    <n v="66"/>
    <x v="1"/>
    <s v="O-"/>
    <x v="3"/>
    <d v="2019-04-04T00:00:00"/>
    <s v="Matthew Williams"/>
    <s v="Phillips-Cooke"/>
    <s v="Aetna"/>
    <n v="29497.374026784499"/>
    <n v="244"/>
    <x v="0"/>
    <d v="2019-04-26T00:00:00"/>
    <x v="3"/>
    <x v="1"/>
    <n v="22"/>
  </r>
  <r>
    <s v="Andrew Jenkins"/>
    <x v="3"/>
    <n v="31"/>
    <x v="0"/>
    <s v="O-"/>
    <x v="3"/>
    <d v="2022-01-24T00:00:00"/>
    <s v="Deborah Blackwell"/>
    <s v="Smith-Mercado"/>
    <s v="Aetna"/>
    <n v="10571.488648119701"/>
    <n v="316"/>
    <x v="1"/>
    <d v="2022-02-04T00:00:00"/>
    <x v="0"/>
    <x v="0"/>
    <n v="11"/>
  </r>
  <r>
    <s v="Andrew Sharp"/>
    <x v="1"/>
    <n v="24"/>
    <x v="1"/>
    <s v="A+"/>
    <x v="3"/>
    <d v="2022-08-08T00:00:00"/>
    <s v="Julia Lang"/>
    <s v="Holmes Ltd"/>
    <s v="Cigna"/>
    <n v="6972.1480034604401"/>
    <n v="270"/>
    <x v="2"/>
    <d v="2022-09-02T00:00:00"/>
    <x v="0"/>
    <x v="0"/>
    <n v="25"/>
  </r>
  <r>
    <s v="Angela Brown"/>
    <x v="3"/>
    <n v="33"/>
    <x v="0"/>
    <s v="B-"/>
    <x v="3"/>
    <d v="2019-01-10T00:00:00"/>
    <s v="Angela Kim"/>
    <s v="Lewis-Nelson"/>
    <s v="UnitedHealthcare"/>
    <n v="22331.280156199198"/>
    <n v="120"/>
    <x v="2"/>
    <d v="2019-01-31T00:00:00"/>
    <x v="3"/>
    <x v="2"/>
    <n v="21"/>
  </r>
  <r>
    <s v="Angela Lara"/>
    <x v="0"/>
    <n v="80"/>
    <x v="0"/>
    <s v="AB-"/>
    <x v="3"/>
    <d v="2021-10-30T00:00:00"/>
    <s v="Trevor Walker"/>
    <s v="Francis, Williams and Richardson"/>
    <s v="Medicare"/>
    <n v="7425.0216551047697"/>
    <n v="257"/>
    <x v="0"/>
    <d v="2021-11-14T00:00:00"/>
    <x v="2"/>
    <x v="1"/>
    <n v="15"/>
  </r>
  <r>
    <s v="Anne Bates"/>
    <x v="0"/>
    <n v="78"/>
    <x v="1"/>
    <s v="B+"/>
    <x v="3"/>
    <d v="2020-05-13T00:00:00"/>
    <s v="Alyssa Acevedo"/>
    <s v="Lewis Group"/>
    <s v="Medicare"/>
    <n v="15773.9011829143"/>
    <n v="340"/>
    <x v="1"/>
    <d v="2020-06-03T00:00:00"/>
    <x v="4"/>
    <x v="0"/>
    <n v="21"/>
  </r>
  <r>
    <s v="Ashley Armstrong"/>
    <x v="5"/>
    <n v="40"/>
    <x v="0"/>
    <s v="A+"/>
    <x v="3"/>
    <d v="2021-12-23T00:00:00"/>
    <s v="Jamie Marks"/>
    <s v="Dawson, Yang and Hood"/>
    <s v="Cigna"/>
    <n v="35791.956328527303"/>
    <n v="238"/>
    <x v="2"/>
    <d v="2022-01-10T00:00:00"/>
    <x v="0"/>
    <x v="0"/>
    <n v="18"/>
  </r>
  <r>
    <s v="Barbara Gutierrez"/>
    <x v="2"/>
    <n v="54"/>
    <x v="0"/>
    <s v="O+"/>
    <x v="3"/>
    <d v="2021-09-11T00:00:00"/>
    <s v="Michael Waters"/>
    <s v="Arnold, Conner and Morris"/>
    <s v="UnitedHealthcare"/>
    <n v="22542.0479113644"/>
    <n v="350"/>
    <x v="0"/>
    <d v="2021-10-11T00:00:00"/>
    <x v="4"/>
    <x v="0"/>
    <n v="30"/>
  </r>
  <r>
    <s v="Brendan Moody"/>
    <x v="3"/>
    <n v="30"/>
    <x v="1"/>
    <s v="AB+"/>
    <x v="3"/>
    <d v="2021-02-24T00:00:00"/>
    <s v="Sylvia Johnson"/>
    <s v="Gonzalez Inc"/>
    <s v="UnitedHealthcare"/>
    <n v="24274.1416006244"/>
    <n v="364"/>
    <x v="0"/>
    <d v="2021-03-21T00:00:00"/>
    <x v="2"/>
    <x v="1"/>
    <n v="25"/>
  </r>
  <r>
    <s v="Brian Williams"/>
    <x v="3"/>
    <n v="34"/>
    <x v="1"/>
    <s v="AB-"/>
    <x v="3"/>
    <d v="2019-08-24T00:00:00"/>
    <s v="Andre Schultz"/>
    <s v="Le-Vargas"/>
    <s v="Blue Cross"/>
    <n v="1318.43028055172"/>
    <n v="129"/>
    <x v="1"/>
    <d v="2019-09-05T00:00:00"/>
    <x v="0"/>
    <x v="0"/>
    <n v="12"/>
  </r>
  <r>
    <s v="Brittany Baker"/>
    <x v="0"/>
    <n v="84"/>
    <x v="1"/>
    <s v="AB-"/>
    <x v="3"/>
    <d v="2023-01-26T00:00:00"/>
    <s v="James Flynn"/>
    <s v="Watts, Rodriguez and Conrad"/>
    <s v="Medicare"/>
    <n v="31740.4913383698"/>
    <n v="174"/>
    <x v="1"/>
    <d v="2023-01-29T00:00:00"/>
    <x v="1"/>
    <x v="0"/>
    <n v="3"/>
  </r>
  <r>
    <s v="Bruce Johnson"/>
    <x v="4"/>
    <n v="60"/>
    <x v="0"/>
    <s v="AB+"/>
    <x v="3"/>
    <d v="2022-05-05T00:00:00"/>
    <s v="Luke Lawrence"/>
    <s v="Fleming-Lee"/>
    <s v="Blue Cross"/>
    <n v="32288.973244691399"/>
    <n v="191"/>
    <x v="0"/>
    <d v="2022-05-25T00:00:00"/>
    <x v="2"/>
    <x v="0"/>
    <n v="20"/>
  </r>
  <r>
    <s v="Bryan Williams"/>
    <x v="0"/>
    <n v="79"/>
    <x v="0"/>
    <s v="B+"/>
    <x v="3"/>
    <d v="2020-08-16T00:00:00"/>
    <s v="George May"/>
    <s v="Thomas Group"/>
    <s v="UnitedHealthcare"/>
    <n v="20190.809336263901"/>
    <n v="287"/>
    <x v="1"/>
    <d v="2020-09-01T00:00:00"/>
    <x v="4"/>
    <x v="1"/>
    <n v="16"/>
  </r>
  <r>
    <s v="Carol Murray"/>
    <x v="0"/>
    <n v="77"/>
    <x v="1"/>
    <s v="AB-"/>
    <x v="3"/>
    <d v="2022-02-06T00:00:00"/>
    <s v="Jennifer Acosta"/>
    <s v="Miles Group"/>
    <s v="Aetna"/>
    <n v="22773.131100555202"/>
    <n v="433"/>
    <x v="1"/>
    <d v="2022-02-21T00:00:00"/>
    <x v="0"/>
    <x v="1"/>
    <n v="15"/>
  </r>
  <r>
    <s v="Carolyn Murphy"/>
    <x v="3"/>
    <n v="30"/>
    <x v="0"/>
    <s v="AB+"/>
    <x v="3"/>
    <d v="2022-08-12T00:00:00"/>
    <s v="Jennifer Merritt"/>
    <s v="Reilly LLC"/>
    <s v="Medicare"/>
    <n v="24714.114762172401"/>
    <n v="127"/>
    <x v="1"/>
    <d v="2022-08-28T00:00:00"/>
    <x v="0"/>
    <x v="0"/>
    <n v="16"/>
  </r>
  <r>
    <s v="Catherine Wallace"/>
    <x v="5"/>
    <n v="43"/>
    <x v="0"/>
    <s v="O+"/>
    <x v="3"/>
    <d v="2020-09-07T00:00:00"/>
    <s v="Miguel Jones"/>
    <s v="Stevens-Obrien"/>
    <s v="UnitedHealthcare"/>
    <n v="14722.0648697956"/>
    <n v="441"/>
    <x v="2"/>
    <d v="2020-09-21T00:00:00"/>
    <x v="4"/>
    <x v="0"/>
    <n v="14"/>
  </r>
  <r>
    <s v="Chelsea Johnson"/>
    <x v="2"/>
    <n v="51"/>
    <x v="1"/>
    <s v="O-"/>
    <x v="3"/>
    <d v="2019-06-24T00:00:00"/>
    <s v="Benjamin Cameron"/>
    <s v="Hester, Dominguez and Williams"/>
    <s v="UnitedHealthcare"/>
    <n v="9199.6683013407692"/>
    <n v="291"/>
    <x v="0"/>
    <d v="2019-07-09T00:00:00"/>
    <x v="0"/>
    <x v="2"/>
    <n v="15"/>
  </r>
  <r>
    <s v="Christina Williams"/>
    <x v="0"/>
    <n v="85"/>
    <x v="0"/>
    <s v="A+"/>
    <x v="3"/>
    <d v="2021-11-29T00:00:00"/>
    <s v="Laura Roberts"/>
    <s v="Malone, Thompson and Mejia"/>
    <s v="Aetna"/>
    <n v="4835.9456495254099"/>
    <n v="444"/>
    <x v="0"/>
    <d v="2021-12-14T00:00:00"/>
    <x v="3"/>
    <x v="0"/>
    <n v="15"/>
  </r>
  <r>
    <s v="Christopher Adams"/>
    <x v="1"/>
    <n v="21"/>
    <x v="0"/>
    <s v="B-"/>
    <x v="3"/>
    <d v="2022-04-30T00:00:00"/>
    <s v="John Henderson"/>
    <s v="Jones and Sons"/>
    <s v="Cigna"/>
    <n v="30810.306086750999"/>
    <n v="429"/>
    <x v="1"/>
    <d v="2022-05-25T00:00:00"/>
    <x v="3"/>
    <x v="1"/>
    <n v="25"/>
  </r>
  <r>
    <s v="Christopher Miller"/>
    <x v="0"/>
    <n v="77"/>
    <x v="1"/>
    <s v="A+"/>
    <x v="3"/>
    <d v="2023-01-08T00:00:00"/>
    <s v="Ashley Price"/>
    <s v="Russell and Sons"/>
    <s v="Medicare"/>
    <n v="32942.424029015201"/>
    <n v="395"/>
    <x v="0"/>
    <d v="2023-01-23T00:00:00"/>
    <x v="0"/>
    <x v="1"/>
    <n v="15"/>
  </r>
  <r>
    <s v="Colleen Allen"/>
    <x v="1"/>
    <n v="25"/>
    <x v="1"/>
    <s v="O-"/>
    <x v="3"/>
    <d v="2021-09-20T00:00:00"/>
    <s v="Dana Daniels"/>
    <s v="Patrick, Bush and Smith"/>
    <s v="Medicare"/>
    <n v="2843.95677061999"/>
    <n v="223"/>
    <x v="1"/>
    <d v="2021-10-12T00:00:00"/>
    <x v="0"/>
    <x v="0"/>
    <n v="22"/>
  </r>
  <r>
    <s v="Daniel Blevins"/>
    <x v="0"/>
    <n v="82"/>
    <x v="0"/>
    <s v="O-"/>
    <x v="3"/>
    <d v="2021-08-19T00:00:00"/>
    <s v="Ashley Brooks"/>
    <s v="Benson PLC"/>
    <s v="Cigna"/>
    <n v="22706.167498746101"/>
    <n v="253"/>
    <x v="1"/>
    <d v="2021-08-22T00:00:00"/>
    <x v="1"/>
    <x v="2"/>
    <n v="3"/>
  </r>
  <r>
    <s v="Daniel Branch"/>
    <x v="4"/>
    <n v="63"/>
    <x v="1"/>
    <s v="B-"/>
    <x v="3"/>
    <d v="2022-08-21T00:00:00"/>
    <s v="John Russell"/>
    <s v="Hawkins-Burns"/>
    <s v="Cigna"/>
    <n v="11762.2236337389"/>
    <n v="237"/>
    <x v="0"/>
    <d v="2022-09-13T00:00:00"/>
    <x v="4"/>
    <x v="2"/>
    <n v="23"/>
  </r>
  <r>
    <s v="Daniel Wilkinson"/>
    <x v="5"/>
    <n v="40"/>
    <x v="1"/>
    <s v="O-"/>
    <x v="3"/>
    <d v="2021-10-12T00:00:00"/>
    <s v="Eric Bowen"/>
    <s v="Esparza and Sons"/>
    <s v="Medicare"/>
    <n v="3975.0745246014399"/>
    <n v="310"/>
    <x v="1"/>
    <d v="2021-11-03T00:00:00"/>
    <x v="3"/>
    <x v="1"/>
    <n v="22"/>
  </r>
  <r>
    <s v="David Pierce"/>
    <x v="6"/>
    <n v="68"/>
    <x v="0"/>
    <s v="O+"/>
    <x v="3"/>
    <d v="2021-01-10T00:00:00"/>
    <s v="Tracy Ward"/>
    <s v="Morris-Hughes"/>
    <s v="Cigna"/>
    <n v="44300.249721893102"/>
    <n v="334"/>
    <x v="1"/>
    <d v="2021-01-21T00:00:00"/>
    <x v="4"/>
    <x v="1"/>
    <n v="11"/>
  </r>
  <r>
    <s v="Desiree Gordon"/>
    <x v="6"/>
    <n v="67"/>
    <x v="0"/>
    <s v="AB-"/>
    <x v="3"/>
    <d v="2021-08-25T00:00:00"/>
    <s v="Robert Morgan"/>
    <s v="Diaz and Sons"/>
    <s v="Blue Cross"/>
    <n v="43137.280682502002"/>
    <n v="291"/>
    <x v="2"/>
    <d v="2021-08-30T00:00:00"/>
    <x v="3"/>
    <x v="1"/>
    <n v="5"/>
  </r>
  <r>
    <s v="Diana Stevens"/>
    <x v="0"/>
    <n v="83"/>
    <x v="1"/>
    <s v="A+"/>
    <x v="3"/>
    <d v="2020-02-01T00:00:00"/>
    <s v="Steven Allen"/>
    <s v="Shepard Ltd"/>
    <s v="UnitedHealthcare"/>
    <n v="21787.948212606501"/>
    <n v="221"/>
    <x v="1"/>
    <d v="2020-02-25T00:00:00"/>
    <x v="2"/>
    <x v="1"/>
    <n v="24"/>
  </r>
  <r>
    <s v="Dillon Dunlap"/>
    <x v="2"/>
    <n v="48"/>
    <x v="0"/>
    <s v="O+"/>
    <x v="3"/>
    <d v="2021-09-02T00:00:00"/>
    <s v="Jason Coleman"/>
    <s v="Lowe-Lynch"/>
    <s v="Medicare"/>
    <n v="2023.5218195800101"/>
    <n v="499"/>
    <x v="1"/>
    <d v="2021-09-27T00:00:00"/>
    <x v="1"/>
    <x v="2"/>
    <n v="25"/>
  </r>
  <r>
    <s v="Donald Mccoy"/>
    <x v="2"/>
    <n v="49"/>
    <x v="1"/>
    <s v="A-"/>
    <x v="3"/>
    <d v="2023-07-08T00:00:00"/>
    <s v="Tammy Harris"/>
    <s v="Little-Tucker"/>
    <s v="UnitedHealthcare"/>
    <n v="31587.212506815002"/>
    <n v="406"/>
    <x v="2"/>
    <d v="2023-07-17T00:00:00"/>
    <x v="3"/>
    <x v="2"/>
    <n v="9"/>
  </r>
  <r>
    <s v="Donna Jones"/>
    <x v="2"/>
    <n v="46"/>
    <x v="1"/>
    <s v="A-"/>
    <x v="3"/>
    <d v="2018-12-15T00:00:00"/>
    <s v="Sharon Banks"/>
    <s v="Mccormick Inc"/>
    <s v="Aetna"/>
    <n v="5901.1451563276796"/>
    <n v="104"/>
    <x v="2"/>
    <d v="2018-12-19T00:00:00"/>
    <x v="1"/>
    <x v="0"/>
    <n v="4"/>
  </r>
  <r>
    <s v="Donna Sanchez"/>
    <x v="5"/>
    <n v="37"/>
    <x v="0"/>
    <s v="B-"/>
    <x v="3"/>
    <d v="2021-04-14T00:00:00"/>
    <s v="Annette Cook"/>
    <s v="Rivera-Carr"/>
    <s v="Blue Cross"/>
    <n v="33811.6857725144"/>
    <n v="234"/>
    <x v="0"/>
    <d v="2021-04-28T00:00:00"/>
    <x v="0"/>
    <x v="2"/>
    <n v="14"/>
  </r>
  <r>
    <s v="Drew Crane"/>
    <x v="3"/>
    <n v="32"/>
    <x v="0"/>
    <s v="AB-"/>
    <x v="3"/>
    <d v="2020-02-02T00:00:00"/>
    <s v="Haley Riley"/>
    <s v="Kaiser Inc"/>
    <s v="Medicare"/>
    <n v="47443.997596779598"/>
    <n v="210"/>
    <x v="0"/>
    <d v="2020-02-26T00:00:00"/>
    <x v="2"/>
    <x v="1"/>
    <n v="24"/>
  </r>
  <r>
    <s v="Dustin Garrett"/>
    <x v="6"/>
    <n v="66"/>
    <x v="0"/>
    <s v="O-"/>
    <x v="3"/>
    <d v="2023-07-06T00:00:00"/>
    <s v="Rodney Johnson"/>
    <s v="Davis, Baker and Anderson"/>
    <s v="Medicare"/>
    <n v="11610.3934897167"/>
    <n v="390"/>
    <x v="2"/>
    <d v="2023-07-07T00:00:00"/>
    <x v="1"/>
    <x v="2"/>
    <n v="1"/>
  </r>
  <r>
    <s v="Dwayne Fletcher"/>
    <x v="0"/>
    <n v="78"/>
    <x v="0"/>
    <s v="A+"/>
    <x v="3"/>
    <d v="2023-05-03T00:00:00"/>
    <s v="Zachary Anderson"/>
    <s v="Mcdonald-Martinez"/>
    <s v="Medicare"/>
    <n v="14317.3807033377"/>
    <n v="186"/>
    <x v="2"/>
    <d v="2023-05-23T00:00:00"/>
    <x v="4"/>
    <x v="1"/>
    <n v="20"/>
  </r>
  <r>
    <s v="Emily Sanders"/>
    <x v="3"/>
    <n v="32"/>
    <x v="0"/>
    <s v="A+"/>
    <x v="3"/>
    <d v="2022-01-03T00:00:00"/>
    <s v="Kenneth Higgins"/>
    <s v="May, Holmes and Walsh"/>
    <s v="UnitedHealthcare"/>
    <n v="44033.886315806201"/>
    <n v="272"/>
    <x v="1"/>
    <d v="2022-01-12T00:00:00"/>
    <x v="2"/>
    <x v="2"/>
    <n v="9"/>
  </r>
  <r>
    <s v="Gabriel Vasquez"/>
    <x v="1"/>
    <n v="20"/>
    <x v="1"/>
    <s v="B-"/>
    <x v="3"/>
    <d v="2022-07-02T00:00:00"/>
    <s v="Lori Stone"/>
    <s v="Michael-Choi"/>
    <s v="UnitedHealthcare"/>
    <n v="42419.108944818698"/>
    <n v="443"/>
    <x v="2"/>
    <d v="2022-07-22T00:00:00"/>
    <x v="4"/>
    <x v="2"/>
    <n v="20"/>
  </r>
  <r>
    <s v="Gerald Moore"/>
    <x v="3"/>
    <n v="27"/>
    <x v="1"/>
    <s v="AB+"/>
    <x v="3"/>
    <d v="2020-06-13T00:00:00"/>
    <s v="Alexandria Potts"/>
    <s v="Perkins-Bryan"/>
    <s v="Cigna"/>
    <n v="5859.6333361780398"/>
    <n v="136"/>
    <x v="1"/>
    <d v="2020-06-24T00:00:00"/>
    <x v="2"/>
    <x v="2"/>
    <n v="11"/>
  </r>
  <r>
    <s v="Harry Brown"/>
    <x v="3"/>
    <n v="29"/>
    <x v="0"/>
    <s v="B-"/>
    <x v="3"/>
    <d v="2023-07-15T00:00:00"/>
    <s v="John Mcdonald"/>
    <s v="Ortega, Smith and Bartlett"/>
    <s v="Medicare"/>
    <n v="47022.685315857801"/>
    <n v="304"/>
    <x v="2"/>
    <d v="2023-08-03T00:00:00"/>
    <x v="3"/>
    <x v="2"/>
    <n v="19"/>
  </r>
  <r>
    <s v="Heather Walters"/>
    <x v="3"/>
    <n v="31"/>
    <x v="0"/>
    <s v="A-"/>
    <x v="3"/>
    <d v="2021-03-15T00:00:00"/>
    <s v="Tara Kaufman"/>
    <s v="Harper, Williams and Miller"/>
    <s v="Blue Cross"/>
    <n v="29642.721664368699"/>
    <n v="349"/>
    <x v="2"/>
    <d v="2021-03-28T00:00:00"/>
    <x v="3"/>
    <x v="2"/>
    <n v="13"/>
  </r>
  <r>
    <s v="Jacob Franco"/>
    <x v="0"/>
    <n v="78"/>
    <x v="1"/>
    <s v="A+"/>
    <x v="3"/>
    <d v="2021-07-19T00:00:00"/>
    <s v="Natalie Moore"/>
    <s v="Martin-Mcguire"/>
    <s v="UnitedHealthcare"/>
    <n v="37662.669620134002"/>
    <n v="308"/>
    <x v="2"/>
    <d v="2021-08-01T00:00:00"/>
    <x v="4"/>
    <x v="2"/>
    <n v="13"/>
  </r>
  <r>
    <s v="Jacob Rodriguez"/>
    <x v="0"/>
    <n v="77"/>
    <x v="0"/>
    <s v="O-"/>
    <x v="3"/>
    <d v="2022-12-07T00:00:00"/>
    <s v="Jessica Powell MD"/>
    <s v="Aguilar-Obrien"/>
    <s v="Cigna"/>
    <n v="36744.037879934702"/>
    <n v="187"/>
    <x v="2"/>
    <d v="2022-12-22T00:00:00"/>
    <x v="3"/>
    <x v="2"/>
    <n v="15"/>
  </r>
  <r>
    <s v="Jacqueline Walker"/>
    <x v="1"/>
    <n v="20"/>
    <x v="0"/>
    <s v="B+"/>
    <x v="3"/>
    <d v="2023-08-18T00:00:00"/>
    <s v="Lauren Phillips"/>
    <s v="Morgan-Jennings"/>
    <s v="UnitedHealthcare"/>
    <n v="47902.623834897502"/>
    <n v="314"/>
    <x v="1"/>
    <d v="2023-09-06T00:00:00"/>
    <x v="2"/>
    <x v="1"/>
    <n v="19"/>
  </r>
  <r>
    <s v="Jamie Holland"/>
    <x v="1"/>
    <n v="24"/>
    <x v="1"/>
    <s v="AB-"/>
    <x v="3"/>
    <d v="2019-09-18T00:00:00"/>
    <s v="Brian Rocha"/>
    <s v="Wallace-Santiago"/>
    <s v="Blue Cross"/>
    <n v="43281.866852347302"/>
    <n v="452"/>
    <x v="2"/>
    <d v="2019-10-05T00:00:00"/>
    <x v="3"/>
    <x v="2"/>
    <n v="17"/>
  </r>
  <r>
    <s v="Jason Alvarez"/>
    <x v="6"/>
    <n v="71"/>
    <x v="0"/>
    <s v="AB+"/>
    <x v="3"/>
    <d v="2022-11-07T00:00:00"/>
    <s v="Jonathan Shaw"/>
    <s v="Hudson-Wagner"/>
    <s v="Blue Cross"/>
    <n v="13364.2847821496"/>
    <n v="233"/>
    <x v="1"/>
    <d v="2022-11-21T00:00:00"/>
    <x v="1"/>
    <x v="1"/>
    <n v="14"/>
  </r>
  <r>
    <s v="Jason Hunter"/>
    <x v="4"/>
    <n v="64"/>
    <x v="1"/>
    <s v="B+"/>
    <x v="3"/>
    <d v="2019-09-13T00:00:00"/>
    <s v="Jonathan Phillips"/>
    <s v="Huang Inc"/>
    <s v="Blue Cross"/>
    <n v="19279.2602148195"/>
    <n v="140"/>
    <x v="1"/>
    <d v="2019-09-16T00:00:00"/>
    <x v="3"/>
    <x v="2"/>
    <n v="3"/>
  </r>
  <r>
    <s v="Jason Whitaker"/>
    <x v="6"/>
    <n v="71"/>
    <x v="1"/>
    <s v="B+"/>
    <x v="3"/>
    <d v="2020-12-26T00:00:00"/>
    <s v="Robert Edwards"/>
    <s v="Cole, Gutierrez and Matthews"/>
    <s v="Aetna"/>
    <n v="17232.967197593702"/>
    <n v="143"/>
    <x v="2"/>
    <d v="2021-01-08T00:00:00"/>
    <x v="3"/>
    <x v="0"/>
    <n v="13"/>
  </r>
  <r>
    <s v="Jeff Castillo"/>
    <x v="2"/>
    <n v="52"/>
    <x v="0"/>
    <s v="AB-"/>
    <x v="3"/>
    <d v="2019-01-23T00:00:00"/>
    <s v="Christine Frey"/>
    <s v="Alvarez-Vazquez"/>
    <s v="Medicare"/>
    <n v="24921.3156336795"/>
    <n v="235"/>
    <x v="1"/>
    <d v="2019-02-11T00:00:00"/>
    <x v="4"/>
    <x v="1"/>
    <n v="19"/>
  </r>
  <r>
    <s v="Jennifer Reeves"/>
    <x v="4"/>
    <n v="56"/>
    <x v="1"/>
    <s v="A-"/>
    <x v="3"/>
    <d v="2019-12-05T00:00:00"/>
    <s v="Christina Gonzalez"/>
    <s v="Howell-Johnston"/>
    <s v="Medicare"/>
    <n v="41814.424468231598"/>
    <n v="267"/>
    <x v="1"/>
    <d v="2019-12-13T00:00:00"/>
    <x v="0"/>
    <x v="0"/>
    <n v="8"/>
  </r>
  <r>
    <s v="Jessica Ford"/>
    <x v="6"/>
    <n v="74"/>
    <x v="0"/>
    <s v="O-"/>
    <x v="3"/>
    <d v="2020-08-15T00:00:00"/>
    <s v="Briana Olson"/>
    <s v="Duncan Group"/>
    <s v="UnitedHealthcare"/>
    <n v="35869.406412032302"/>
    <n v="143"/>
    <x v="0"/>
    <d v="2020-08-29T00:00:00"/>
    <x v="2"/>
    <x v="1"/>
    <n v="14"/>
  </r>
  <r>
    <s v="Jessica Lee"/>
    <x v="3"/>
    <n v="31"/>
    <x v="1"/>
    <s v="AB+"/>
    <x v="3"/>
    <d v="2021-12-01T00:00:00"/>
    <s v="Kenneth Mccoy"/>
    <s v="Long and Sons"/>
    <s v="Medicare"/>
    <n v="47788.800990939402"/>
    <n v="354"/>
    <x v="2"/>
    <d v="2021-12-13T00:00:00"/>
    <x v="3"/>
    <x v="1"/>
    <n v="12"/>
  </r>
  <r>
    <s v="Jo Clark"/>
    <x v="3"/>
    <n v="30"/>
    <x v="1"/>
    <s v="O+"/>
    <x v="3"/>
    <d v="2021-04-18T00:00:00"/>
    <s v="Jordan Moss"/>
    <s v="Hall-Allen"/>
    <s v="Medicare"/>
    <n v="7898.4103950542303"/>
    <n v="152"/>
    <x v="1"/>
    <d v="2021-05-03T00:00:00"/>
    <x v="3"/>
    <x v="0"/>
    <n v="15"/>
  </r>
  <r>
    <s v="John Garza"/>
    <x v="0"/>
    <n v="80"/>
    <x v="0"/>
    <s v="AB+"/>
    <x v="3"/>
    <d v="2021-04-17T00:00:00"/>
    <s v="Jessica Newton"/>
    <s v="Bennett, Young and Patel"/>
    <s v="UnitedHealthcare"/>
    <n v="43535.022572040398"/>
    <n v="237"/>
    <x v="0"/>
    <d v="2021-05-16T00:00:00"/>
    <x v="4"/>
    <x v="0"/>
    <n v="29"/>
  </r>
  <r>
    <s v="John Gill"/>
    <x v="1"/>
    <n v="23"/>
    <x v="0"/>
    <s v="A+"/>
    <x v="3"/>
    <d v="2022-02-27T00:00:00"/>
    <s v="Jane Berger"/>
    <s v="Rivera-Brewer"/>
    <s v="Cigna"/>
    <n v="49213.851670691998"/>
    <n v="406"/>
    <x v="0"/>
    <d v="2022-03-21T00:00:00"/>
    <x v="2"/>
    <x v="0"/>
    <n v="22"/>
  </r>
  <r>
    <s v="John Lynch"/>
    <x v="2"/>
    <n v="52"/>
    <x v="1"/>
    <s v="AB+"/>
    <x v="3"/>
    <d v="2019-11-28T00:00:00"/>
    <s v="Richard Freeman"/>
    <s v="Simpson, Medina and Hensley"/>
    <s v="Medicare"/>
    <n v="19972.934865547501"/>
    <n v="139"/>
    <x v="1"/>
    <d v="2019-12-12T00:00:00"/>
    <x v="3"/>
    <x v="1"/>
    <n v="14"/>
  </r>
  <r>
    <s v="John Rios"/>
    <x v="6"/>
    <n v="70"/>
    <x v="0"/>
    <s v="O+"/>
    <x v="3"/>
    <d v="2022-07-11T00:00:00"/>
    <s v="Carla Dougherty"/>
    <s v="Kelly Ltd"/>
    <s v="UnitedHealthcare"/>
    <n v="12779.4190671751"/>
    <n v="139"/>
    <x v="2"/>
    <d v="2022-07-15T00:00:00"/>
    <x v="4"/>
    <x v="1"/>
    <n v="4"/>
  </r>
  <r>
    <s v="Johnny Johnson"/>
    <x v="6"/>
    <n v="75"/>
    <x v="0"/>
    <s v="AB-"/>
    <x v="3"/>
    <d v="2020-04-10T00:00:00"/>
    <s v="Dawn Pierce"/>
    <s v="Lawrence-Jackson"/>
    <s v="UnitedHealthcare"/>
    <n v="30453.292560833601"/>
    <n v="481"/>
    <x v="1"/>
    <d v="2020-05-10T00:00:00"/>
    <x v="3"/>
    <x v="0"/>
    <n v="30"/>
  </r>
  <r>
    <s v="Joseph Lynch"/>
    <x v="0"/>
    <n v="84"/>
    <x v="1"/>
    <s v="O+"/>
    <x v="3"/>
    <d v="2021-10-08T00:00:00"/>
    <s v="Jonathon Klein"/>
    <s v="Garza-Everett"/>
    <s v="Medicare"/>
    <n v="45537.194394455299"/>
    <n v="110"/>
    <x v="2"/>
    <d v="2021-11-01T00:00:00"/>
    <x v="2"/>
    <x v="1"/>
    <n v="24"/>
  </r>
  <r>
    <s v="Joyce Vaughn"/>
    <x v="3"/>
    <n v="33"/>
    <x v="1"/>
    <s v="O-"/>
    <x v="3"/>
    <d v="2021-09-22T00:00:00"/>
    <s v="Angelica Gross"/>
    <s v="Mcintyre, Stein and Jones"/>
    <s v="Aetna"/>
    <n v="16931.636008434802"/>
    <n v="108"/>
    <x v="1"/>
    <d v="2021-10-22T00:00:00"/>
    <x v="4"/>
    <x v="1"/>
    <n v="30"/>
  </r>
  <r>
    <s v="Juan Patel"/>
    <x v="6"/>
    <n v="66"/>
    <x v="0"/>
    <s v="AB-"/>
    <x v="3"/>
    <d v="2021-07-30T00:00:00"/>
    <s v="Christopher Castaneda"/>
    <s v="Norris-Robinson"/>
    <s v="Aetna"/>
    <n v="22787.279244194298"/>
    <n v="147"/>
    <x v="2"/>
    <d v="2021-08-27T00:00:00"/>
    <x v="2"/>
    <x v="2"/>
    <n v="28"/>
  </r>
  <r>
    <s v="Julie Long"/>
    <x v="3"/>
    <n v="29"/>
    <x v="0"/>
    <s v="A+"/>
    <x v="3"/>
    <d v="2020-10-13T00:00:00"/>
    <s v="Michael Allen"/>
    <s v="Freeman Inc"/>
    <s v="Blue Cross"/>
    <n v="18198.873724591798"/>
    <n v="353"/>
    <x v="2"/>
    <d v="2020-11-04T00:00:00"/>
    <x v="3"/>
    <x v="2"/>
    <n v="22"/>
  </r>
  <r>
    <s v="Julie Murray"/>
    <x v="1"/>
    <n v="19"/>
    <x v="1"/>
    <s v="AB+"/>
    <x v="3"/>
    <d v="2021-12-14T00:00:00"/>
    <s v="Mrs. Theresa Rosales MD"/>
    <s v="Jones, Harris and Ward"/>
    <s v="UnitedHealthcare"/>
    <n v="14964.071601818399"/>
    <n v="376"/>
    <x v="0"/>
    <d v="2022-01-10T00:00:00"/>
    <x v="2"/>
    <x v="0"/>
    <n v="27"/>
  </r>
  <r>
    <s v="Justin Cardenas"/>
    <x v="6"/>
    <n v="72"/>
    <x v="1"/>
    <s v="A+"/>
    <x v="3"/>
    <d v="2022-01-19T00:00:00"/>
    <s v="Jennifer Beasley"/>
    <s v="Mitchell-Simmons"/>
    <s v="Cigna"/>
    <n v="30711.598690891798"/>
    <n v="370"/>
    <x v="0"/>
    <d v="2022-02-17T00:00:00"/>
    <x v="0"/>
    <x v="2"/>
    <n v="29"/>
  </r>
  <r>
    <s v="Justin Kaufman"/>
    <x v="0"/>
    <n v="82"/>
    <x v="0"/>
    <s v="AB-"/>
    <x v="3"/>
    <d v="2021-02-18T00:00:00"/>
    <s v="Corey Sutton"/>
    <s v="Rodriguez-Robertson"/>
    <s v="Cigna"/>
    <n v="46461.822523561801"/>
    <n v="186"/>
    <x v="2"/>
    <d v="2021-03-06T00:00:00"/>
    <x v="4"/>
    <x v="2"/>
    <n v="16"/>
  </r>
  <r>
    <s v="Kara Long"/>
    <x v="6"/>
    <n v="72"/>
    <x v="0"/>
    <s v="AB-"/>
    <x v="3"/>
    <d v="2020-10-17T00:00:00"/>
    <s v="Kimberly Palmer"/>
    <s v="Montgomery-Ramos"/>
    <s v="Aetna"/>
    <n v="37374.026136089"/>
    <n v="488"/>
    <x v="1"/>
    <d v="2020-11-14T00:00:00"/>
    <x v="4"/>
    <x v="2"/>
    <n v="28"/>
  </r>
  <r>
    <s v="Karen Butler"/>
    <x v="5"/>
    <n v="40"/>
    <x v="1"/>
    <s v="AB+"/>
    <x v="3"/>
    <d v="2023-10-12T00:00:00"/>
    <s v="Patrick Williams"/>
    <s v="Brown LLC"/>
    <s v="UnitedHealthcare"/>
    <n v="11287.4155066394"/>
    <n v="447"/>
    <x v="2"/>
    <d v="2023-10-21T00:00:00"/>
    <x v="2"/>
    <x v="2"/>
    <n v="9"/>
  </r>
  <r>
    <s v="Karen Dunn"/>
    <x v="4"/>
    <n v="61"/>
    <x v="1"/>
    <s v="AB-"/>
    <x v="3"/>
    <d v="2019-04-08T00:00:00"/>
    <s v="Louis Vasquez"/>
    <s v="Scott, Mcguire and Jones"/>
    <s v="Aetna"/>
    <n v="46515.229091929803"/>
    <n v="309"/>
    <x v="1"/>
    <d v="2019-05-04T00:00:00"/>
    <x v="0"/>
    <x v="0"/>
    <n v="26"/>
  </r>
  <r>
    <s v="Katelyn Barron"/>
    <x v="1"/>
    <n v="21"/>
    <x v="1"/>
    <s v="B-"/>
    <x v="3"/>
    <d v="2021-03-12T00:00:00"/>
    <s v="Samuel Tran"/>
    <s v="Brown-Cunningham"/>
    <s v="Blue Cross"/>
    <n v="41468.332017550601"/>
    <n v="486"/>
    <x v="2"/>
    <d v="2021-03-13T00:00:00"/>
    <x v="2"/>
    <x v="0"/>
    <n v="1"/>
  </r>
  <r>
    <s v="Katherine White"/>
    <x v="1"/>
    <n v="21"/>
    <x v="0"/>
    <s v="A-"/>
    <x v="3"/>
    <d v="2019-10-26T00:00:00"/>
    <s v="Dr. Ann Mcdonald"/>
    <s v="Wright, Riggs and Lin"/>
    <s v="Medicare"/>
    <n v="26193.2085927064"/>
    <n v="324"/>
    <x v="2"/>
    <d v="2019-10-28T00:00:00"/>
    <x v="4"/>
    <x v="0"/>
    <n v="2"/>
  </r>
  <r>
    <s v="Kayla Herrera"/>
    <x v="6"/>
    <n v="74"/>
    <x v="1"/>
    <s v="AB-"/>
    <x v="3"/>
    <d v="2022-07-03T00:00:00"/>
    <s v="Angela Branch"/>
    <s v="Anderson LLC"/>
    <s v="Aetna"/>
    <n v="26790.385718866801"/>
    <n v="228"/>
    <x v="2"/>
    <d v="2022-07-12T00:00:00"/>
    <x v="0"/>
    <x v="1"/>
    <n v="9"/>
  </r>
  <r>
    <s v="Keith Johns"/>
    <x v="4"/>
    <n v="56"/>
    <x v="0"/>
    <s v="B-"/>
    <x v="3"/>
    <d v="2020-12-12T00:00:00"/>
    <s v="Stephen West"/>
    <s v="Franklin and Sons"/>
    <s v="UnitedHealthcare"/>
    <n v="34056.929869869899"/>
    <n v="397"/>
    <x v="1"/>
    <d v="2020-12-29T00:00:00"/>
    <x v="2"/>
    <x v="1"/>
    <n v="17"/>
  </r>
  <r>
    <s v="Kevin Frederick"/>
    <x v="4"/>
    <n v="56"/>
    <x v="0"/>
    <s v="O-"/>
    <x v="3"/>
    <d v="2018-12-01T00:00:00"/>
    <s v="Mr. Seth Watson II"/>
    <s v="Woods-Jones"/>
    <s v="Blue Cross"/>
    <n v="26652.026299642599"/>
    <n v="339"/>
    <x v="1"/>
    <d v="2018-12-02T00:00:00"/>
    <x v="0"/>
    <x v="0"/>
    <n v="1"/>
  </r>
  <r>
    <s v="Kimberly Fernandez"/>
    <x v="0"/>
    <n v="82"/>
    <x v="0"/>
    <s v="AB+"/>
    <x v="3"/>
    <d v="2020-01-10T00:00:00"/>
    <s v="Michele Henderson"/>
    <s v="Stokes Inc"/>
    <s v="Aetna"/>
    <n v="36610.928816561398"/>
    <n v="445"/>
    <x v="2"/>
    <d v="2020-01-25T00:00:00"/>
    <x v="2"/>
    <x v="1"/>
    <n v="15"/>
  </r>
  <r>
    <s v="Kristen Johnson"/>
    <x v="0"/>
    <n v="78"/>
    <x v="1"/>
    <s v="B-"/>
    <x v="3"/>
    <d v="2023-03-16T00:00:00"/>
    <s v="Christine Stein"/>
    <s v="Edwards-Clarke"/>
    <s v="Medicare"/>
    <n v="19562.897808925401"/>
    <n v="326"/>
    <x v="1"/>
    <d v="2023-03-29T00:00:00"/>
    <x v="1"/>
    <x v="0"/>
    <n v="13"/>
  </r>
  <r>
    <s v="Kristina Day"/>
    <x v="6"/>
    <n v="72"/>
    <x v="0"/>
    <s v="B+"/>
    <x v="3"/>
    <d v="2023-03-27T00:00:00"/>
    <s v="Michelle Sanchez"/>
    <s v="Clark LLC"/>
    <s v="Aetna"/>
    <n v="3345.5786412335001"/>
    <n v="467"/>
    <x v="1"/>
    <d v="2023-04-13T00:00:00"/>
    <x v="4"/>
    <x v="2"/>
    <n v="17"/>
  </r>
  <r>
    <s v="Latoya Liu"/>
    <x v="5"/>
    <n v="40"/>
    <x v="1"/>
    <s v="A-"/>
    <x v="3"/>
    <d v="2020-09-15T00:00:00"/>
    <s v="Amber Welch"/>
    <s v="Kennedy, Rivas and Payne"/>
    <s v="Medicare"/>
    <n v="40368.630785273599"/>
    <n v="467"/>
    <x v="1"/>
    <d v="2020-09-28T00:00:00"/>
    <x v="4"/>
    <x v="2"/>
    <n v="13"/>
  </r>
  <r>
    <s v="Laura Adams"/>
    <x v="2"/>
    <n v="48"/>
    <x v="0"/>
    <s v="B-"/>
    <x v="3"/>
    <d v="2021-08-07T00:00:00"/>
    <s v="Michael Harris"/>
    <s v="Johnson, Smith and Clark"/>
    <s v="Cigna"/>
    <n v="5470.2096868912504"/>
    <n v="182"/>
    <x v="1"/>
    <d v="2021-08-09T00:00:00"/>
    <x v="1"/>
    <x v="0"/>
    <n v="2"/>
  </r>
  <r>
    <s v="Laura Robinson"/>
    <x v="2"/>
    <n v="52"/>
    <x v="0"/>
    <s v="AB+"/>
    <x v="3"/>
    <d v="2021-02-14T00:00:00"/>
    <s v="Nicole Leon"/>
    <s v="Miles, Davis and Dougherty"/>
    <s v="UnitedHealthcare"/>
    <n v="28835.350190062702"/>
    <n v="205"/>
    <x v="1"/>
    <d v="2021-02-24T00:00:00"/>
    <x v="1"/>
    <x v="2"/>
    <n v="10"/>
  </r>
  <r>
    <s v="Laura Romero PhD"/>
    <x v="2"/>
    <n v="50"/>
    <x v="1"/>
    <s v="AB+"/>
    <x v="3"/>
    <d v="2022-05-19T00:00:00"/>
    <s v="Robert Day"/>
    <s v="Ferguson-Bennett"/>
    <s v="Cigna"/>
    <n v="43266.509988288599"/>
    <n v="435"/>
    <x v="0"/>
    <d v="2022-06-06T00:00:00"/>
    <x v="4"/>
    <x v="2"/>
    <n v="18"/>
  </r>
  <r>
    <s v="Lauren Ward"/>
    <x v="2"/>
    <n v="51"/>
    <x v="1"/>
    <s v="AB+"/>
    <x v="3"/>
    <d v="2023-03-29T00:00:00"/>
    <s v="Sarah Torres"/>
    <s v="Hopkins Group"/>
    <s v="Medicare"/>
    <n v="26525.9938053716"/>
    <n v="204"/>
    <x v="2"/>
    <d v="2023-04-22T00:00:00"/>
    <x v="2"/>
    <x v="2"/>
    <n v="24"/>
  </r>
  <r>
    <s v="Linda Stewart"/>
    <x v="3"/>
    <n v="26"/>
    <x v="1"/>
    <s v="O-"/>
    <x v="3"/>
    <d v="2021-07-07T00:00:00"/>
    <s v="Connie Johnson"/>
    <s v="Nelson-Marshall"/>
    <s v="Blue Cross"/>
    <n v="28319.6755694606"/>
    <n v="223"/>
    <x v="0"/>
    <d v="2021-07-21T00:00:00"/>
    <x v="2"/>
    <x v="1"/>
    <n v="14"/>
  </r>
  <r>
    <s v="Lisa Johnson"/>
    <x v="3"/>
    <n v="32"/>
    <x v="1"/>
    <s v="B-"/>
    <x v="3"/>
    <d v="2020-08-24T00:00:00"/>
    <s v="Denise Jones"/>
    <s v="Jackson-Bauer"/>
    <s v="Medicare"/>
    <n v="9029.1262906193097"/>
    <n v="263"/>
    <x v="1"/>
    <d v="2020-09-05T00:00:00"/>
    <x v="1"/>
    <x v="1"/>
    <n v="12"/>
  </r>
  <r>
    <s v="Lisa Marshall"/>
    <x v="4"/>
    <n v="65"/>
    <x v="1"/>
    <s v="B+"/>
    <x v="3"/>
    <d v="2021-10-21T00:00:00"/>
    <s v="Anthony Cole"/>
    <s v="Johnson-Parsons"/>
    <s v="UnitedHealthcare"/>
    <n v="1832.9666020570901"/>
    <n v="308"/>
    <x v="2"/>
    <d v="2021-11-14T00:00:00"/>
    <x v="1"/>
    <x v="2"/>
    <n v="24"/>
  </r>
  <r>
    <s v="Lisa Sanchez"/>
    <x v="3"/>
    <n v="33"/>
    <x v="0"/>
    <s v="AB-"/>
    <x v="3"/>
    <d v="2019-02-13T00:00:00"/>
    <s v="Andrea Owen"/>
    <s v="Lyons-Price"/>
    <s v="Blue Cross"/>
    <n v="42550.621840623397"/>
    <n v="119"/>
    <x v="2"/>
    <d v="2019-02-23T00:00:00"/>
    <x v="4"/>
    <x v="2"/>
    <n v="10"/>
  </r>
  <r>
    <s v="Loretta Schmitt"/>
    <x v="2"/>
    <n v="50"/>
    <x v="0"/>
    <s v="AB-"/>
    <x v="3"/>
    <d v="2022-02-15T00:00:00"/>
    <s v="Jason Williams"/>
    <s v="Turner Group"/>
    <s v="Aetna"/>
    <n v="17426.341356949"/>
    <n v="341"/>
    <x v="0"/>
    <d v="2022-03-10T00:00:00"/>
    <x v="3"/>
    <x v="0"/>
    <n v="23"/>
  </r>
  <r>
    <s v="Lori Phillips"/>
    <x v="3"/>
    <n v="34"/>
    <x v="1"/>
    <s v="A+"/>
    <x v="3"/>
    <d v="2022-01-24T00:00:00"/>
    <s v="Erin Yang"/>
    <s v="Beck, Collins and Bush"/>
    <s v="Aetna"/>
    <n v="43237.628114582098"/>
    <n v="472"/>
    <x v="0"/>
    <d v="2022-02-05T00:00:00"/>
    <x v="1"/>
    <x v="1"/>
    <n v="12"/>
  </r>
  <r>
    <s v="Margaret Hamilton"/>
    <x v="0"/>
    <n v="78"/>
    <x v="1"/>
    <s v="O-"/>
    <x v="3"/>
    <d v="2022-03-03T00:00:00"/>
    <s v="James Larsen"/>
    <s v="Weaver Inc"/>
    <s v="Cigna"/>
    <n v="34572.735332712298"/>
    <n v="393"/>
    <x v="2"/>
    <d v="2022-03-16T00:00:00"/>
    <x v="0"/>
    <x v="2"/>
    <n v="13"/>
  </r>
  <r>
    <s v="Mariah Williams"/>
    <x v="6"/>
    <n v="72"/>
    <x v="1"/>
    <s v="A-"/>
    <x v="3"/>
    <d v="2021-03-19T00:00:00"/>
    <s v="John Harvey"/>
    <s v="Anderson-Mason"/>
    <s v="Blue Cross"/>
    <n v="24913.552651652499"/>
    <n v="219"/>
    <x v="0"/>
    <d v="2021-03-20T00:00:00"/>
    <x v="0"/>
    <x v="1"/>
    <n v="1"/>
  </r>
  <r>
    <s v="Marie Franklin"/>
    <x v="0"/>
    <n v="77"/>
    <x v="1"/>
    <s v="AB+"/>
    <x v="3"/>
    <d v="2019-06-01T00:00:00"/>
    <s v="Michael Dougherty"/>
    <s v="Taylor LLC"/>
    <s v="Cigna"/>
    <n v="38992.272171401397"/>
    <n v="471"/>
    <x v="0"/>
    <d v="2019-06-15T00:00:00"/>
    <x v="3"/>
    <x v="1"/>
    <n v="14"/>
  </r>
  <r>
    <s v="Martin Hines"/>
    <x v="6"/>
    <n v="67"/>
    <x v="0"/>
    <s v="AB+"/>
    <x v="3"/>
    <d v="2020-04-11T00:00:00"/>
    <s v="Mr. Samuel Garcia"/>
    <s v="Ramos PLC"/>
    <s v="Blue Cross"/>
    <n v="31263.338122602599"/>
    <n v="359"/>
    <x v="2"/>
    <d v="2020-04-21T00:00:00"/>
    <x v="0"/>
    <x v="2"/>
    <n v="10"/>
  </r>
  <r>
    <s v="Matthew Bush"/>
    <x v="6"/>
    <n v="73"/>
    <x v="1"/>
    <s v="O+"/>
    <x v="3"/>
    <d v="2019-02-24T00:00:00"/>
    <s v="Christopher Mcfarland"/>
    <s v="Brown and Sons"/>
    <s v="Cigna"/>
    <n v="8945.8235481350603"/>
    <n v="146"/>
    <x v="2"/>
    <d v="2019-03-23T00:00:00"/>
    <x v="3"/>
    <x v="2"/>
    <n v="27"/>
  </r>
  <r>
    <s v="Matthew Oliver"/>
    <x v="5"/>
    <n v="36"/>
    <x v="1"/>
    <s v="O-"/>
    <x v="3"/>
    <d v="2022-04-30T00:00:00"/>
    <s v="David Stephenson"/>
    <s v="Jimenez-Andrade"/>
    <s v="Cigna"/>
    <n v="22862.2085047568"/>
    <n v="215"/>
    <x v="2"/>
    <d v="2022-05-11T00:00:00"/>
    <x v="1"/>
    <x v="1"/>
    <n v="11"/>
  </r>
  <r>
    <s v="Matthew Olson"/>
    <x v="4"/>
    <n v="62"/>
    <x v="1"/>
    <s v="A+"/>
    <x v="3"/>
    <d v="2023-07-29T00:00:00"/>
    <s v="Angela Lee"/>
    <s v="Nelson, Chavez and Pollard"/>
    <s v="Aetna"/>
    <n v="41011.119021858598"/>
    <n v="268"/>
    <x v="0"/>
    <d v="2023-08-21T00:00:00"/>
    <x v="4"/>
    <x v="0"/>
    <n v="23"/>
  </r>
  <r>
    <s v="Megan Kelley"/>
    <x v="4"/>
    <n v="65"/>
    <x v="0"/>
    <s v="A-"/>
    <x v="3"/>
    <d v="2020-02-23T00:00:00"/>
    <s v="Theresa Ingram"/>
    <s v="Martinez-Webb"/>
    <s v="Aetna"/>
    <n v="11798.2726351124"/>
    <n v="120"/>
    <x v="2"/>
    <d v="2020-02-29T00:00:00"/>
    <x v="4"/>
    <x v="1"/>
    <n v="6"/>
  </r>
  <r>
    <s v="Megan Wheeler"/>
    <x v="3"/>
    <n v="33"/>
    <x v="0"/>
    <s v="AB+"/>
    <x v="3"/>
    <d v="2022-01-31T00:00:00"/>
    <s v="Claudia Lee"/>
    <s v="Campbell PLC"/>
    <s v="UnitedHealthcare"/>
    <n v="3882.0701209196"/>
    <n v="284"/>
    <x v="0"/>
    <d v="2022-02-02T00:00:00"/>
    <x v="2"/>
    <x v="2"/>
    <n v="2"/>
  </r>
  <r>
    <s v="Michael Daniel"/>
    <x v="5"/>
    <n v="38"/>
    <x v="0"/>
    <s v="O+"/>
    <x v="3"/>
    <d v="2018-11-05T00:00:00"/>
    <s v="Meredith Johnson DDS"/>
    <s v="Long-Leblanc"/>
    <s v="Medicare"/>
    <n v="44256.649307948101"/>
    <n v="186"/>
    <x v="2"/>
    <d v="2018-11-18T00:00:00"/>
    <x v="4"/>
    <x v="1"/>
    <n v="13"/>
  </r>
  <r>
    <s v="Michael Miller"/>
    <x v="4"/>
    <n v="61"/>
    <x v="1"/>
    <s v="A+"/>
    <x v="3"/>
    <d v="2023-04-06T00:00:00"/>
    <s v="Nicholas Aguirre"/>
    <s v="Lambert and Sons"/>
    <s v="Blue Cross"/>
    <n v="14691.2500422577"/>
    <n v="438"/>
    <x v="0"/>
    <d v="2023-04-22T00:00:00"/>
    <x v="0"/>
    <x v="0"/>
    <n v="16"/>
  </r>
  <r>
    <s v="Michelle Williams"/>
    <x v="4"/>
    <n v="60"/>
    <x v="1"/>
    <s v="B+"/>
    <x v="3"/>
    <d v="2021-06-06T00:00:00"/>
    <s v="Amanda Shaw"/>
    <s v="Price, Wilkins and Brock"/>
    <s v="Aetna"/>
    <n v="16817.144711016401"/>
    <n v="228"/>
    <x v="1"/>
    <d v="2021-07-06T00:00:00"/>
    <x v="0"/>
    <x v="2"/>
    <n v="30"/>
  </r>
  <r>
    <s v="Miguel Fields"/>
    <x v="4"/>
    <n v="56"/>
    <x v="0"/>
    <s v="B-"/>
    <x v="3"/>
    <d v="2023-08-12T00:00:00"/>
    <s v="Angela Mcdonald"/>
    <s v="Freeman-Perez"/>
    <s v="Cigna"/>
    <n v="33925.020143291396"/>
    <n v="115"/>
    <x v="0"/>
    <d v="2023-08-29T00:00:00"/>
    <x v="3"/>
    <x v="1"/>
    <n v="17"/>
  </r>
  <r>
    <s v="Molly Brewer"/>
    <x v="2"/>
    <n v="47"/>
    <x v="1"/>
    <s v="O+"/>
    <x v="3"/>
    <d v="2020-03-07T00:00:00"/>
    <s v="Brandon Mccarthy"/>
    <s v="Smith, Howard and Kent"/>
    <s v="Aetna"/>
    <n v="39221.777868764701"/>
    <n v="304"/>
    <x v="0"/>
    <d v="2020-03-20T00:00:00"/>
    <x v="0"/>
    <x v="2"/>
    <n v="13"/>
  </r>
  <r>
    <s v="Mrs. Deborah Rose"/>
    <x v="1"/>
    <n v="23"/>
    <x v="0"/>
    <s v="O+"/>
    <x v="3"/>
    <d v="2020-12-04T00:00:00"/>
    <s v="Charles Mora"/>
    <s v="Solomon, Cooper and Hawkins"/>
    <s v="Cigna"/>
    <n v="47034.494024767497"/>
    <n v="499"/>
    <x v="1"/>
    <d v="2020-12-12T00:00:00"/>
    <x v="2"/>
    <x v="1"/>
    <n v="8"/>
  </r>
  <r>
    <s v="Mrs. Penny Sanchez"/>
    <x v="5"/>
    <n v="39"/>
    <x v="0"/>
    <s v="B+"/>
    <x v="3"/>
    <d v="2023-09-04T00:00:00"/>
    <s v="Mr. Rodney Morrow DDS"/>
    <s v="Taylor-Gray"/>
    <s v="Cigna"/>
    <n v="22314.3939445703"/>
    <n v="386"/>
    <x v="0"/>
    <d v="2023-09-17T00:00:00"/>
    <x v="2"/>
    <x v="2"/>
    <n v="13"/>
  </r>
  <r>
    <s v="Ms. Katelyn Lopez MD"/>
    <x v="3"/>
    <n v="29"/>
    <x v="0"/>
    <s v="B-"/>
    <x v="3"/>
    <d v="2022-01-31T00:00:00"/>
    <s v="Emily Watson"/>
    <s v="Rodriguez LLC"/>
    <s v="Aetna"/>
    <n v="13906.8694714536"/>
    <n v="254"/>
    <x v="2"/>
    <d v="2022-02-21T00:00:00"/>
    <x v="0"/>
    <x v="2"/>
    <n v="21"/>
  </r>
  <r>
    <s v="Nathan Elliott"/>
    <x v="3"/>
    <n v="29"/>
    <x v="0"/>
    <s v="AB+"/>
    <x v="3"/>
    <d v="2021-11-25T00:00:00"/>
    <s v="Karen Collier"/>
    <s v="English-Davis"/>
    <s v="Aetna"/>
    <n v="31303.647868426298"/>
    <n v="116"/>
    <x v="0"/>
    <d v="2021-12-24T00:00:00"/>
    <x v="3"/>
    <x v="2"/>
    <n v="29"/>
  </r>
  <r>
    <s v="Nicholas Mitchell"/>
    <x v="0"/>
    <n v="79"/>
    <x v="1"/>
    <s v="B+"/>
    <x v="3"/>
    <d v="2023-03-07T00:00:00"/>
    <s v="Samuel Sutton"/>
    <s v="Clark, Anderson and Rodriguez"/>
    <s v="UnitedHealthcare"/>
    <n v="33335.1130679091"/>
    <n v="341"/>
    <x v="1"/>
    <d v="2023-03-26T00:00:00"/>
    <x v="3"/>
    <x v="0"/>
    <n v="19"/>
  </r>
  <r>
    <s v="Olivia Gonzalez"/>
    <x v="4"/>
    <n v="64"/>
    <x v="1"/>
    <s v="AB-"/>
    <x v="3"/>
    <d v="2019-11-15T00:00:00"/>
    <s v="Clayton Mcknight"/>
    <s v="Cunningham and Sons"/>
    <s v="Aetna"/>
    <n v="17394.994264453198"/>
    <n v="315"/>
    <x v="0"/>
    <d v="2019-12-04T00:00:00"/>
    <x v="3"/>
    <x v="0"/>
    <n v="19"/>
  </r>
  <r>
    <s v="Rebecca Harrison"/>
    <x v="3"/>
    <n v="35"/>
    <x v="0"/>
    <s v="B-"/>
    <x v="3"/>
    <d v="2018-11-25T00:00:00"/>
    <s v="David Phillips"/>
    <s v="Rocha and Sons"/>
    <s v="Aetna"/>
    <n v="2095.1559258625798"/>
    <n v="433"/>
    <x v="0"/>
    <d v="2018-12-18T00:00:00"/>
    <x v="4"/>
    <x v="2"/>
    <n v="23"/>
  </r>
  <r>
    <s v="Rebecca Lyons"/>
    <x v="1"/>
    <n v="21"/>
    <x v="0"/>
    <s v="O-"/>
    <x v="3"/>
    <d v="2020-11-24T00:00:00"/>
    <s v="Michael Taylor"/>
    <s v="Mason-Kelly"/>
    <s v="Aetna"/>
    <n v="47704.581793904799"/>
    <n v="296"/>
    <x v="2"/>
    <d v="2020-11-29T00:00:00"/>
    <x v="2"/>
    <x v="0"/>
    <n v="5"/>
  </r>
  <r>
    <s v="Renee Miller"/>
    <x v="2"/>
    <n v="54"/>
    <x v="1"/>
    <s v="A-"/>
    <x v="3"/>
    <d v="2019-12-14T00:00:00"/>
    <s v="Kelsey Anderson"/>
    <s v="Green, Atkins and Anderson"/>
    <s v="Medicare"/>
    <n v="47813.995206288702"/>
    <n v="382"/>
    <x v="0"/>
    <d v="2019-12-29T00:00:00"/>
    <x v="2"/>
    <x v="0"/>
    <n v="15"/>
  </r>
  <r>
    <s v="Richard Brown"/>
    <x v="2"/>
    <n v="55"/>
    <x v="1"/>
    <s v="AB-"/>
    <x v="3"/>
    <d v="2020-08-05T00:00:00"/>
    <s v="Jeremy Farley"/>
    <s v="Thomas-Anderson"/>
    <s v="Blue Cross"/>
    <n v="24371.732446723701"/>
    <n v="234"/>
    <x v="1"/>
    <d v="2020-08-13T00:00:00"/>
    <x v="2"/>
    <x v="1"/>
    <n v="8"/>
  </r>
  <r>
    <s v="Richard Johnson"/>
    <x v="4"/>
    <n v="59"/>
    <x v="0"/>
    <s v="B-"/>
    <x v="3"/>
    <d v="2022-03-24T00:00:00"/>
    <s v="Mr. Andrew Keller"/>
    <s v="Hudson-James"/>
    <s v="Blue Cross"/>
    <n v="11837.391382902901"/>
    <n v="439"/>
    <x v="1"/>
    <d v="2022-04-13T00:00:00"/>
    <x v="3"/>
    <x v="0"/>
    <n v="20"/>
  </r>
  <r>
    <s v="Robert Harris"/>
    <x v="0"/>
    <n v="78"/>
    <x v="0"/>
    <s v="AB+"/>
    <x v="3"/>
    <d v="2021-02-18T00:00:00"/>
    <s v="Daniel Barnett"/>
    <s v="Duncan, Whitaker and Phelps"/>
    <s v="UnitedHealthcare"/>
    <n v="26673.328841946299"/>
    <n v="151"/>
    <x v="0"/>
    <d v="2021-02-25T00:00:00"/>
    <x v="0"/>
    <x v="2"/>
    <n v="7"/>
  </r>
  <r>
    <s v="Ronald Becker"/>
    <x v="2"/>
    <n v="52"/>
    <x v="1"/>
    <s v="AB-"/>
    <x v="3"/>
    <d v="2022-09-27T00:00:00"/>
    <s v="Henry Garcia"/>
    <s v="Taylor and Sons"/>
    <s v="Aetna"/>
    <n v="26553.981812972201"/>
    <n v="268"/>
    <x v="0"/>
    <d v="2022-10-27T00:00:00"/>
    <x v="2"/>
    <x v="2"/>
    <n v="30"/>
  </r>
  <r>
    <s v="Rose Rios"/>
    <x v="0"/>
    <n v="79"/>
    <x v="1"/>
    <s v="B-"/>
    <x v="3"/>
    <d v="2021-03-30T00:00:00"/>
    <s v="Gina Turner"/>
    <s v="Richardson, Rodriguez and Moore"/>
    <s v="Blue Cross"/>
    <n v="2485.6164321579599"/>
    <n v="145"/>
    <x v="1"/>
    <d v="2021-04-17T00:00:00"/>
    <x v="2"/>
    <x v="1"/>
    <n v="18"/>
  </r>
  <r>
    <s v="Ryan Hayes"/>
    <x v="3"/>
    <n v="33"/>
    <x v="1"/>
    <s v="A+"/>
    <x v="3"/>
    <d v="2020-12-17T00:00:00"/>
    <s v="Kristin Dunn"/>
    <s v="Smith, Edwards and Obrien"/>
    <s v="Aetna"/>
    <n v="24903.037269738601"/>
    <n v="215"/>
    <x v="0"/>
    <d v="2020-12-22T00:00:00"/>
    <x v="3"/>
    <x v="2"/>
    <n v="5"/>
  </r>
  <r>
    <s v="Sandra Ford"/>
    <x v="2"/>
    <n v="53"/>
    <x v="1"/>
    <s v="A-"/>
    <x v="3"/>
    <d v="2022-10-26T00:00:00"/>
    <s v="Deborah Guerra MD"/>
    <s v="Jackson Inc"/>
    <s v="UnitedHealthcare"/>
    <n v="47776.286882583197"/>
    <n v="247"/>
    <x v="1"/>
    <d v="2022-11-06T00:00:00"/>
    <x v="3"/>
    <x v="1"/>
    <n v="11"/>
  </r>
  <r>
    <s v="Sandra Green"/>
    <x v="0"/>
    <n v="82"/>
    <x v="1"/>
    <s v="B+"/>
    <x v="3"/>
    <d v="2021-10-09T00:00:00"/>
    <s v="Diana Castro"/>
    <s v="Evans-Todd"/>
    <s v="Blue Cross"/>
    <n v="21078.4949198867"/>
    <n v="154"/>
    <x v="0"/>
    <d v="2021-11-08T00:00:00"/>
    <x v="3"/>
    <x v="2"/>
    <n v="30"/>
  </r>
  <r>
    <s v="Sarah Henson"/>
    <x v="3"/>
    <n v="34"/>
    <x v="0"/>
    <s v="A-"/>
    <x v="3"/>
    <d v="2019-03-07T00:00:00"/>
    <s v="Erik Noble"/>
    <s v="King-Baker"/>
    <s v="Blue Cross"/>
    <n v="39757.648726368701"/>
    <n v="330"/>
    <x v="0"/>
    <d v="2019-03-20T00:00:00"/>
    <x v="4"/>
    <x v="1"/>
    <n v="13"/>
  </r>
  <r>
    <s v="Scott Adams"/>
    <x v="5"/>
    <n v="41"/>
    <x v="1"/>
    <s v="O+"/>
    <x v="3"/>
    <d v="2022-10-31T00:00:00"/>
    <s v="Marcus Reed"/>
    <s v="Smith-Petersen"/>
    <s v="Medicare"/>
    <n v="18161.7519776521"/>
    <n v="309"/>
    <x v="1"/>
    <d v="2022-11-29T00:00:00"/>
    <x v="0"/>
    <x v="0"/>
    <n v="29"/>
  </r>
  <r>
    <s v="Scott Dickerson MD"/>
    <x v="2"/>
    <n v="52"/>
    <x v="0"/>
    <s v="B-"/>
    <x v="3"/>
    <d v="2022-04-14T00:00:00"/>
    <s v="Melissa Roman"/>
    <s v="Price-Pena"/>
    <s v="Medicare"/>
    <n v="23888.3566790236"/>
    <n v="336"/>
    <x v="2"/>
    <d v="2022-04-19T00:00:00"/>
    <x v="3"/>
    <x v="2"/>
    <n v="5"/>
  </r>
  <r>
    <s v="Sheila Castro"/>
    <x v="0"/>
    <n v="85"/>
    <x v="0"/>
    <s v="AB-"/>
    <x v="3"/>
    <d v="2023-08-19T00:00:00"/>
    <s v="Zachary Potter"/>
    <s v="Ross-Kelly"/>
    <s v="Medicare"/>
    <n v="10591.269644030701"/>
    <n v="115"/>
    <x v="1"/>
    <d v="2023-08-27T00:00:00"/>
    <x v="0"/>
    <x v="0"/>
    <n v="8"/>
  </r>
  <r>
    <s v="Shelley Lee"/>
    <x v="2"/>
    <n v="50"/>
    <x v="1"/>
    <s v="B+"/>
    <x v="3"/>
    <d v="2020-06-21T00:00:00"/>
    <s v="Phillip Crawford"/>
    <s v="Lee-Cruz"/>
    <s v="UnitedHealthcare"/>
    <n v="13137.632496612699"/>
    <n v="145"/>
    <x v="2"/>
    <d v="2020-07-20T00:00:00"/>
    <x v="3"/>
    <x v="2"/>
    <n v="29"/>
  </r>
  <r>
    <s v="Shirley Casey"/>
    <x v="5"/>
    <n v="42"/>
    <x v="0"/>
    <s v="B+"/>
    <x v="3"/>
    <d v="2022-02-24T00:00:00"/>
    <s v="Christopher Barton"/>
    <s v="Townsend-Lee"/>
    <s v="Blue Cross"/>
    <n v="28710.513951077999"/>
    <n v="134"/>
    <x v="0"/>
    <d v="2022-02-26T00:00:00"/>
    <x v="2"/>
    <x v="2"/>
    <n v="2"/>
  </r>
  <r>
    <s v="Sonya Gonzales"/>
    <x v="2"/>
    <n v="50"/>
    <x v="0"/>
    <s v="AB-"/>
    <x v="3"/>
    <d v="2021-03-06T00:00:00"/>
    <s v="Amy Simmons"/>
    <s v="Solomon and Sons"/>
    <s v="Aetna"/>
    <n v="8596.5544156842207"/>
    <n v="498"/>
    <x v="1"/>
    <d v="2021-03-31T00:00:00"/>
    <x v="0"/>
    <x v="0"/>
    <n v="25"/>
  </r>
  <r>
    <s v="Steven Clark"/>
    <x v="2"/>
    <n v="46"/>
    <x v="0"/>
    <s v="B-"/>
    <x v="3"/>
    <d v="2021-06-06T00:00:00"/>
    <s v="Gregory Patton"/>
    <s v="Wagner PLC"/>
    <s v="Blue Cross"/>
    <n v="7277.3983593862704"/>
    <n v="450"/>
    <x v="1"/>
    <d v="2021-06-24T00:00:00"/>
    <x v="0"/>
    <x v="2"/>
    <n v="18"/>
  </r>
  <r>
    <s v="Steven Davis"/>
    <x v="2"/>
    <n v="48"/>
    <x v="1"/>
    <s v="O+"/>
    <x v="3"/>
    <d v="2022-01-05T00:00:00"/>
    <s v="Elizabeth Ashley"/>
    <s v="Cox-Lowe"/>
    <s v="Blue Cross"/>
    <n v="48627.347605697702"/>
    <n v="300"/>
    <x v="2"/>
    <d v="2022-01-10T00:00:00"/>
    <x v="1"/>
    <x v="1"/>
    <n v="5"/>
  </r>
  <r>
    <s v="Steven Davis"/>
    <x v="2"/>
    <n v="48"/>
    <x v="0"/>
    <s v="AB-"/>
    <x v="3"/>
    <d v="2023-04-13T00:00:00"/>
    <s v="David Lopez"/>
    <s v="Camacho-Jones"/>
    <s v="UnitedHealthcare"/>
    <n v="37722.509427610697"/>
    <n v="257"/>
    <x v="1"/>
    <d v="2023-05-06T00:00:00"/>
    <x v="1"/>
    <x v="2"/>
    <n v="23"/>
  </r>
  <r>
    <s v="Steven Martinez"/>
    <x v="5"/>
    <n v="38"/>
    <x v="0"/>
    <s v="A+"/>
    <x v="3"/>
    <d v="2022-04-07T00:00:00"/>
    <s v="Zachary Griffith"/>
    <s v="Preston Group"/>
    <s v="Blue Cross"/>
    <n v="42041.612745959399"/>
    <n v="455"/>
    <x v="2"/>
    <d v="2022-04-14T00:00:00"/>
    <x v="0"/>
    <x v="1"/>
    <n v="7"/>
  </r>
  <r>
    <s v="Steven Schaefer"/>
    <x v="5"/>
    <n v="43"/>
    <x v="1"/>
    <s v="AB-"/>
    <x v="3"/>
    <d v="2022-05-10T00:00:00"/>
    <s v="Denise Gonzalez"/>
    <s v="Dickerson, Alvarado and Wilkerson"/>
    <s v="Medicare"/>
    <n v="24406.045621389701"/>
    <n v="417"/>
    <x v="1"/>
    <d v="2022-05-27T00:00:00"/>
    <x v="2"/>
    <x v="2"/>
    <n v="17"/>
  </r>
  <r>
    <s v="Susan Mills"/>
    <x v="4"/>
    <n v="59"/>
    <x v="1"/>
    <s v="O+"/>
    <x v="3"/>
    <d v="2020-03-08T00:00:00"/>
    <s v="Shannon Pineda"/>
    <s v="Myers, Clark and Mccarty"/>
    <s v="Blue Cross"/>
    <n v="22139.971997018201"/>
    <n v="247"/>
    <x v="0"/>
    <d v="2020-04-06T00:00:00"/>
    <x v="2"/>
    <x v="1"/>
    <n v="29"/>
  </r>
  <r>
    <s v="Tamara Scott"/>
    <x v="5"/>
    <n v="38"/>
    <x v="1"/>
    <s v="B+"/>
    <x v="3"/>
    <d v="2020-04-30T00:00:00"/>
    <s v="Elizabeth Welch"/>
    <s v="Myers-Allen"/>
    <s v="Blue Cross"/>
    <n v="16774.274514532801"/>
    <n v="255"/>
    <x v="1"/>
    <d v="2020-05-14T00:00:00"/>
    <x v="1"/>
    <x v="0"/>
    <n v="14"/>
  </r>
  <r>
    <s v="Tami Oliver"/>
    <x v="5"/>
    <n v="42"/>
    <x v="0"/>
    <s v="AB+"/>
    <x v="3"/>
    <d v="2021-12-21T00:00:00"/>
    <s v="Charles Clayton"/>
    <s v="Schroeder, Lee and Perry"/>
    <s v="UnitedHealthcare"/>
    <n v="28830.350438624198"/>
    <n v="173"/>
    <x v="0"/>
    <d v="2021-12-25T00:00:00"/>
    <x v="0"/>
    <x v="2"/>
    <n v="4"/>
  </r>
  <r>
    <s v="Tammy Savage"/>
    <x v="1"/>
    <n v="19"/>
    <x v="0"/>
    <s v="AB+"/>
    <x v="3"/>
    <d v="2022-03-31T00:00:00"/>
    <s v="Laura Johnson"/>
    <s v="Green PLC"/>
    <s v="Medicare"/>
    <n v="18200.7579970607"/>
    <n v="261"/>
    <x v="0"/>
    <d v="2022-04-06T00:00:00"/>
    <x v="1"/>
    <x v="2"/>
    <n v="6"/>
  </r>
  <r>
    <s v="Tara Graham"/>
    <x v="6"/>
    <n v="71"/>
    <x v="0"/>
    <s v="B+"/>
    <x v="3"/>
    <d v="2021-12-03T00:00:00"/>
    <s v="Nichole Black"/>
    <s v="Lewis Ltd"/>
    <s v="Aetna"/>
    <n v="28830.111661622199"/>
    <n v="293"/>
    <x v="2"/>
    <d v="2021-12-27T00:00:00"/>
    <x v="2"/>
    <x v="1"/>
    <n v="24"/>
  </r>
  <r>
    <s v="Terrance Knapp"/>
    <x v="6"/>
    <n v="68"/>
    <x v="0"/>
    <s v="AB-"/>
    <x v="3"/>
    <d v="2022-12-28T00:00:00"/>
    <s v="Julia Murray"/>
    <s v="Martinez and Sons"/>
    <s v="Blue Cross"/>
    <n v="15723.024459754"/>
    <n v="104"/>
    <x v="1"/>
    <d v="2023-01-26T00:00:00"/>
    <x v="3"/>
    <x v="1"/>
    <n v="29"/>
  </r>
  <r>
    <s v="Theresa May"/>
    <x v="3"/>
    <n v="26"/>
    <x v="1"/>
    <s v="B+"/>
    <x v="3"/>
    <d v="2021-03-25T00:00:00"/>
    <s v="Karen James"/>
    <s v="Horn-Norris"/>
    <s v="Aetna"/>
    <n v="21498.028085345701"/>
    <n v="193"/>
    <x v="1"/>
    <d v="2021-04-18T00:00:00"/>
    <x v="1"/>
    <x v="2"/>
    <n v="24"/>
  </r>
  <r>
    <s v="Thomas Lopez"/>
    <x v="2"/>
    <n v="52"/>
    <x v="0"/>
    <s v="B+"/>
    <x v="3"/>
    <d v="2020-01-06T00:00:00"/>
    <s v="Monica Mueller"/>
    <s v="Collins-Aguilar"/>
    <s v="Cigna"/>
    <n v="3973.8494321007702"/>
    <n v="265"/>
    <x v="2"/>
    <d v="2020-01-10T00:00:00"/>
    <x v="1"/>
    <x v="2"/>
    <n v="4"/>
  </r>
  <r>
    <s v="Thomas Rodriguez"/>
    <x v="5"/>
    <n v="44"/>
    <x v="0"/>
    <s v="AB-"/>
    <x v="3"/>
    <d v="2019-02-10T00:00:00"/>
    <s v="Joshua Miller"/>
    <s v="Clark-Rice"/>
    <s v="Aetna"/>
    <n v="41850.874957626198"/>
    <n v="180"/>
    <x v="2"/>
    <d v="2019-02-13T00:00:00"/>
    <x v="3"/>
    <x v="1"/>
    <n v="3"/>
  </r>
  <r>
    <s v="Thomas Sharp"/>
    <x v="0"/>
    <n v="80"/>
    <x v="1"/>
    <s v="O-"/>
    <x v="3"/>
    <d v="2020-08-12T00:00:00"/>
    <s v="Leon Small"/>
    <s v="Zamora-Brown"/>
    <s v="Medicare"/>
    <n v="7878.6178145092799"/>
    <n v="145"/>
    <x v="1"/>
    <d v="2020-08-27T00:00:00"/>
    <x v="3"/>
    <x v="1"/>
    <n v="15"/>
  </r>
  <r>
    <s v="Thomas Stevens"/>
    <x v="5"/>
    <n v="42"/>
    <x v="0"/>
    <s v="AB-"/>
    <x v="3"/>
    <d v="2022-10-31T00:00:00"/>
    <s v="Sarah Anderson"/>
    <s v="Mosley Inc"/>
    <s v="Cigna"/>
    <n v="32052.2246306741"/>
    <n v="213"/>
    <x v="1"/>
    <d v="2022-11-16T00:00:00"/>
    <x v="1"/>
    <x v="2"/>
    <n v="16"/>
  </r>
  <r>
    <s v="Tiffany Ramirez"/>
    <x v="0"/>
    <n v="81"/>
    <x v="0"/>
    <s v="O-"/>
    <x v="3"/>
    <d v="2022-11-17T00:00:00"/>
    <s v="Patrick Parker"/>
    <s v="Wallace-Hamilton"/>
    <s v="Medicare"/>
    <n v="37490.983363528103"/>
    <n v="146"/>
    <x v="0"/>
    <d v="2022-12-01T00:00:00"/>
    <x v="3"/>
    <x v="0"/>
    <n v="14"/>
  </r>
  <r>
    <s v="Travis Barrett"/>
    <x v="2"/>
    <n v="54"/>
    <x v="1"/>
    <s v="B+"/>
    <x v="3"/>
    <d v="2021-09-25T00:00:00"/>
    <s v="Deborah Jones"/>
    <s v="Bennett Ltd"/>
    <s v="Cigna"/>
    <n v="20832.6812831565"/>
    <n v="461"/>
    <x v="1"/>
    <d v="2021-10-21T00:00:00"/>
    <x v="4"/>
    <x v="0"/>
    <n v="26"/>
  </r>
  <r>
    <s v="Troy Villarreal"/>
    <x v="6"/>
    <n v="67"/>
    <x v="0"/>
    <s v="AB-"/>
    <x v="3"/>
    <d v="2022-11-17T00:00:00"/>
    <s v="Jose Cross"/>
    <s v="Rice Group"/>
    <s v="UnitedHealthcare"/>
    <n v="38068.852152684798"/>
    <n v="106"/>
    <x v="1"/>
    <d v="2022-11-26T00:00:00"/>
    <x v="3"/>
    <x v="2"/>
    <n v="9"/>
  </r>
  <r>
    <s v="Vickie Bernard"/>
    <x v="6"/>
    <n v="71"/>
    <x v="0"/>
    <s v="B-"/>
    <x v="3"/>
    <d v="2019-04-17T00:00:00"/>
    <s v="Joseph Small"/>
    <s v="Mclean-Willis"/>
    <s v="Medicare"/>
    <n v="14630.921981044001"/>
    <n v="243"/>
    <x v="0"/>
    <d v="2019-04-19T00:00:00"/>
    <x v="0"/>
    <x v="0"/>
    <n v="2"/>
  </r>
  <r>
    <s v="Victoria Velez"/>
    <x v="5"/>
    <n v="38"/>
    <x v="0"/>
    <s v="A+"/>
    <x v="3"/>
    <d v="2023-06-17T00:00:00"/>
    <s v="Colleen Miller"/>
    <s v="Lopez, Foster and Cooper"/>
    <s v="Blue Cross"/>
    <n v="10942.246708037699"/>
    <n v="308"/>
    <x v="2"/>
    <d v="2023-07-05T00:00:00"/>
    <x v="2"/>
    <x v="1"/>
    <n v="18"/>
  </r>
  <r>
    <s v="Virginia Wolfe"/>
    <x v="6"/>
    <n v="74"/>
    <x v="1"/>
    <s v="A+"/>
    <x v="3"/>
    <d v="2019-06-04T00:00:00"/>
    <s v="Angela Gomez"/>
    <s v="Cook, Lee and Hall"/>
    <s v="Aetna"/>
    <n v="45936.951134160001"/>
    <n v="244"/>
    <x v="0"/>
    <d v="2019-06-18T00:00:00"/>
    <x v="3"/>
    <x v="1"/>
    <n v="14"/>
  </r>
  <r>
    <s v="William Farrell"/>
    <x v="6"/>
    <n v="74"/>
    <x v="0"/>
    <s v="O+"/>
    <x v="3"/>
    <d v="2022-02-28T00:00:00"/>
    <s v="Melissa Wyatt"/>
    <s v="James, Lindsey and Shepherd"/>
    <s v="Cigna"/>
    <n v="19484.051239743199"/>
    <n v="242"/>
    <x v="0"/>
    <d v="2022-03-29T00:00:00"/>
    <x v="2"/>
    <x v="0"/>
    <n v="29"/>
  </r>
  <r>
    <s v="William Mahoney"/>
    <x v="5"/>
    <n v="41"/>
    <x v="1"/>
    <s v="O-"/>
    <x v="3"/>
    <d v="2023-10-28T00:00:00"/>
    <s v="Vanessa Wilson"/>
    <s v="Burgess-Herrera"/>
    <s v="Medicare"/>
    <n v="24559.759287261699"/>
    <n v="179"/>
    <x v="1"/>
    <d v="2023-11-02T00:00:00"/>
    <x v="4"/>
    <x v="2"/>
    <n v="5"/>
  </r>
  <r>
    <s v="William Page"/>
    <x v="6"/>
    <n v="72"/>
    <x v="0"/>
    <s v="A+"/>
    <x v="3"/>
    <d v="2021-07-29T00:00:00"/>
    <s v="James Carney"/>
    <s v="Richardson-Powell"/>
    <s v="Cigna"/>
    <n v="13669.3777441648"/>
    <n v="492"/>
    <x v="0"/>
    <d v="2021-08-14T00:00:00"/>
    <x v="3"/>
    <x v="1"/>
    <n v="16"/>
  </r>
  <r>
    <s v="Yvette Scott"/>
    <x v="4"/>
    <n v="56"/>
    <x v="0"/>
    <s v="AB-"/>
    <x v="3"/>
    <d v="2023-08-24T00:00:00"/>
    <s v="Catherine Jones"/>
    <s v="Miller Group"/>
    <s v="Cigna"/>
    <n v="39573.5214515138"/>
    <n v="196"/>
    <x v="1"/>
    <d v="2023-09-21T00:00:00"/>
    <x v="2"/>
    <x v="0"/>
    <n v="28"/>
  </r>
  <r>
    <s v="Alan Alvarado"/>
    <x v="2"/>
    <n v="52"/>
    <x v="0"/>
    <s v="B-"/>
    <x v="4"/>
    <d v="2023-09-19T00:00:00"/>
    <s v="Edward Figueroa PhD"/>
    <s v="Oneal LLC"/>
    <s v="UnitedHealthcare"/>
    <n v="43274.069749161601"/>
    <n v="268"/>
    <x v="0"/>
    <d v="2023-10-14T00:00:00"/>
    <x v="4"/>
    <x v="1"/>
    <n v="25"/>
  </r>
  <r>
    <s v="Albert Sandoval"/>
    <x v="2"/>
    <n v="50"/>
    <x v="1"/>
    <s v="AB-"/>
    <x v="4"/>
    <d v="2020-03-28T00:00:00"/>
    <s v="James Novak"/>
    <s v="Walsh, Ortiz and Elliott"/>
    <s v="Cigna"/>
    <n v="29149.762262739499"/>
    <n v="301"/>
    <x v="1"/>
    <d v="2020-04-11T00:00:00"/>
    <x v="2"/>
    <x v="2"/>
    <n v="14"/>
  </r>
  <r>
    <s v="Alyssa Wright"/>
    <x v="6"/>
    <n v="71"/>
    <x v="0"/>
    <s v="O+"/>
    <x v="4"/>
    <d v="2021-02-03T00:00:00"/>
    <s v="Destiny Avery"/>
    <s v="Collins PLC"/>
    <s v="UnitedHealthcare"/>
    <n v="23391.794052756999"/>
    <n v="301"/>
    <x v="2"/>
    <d v="2021-03-05T00:00:00"/>
    <x v="4"/>
    <x v="0"/>
    <n v="30"/>
  </r>
  <r>
    <s v="Amber Solomon"/>
    <x v="0"/>
    <n v="85"/>
    <x v="1"/>
    <s v="A+"/>
    <x v="4"/>
    <d v="2020-12-28T00:00:00"/>
    <s v="Denise Richards"/>
    <s v="Lopez-Mason"/>
    <s v="UnitedHealthcare"/>
    <n v="23517.461851862099"/>
    <n v="389"/>
    <x v="2"/>
    <d v="2021-01-14T00:00:00"/>
    <x v="2"/>
    <x v="1"/>
    <n v="17"/>
  </r>
  <r>
    <s v="Ana Clark"/>
    <x v="3"/>
    <n v="33"/>
    <x v="1"/>
    <s v="B+"/>
    <x v="4"/>
    <d v="2019-04-17T00:00:00"/>
    <s v="Frances Watson"/>
    <s v="Garcia-Pollard"/>
    <s v="Cigna"/>
    <n v="35343.111751667799"/>
    <n v="189"/>
    <x v="1"/>
    <d v="2019-05-03T00:00:00"/>
    <x v="4"/>
    <x v="2"/>
    <n v="16"/>
  </r>
  <r>
    <s v="Ana Stone"/>
    <x v="6"/>
    <n v="67"/>
    <x v="0"/>
    <s v="AB-"/>
    <x v="4"/>
    <d v="2019-08-25T00:00:00"/>
    <s v="Paul Ward"/>
    <s v="Ray-Hoffman"/>
    <s v="Cigna"/>
    <n v="23918.812512706201"/>
    <n v="165"/>
    <x v="0"/>
    <d v="2019-09-20T00:00:00"/>
    <x v="3"/>
    <x v="2"/>
    <n v="26"/>
  </r>
  <r>
    <s v="Andrew Alvarez"/>
    <x v="3"/>
    <n v="28"/>
    <x v="0"/>
    <s v="B+"/>
    <x v="4"/>
    <d v="2023-04-02T00:00:00"/>
    <s v="Jenna Ward"/>
    <s v="Le, Casey and Boyer"/>
    <s v="Blue Cross"/>
    <n v="32613.241610463501"/>
    <n v="186"/>
    <x v="0"/>
    <d v="2023-04-25T00:00:00"/>
    <x v="3"/>
    <x v="2"/>
    <n v="23"/>
  </r>
  <r>
    <s v="Andrew Davis"/>
    <x v="6"/>
    <n v="70"/>
    <x v="1"/>
    <s v="A+"/>
    <x v="4"/>
    <d v="2019-04-18T00:00:00"/>
    <s v="Wendy Gallagher"/>
    <s v="Goodman-Smith"/>
    <s v="Aetna"/>
    <n v="33700.449514461703"/>
    <n v="227"/>
    <x v="2"/>
    <d v="2019-05-12T00:00:00"/>
    <x v="4"/>
    <x v="0"/>
    <n v="24"/>
  </r>
  <r>
    <s v="Andrew Gibbs"/>
    <x v="0"/>
    <n v="83"/>
    <x v="0"/>
    <s v="AB+"/>
    <x v="4"/>
    <d v="2020-10-22T00:00:00"/>
    <s v="Jennifer Smith"/>
    <s v="Tucker, Burch and Gibson"/>
    <s v="Medicare"/>
    <n v="9932.1914896947801"/>
    <n v="135"/>
    <x v="1"/>
    <d v="2020-11-07T00:00:00"/>
    <x v="0"/>
    <x v="0"/>
    <n v="16"/>
  </r>
  <r>
    <s v="Angela Hunter"/>
    <x v="6"/>
    <n v="72"/>
    <x v="1"/>
    <s v="A-"/>
    <x v="4"/>
    <d v="2021-05-20T00:00:00"/>
    <s v="Amanda Clark"/>
    <s v="Sexton, Dyer and Clarke"/>
    <s v="Aetna"/>
    <n v="4779.8943570511101"/>
    <n v="382"/>
    <x v="2"/>
    <d v="2021-05-29T00:00:00"/>
    <x v="3"/>
    <x v="2"/>
    <n v="9"/>
  </r>
  <r>
    <s v="Angela Lewis"/>
    <x v="1"/>
    <n v="18"/>
    <x v="0"/>
    <s v="O-"/>
    <x v="4"/>
    <d v="2018-12-30T00:00:00"/>
    <s v="Curtis Sanchez"/>
    <s v="Dawson-Harding"/>
    <s v="Medicare"/>
    <n v="1273.56348925465"/>
    <n v="193"/>
    <x v="1"/>
    <d v="2019-01-09T00:00:00"/>
    <x v="3"/>
    <x v="0"/>
    <n v="10"/>
  </r>
  <r>
    <s v="Angela Lewis"/>
    <x v="4"/>
    <n v="58"/>
    <x v="1"/>
    <s v="AB+"/>
    <x v="4"/>
    <d v="2019-03-11T00:00:00"/>
    <s v="Ryan Barron"/>
    <s v="Torres Group"/>
    <s v="Medicare"/>
    <n v="6584.5438345926696"/>
    <n v="271"/>
    <x v="0"/>
    <d v="2019-03-14T00:00:00"/>
    <x v="0"/>
    <x v="0"/>
    <n v="3"/>
  </r>
  <r>
    <s v="Angie Robinson"/>
    <x v="3"/>
    <n v="31"/>
    <x v="1"/>
    <s v="B+"/>
    <x v="4"/>
    <d v="2019-02-16T00:00:00"/>
    <s v="Sergio Johnson"/>
    <s v="Jensen Ltd"/>
    <s v="Cigna"/>
    <n v="16236.0949437257"/>
    <n v="273"/>
    <x v="2"/>
    <d v="2019-03-18T00:00:00"/>
    <x v="3"/>
    <x v="1"/>
    <n v="30"/>
  </r>
  <r>
    <s v="Antonio Robbins"/>
    <x v="0"/>
    <n v="85"/>
    <x v="1"/>
    <s v="A+"/>
    <x v="4"/>
    <d v="2021-01-24T00:00:00"/>
    <s v="Kara Curry"/>
    <s v="Mooney Inc"/>
    <s v="Aetna"/>
    <n v="32220.039227316"/>
    <n v="201"/>
    <x v="1"/>
    <d v="2021-02-04T00:00:00"/>
    <x v="2"/>
    <x v="1"/>
    <n v="11"/>
  </r>
  <r>
    <s v="Ariel Davis"/>
    <x v="6"/>
    <n v="67"/>
    <x v="0"/>
    <s v="B-"/>
    <x v="4"/>
    <d v="2021-10-23T00:00:00"/>
    <s v="Bethany Graham"/>
    <s v="Salazar-Hampton"/>
    <s v="Medicare"/>
    <n v="23777.795524651901"/>
    <n v="142"/>
    <x v="0"/>
    <d v="2021-11-21T00:00:00"/>
    <x v="4"/>
    <x v="2"/>
    <n v="29"/>
  </r>
  <r>
    <s v="Ashley English"/>
    <x v="3"/>
    <n v="27"/>
    <x v="0"/>
    <s v="B+"/>
    <x v="4"/>
    <d v="2022-03-12T00:00:00"/>
    <s v="Dawn Hughes"/>
    <s v="Smith-Parks"/>
    <s v="Cigna"/>
    <n v="5538.7618741275701"/>
    <n v="277"/>
    <x v="1"/>
    <d v="2022-03-27T00:00:00"/>
    <x v="1"/>
    <x v="1"/>
    <n v="15"/>
  </r>
  <r>
    <s v="Ashley Greene"/>
    <x v="5"/>
    <n v="43"/>
    <x v="0"/>
    <s v="B-"/>
    <x v="4"/>
    <d v="2019-11-11T00:00:00"/>
    <s v="Laura Wright"/>
    <s v="Turner-Cowan"/>
    <s v="Aetna"/>
    <n v="1872.6240696749501"/>
    <n v="249"/>
    <x v="1"/>
    <d v="2019-12-04T00:00:00"/>
    <x v="1"/>
    <x v="1"/>
    <n v="23"/>
  </r>
  <r>
    <s v="Ashley Osborne"/>
    <x v="5"/>
    <n v="38"/>
    <x v="0"/>
    <s v="AB+"/>
    <x v="4"/>
    <d v="2020-09-26T00:00:00"/>
    <s v="Paula Gonzalez"/>
    <s v="Rose, Wilson and Hays"/>
    <s v="Cigna"/>
    <n v="42381.336872681502"/>
    <n v="194"/>
    <x v="0"/>
    <d v="2020-10-05T00:00:00"/>
    <x v="4"/>
    <x v="1"/>
    <n v="9"/>
  </r>
  <r>
    <s v="Audrey Moore"/>
    <x v="1"/>
    <n v="19"/>
    <x v="1"/>
    <s v="A-"/>
    <x v="4"/>
    <d v="2019-05-18T00:00:00"/>
    <s v="Debra Parsons"/>
    <s v="Stark, Cunningham and Nelson"/>
    <s v="Aetna"/>
    <n v="27302.7152189101"/>
    <n v="375"/>
    <x v="1"/>
    <d v="2019-05-29T00:00:00"/>
    <x v="0"/>
    <x v="2"/>
    <n v="11"/>
  </r>
  <r>
    <s v="Bradley Sanford"/>
    <x v="1"/>
    <n v="19"/>
    <x v="0"/>
    <s v="O+"/>
    <x v="4"/>
    <d v="2019-10-02T00:00:00"/>
    <s v="Mr. Austin West Jr."/>
    <s v="Cunningham, Mathis and Carr"/>
    <s v="Cigna"/>
    <n v="38598.059722040198"/>
    <n v="120"/>
    <x v="1"/>
    <d v="2019-10-10T00:00:00"/>
    <x v="4"/>
    <x v="0"/>
    <n v="8"/>
  </r>
  <r>
    <s v="Brandon Scott"/>
    <x v="1"/>
    <n v="19"/>
    <x v="0"/>
    <s v="AB-"/>
    <x v="4"/>
    <d v="2023-01-02T00:00:00"/>
    <s v="Elizabeth Vance"/>
    <s v="Goodwin LLC"/>
    <s v="Cigna"/>
    <n v="7452.9262758659097"/>
    <n v="161"/>
    <x v="2"/>
    <d v="2023-02-01T00:00:00"/>
    <x v="0"/>
    <x v="2"/>
    <n v="30"/>
  </r>
  <r>
    <s v="Brian Robinson"/>
    <x v="5"/>
    <n v="38"/>
    <x v="0"/>
    <s v="A+"/>
    <x v="4"/>
    <d v="2021-09-12T00:00:00"/>
    <s v="Angela Cruz DDS"/>
    <s v="Flores Inc"/>
    <s v="UnitedHealthcare"/>
    <n v="40340.5304226113"/>
    <n v="201"/>
    <x v="1"/>
    <d v="2021-09-27T00:00:00"/>
    <x v="4"/>
    <x v="0"/>
    <n v="15"/>
  </r>
  <r>
    <s v="Brian York"/>
    <x v="1"/>
    <n v="23"/>
    <x v="1"/>
    <s v="B+"/>
    <x v="4"/>
    <d v="2020-04-04T00:00:00"/>
    <s v="Garrett Benton"/>
    <s v="Peck-Cooper"/>
    <s v="UnitedHealthcare"/>
    <n v="41216.676922241801"/>
    <n v="178"/>
    <x v="2"/>
    <d v="2020-04-28T00:00:00"/>
    <x v="2"/>
    <x v="2"/>
    <n v="24"/>
  </r>
  <r>
    <s v="Bruce Atkinson"/>
    <x v="4"/>
    <n v="63"/>
    <x v="1"/>
    <s v="A-"/>
    <x v="4"/>
    <d v="2019-11-17T00:00:00"/>
    <s v="Shannon Ochoa"/>
    <s v="Mccoy-Ibarra"/>
    <s v="Aetna"/>
    <n v="35155.664221050698"/>
    <n v="148"/>
    <x v="2"/>
    <d v="2019-11-18T00:00:00"/>
    <x v="4"/>
    <x v="2"/>
    <n v="1"/>
  </r>
  <r>
    <s v="Caitlin Sanders"/>
    <x v="2"/>
    <n v="46"/>
    <x v="1"/>
    <s v="O-"/>
    <x v="4"/>
    <d v="2021-11-14T00:00:00"/>
    <s v="William Wolf"/>
    <s v="Cox, Marshall and Alexander"/>
    <s v="Cigna"/>
    <n v="31546.520202372001"/>
    <n v="104"/>
    <x v="2"/>
    <d v="2021-11-26T00:00:00"/>
    <x v="3"/>
    <x v="2"/>
    <n v="12"/>
  </r>
  <r>
    <s v="Cameron Hall"/>
    <x v="4"/>
    <n v="62"/>
    <x v="1"/>
    <s v="A-"/>
    <x v="4"/>
    <d v="2019-09-05T00:00:00"/>
    <s v="Jon Rodriguez"/>
    <s v="Roberson-Hubbard"/>
    <s v="UnitedHealthcare"/>
    <n v="24048.266596627702"/>
    <n v="370"/>
    <x v="1"/>
    <d v="2019-09-11T00:00:00"/>
    <x v="3"/>
    <x v="1"/>
    <n v="6"/>
  </r>
  <r>
    <s v="Carl Thompson"/>
    <x v="6"/>
    <n v="66"/>
    <x v="0"/>
    <s v="O-"/>
    <x v="4"/>
    <d v="2019-07-04T00:00:00"/>
    <s v="Shannon Rodriguez"/>
    <s v="Scott and Sons"/>
    <s v="Aetna"/>
    <n v="23274.304046522699"/>
    <n v="427"/>
    <x v="2"/>
    <d v="2019-07-23T00:00:00"/>
    <x v="1"/>
    <x v="0"/>
    <n v="19"/>
  </r>
  <r>
    <s v="Carlos Young"/>
    <x v="4"/>
    <n v="65"/>
    <x v="1"/>
    <s v="O-"/>
    <x v="4"/>
    <d v="2021-07-09T00:00:00"/>
    <s v="Matthew Williams"/>
    <s v="Beck, Gonzalez and Tanner"/>
    <s v="Cigna"/>
    <n v="36946.0002673298"/>
    <n v="115"/>
    <x v="2"/>
    <d v="2021-07-10T00:00:00"/>
    <x v="2"/>
    <x v="1"/>
    <n v="1"/>
  </r>
  <r>
    <s v="Cathy Duncan"/>
    <x v="1"/>
    <n v="20"/>
    <x v="1"/>
    <s v="AB+"/>
    <x v="4"/>
    <d v="2021-02-17T00:00:00"/>
    <s v="Shane Matthews"/>
    <s v="Beck, Bailey and Farrell"/>
    <s v="Medicare"/>
    <n v="8771.4051364220704"/>
    <n v="478"/>
    <x v="1"/>
    <d v="2021-03-03T00:00:00"/>
    <x v="2"/>
    <x v="2"/>
    <n v="14"/>
  </r>
  <r>
    <s v="Charles Horton"/>
    <x v="0"/>
    <n v="82"/>
    <x v="1"/>
    <s v="AB+"/>
    <x v="4"/>
    <d v="2021-03-22T00:00:00"/>
    <s v="Patricia Bishop"/>
    <s v="Wheeler, Bryant and Johns"/>
    <s v="Cigna"/>
    <n v="39593.435761130801"/>
    <n v="161"/>
    <x v="2"/>
    <d v="2021-04-15T00:00:00"/>
    <x v="4"/>
    <x v="2"/>
    <n v="24"/>
  </r>
  <r>
    <s v="Chris Roth"/>
    <x v="0"/>
    <n v="80"/>
    <x v="0"/>
    <s v="A-"/>
    <x v="4"/>
    <d v="2022-11-26T00:00:00"/>
    <s v="Derrick Francis"/>
    <s v="Garcia Ltd"/>
    <s v="Medicare"/>
    <n v="43613.488432298502"/>
    <n v="315"/>
    <x v="1"/>
    <d v="2022-12-04T00:00:00"/>
    <x v="2"/>
    <x v="0"/>
    <n v="8"/>
  </r>
  <r>
    <s v="Christina Armstrong"/>
    <x v="2"/>
    <n v="55"/>
    <x v="1"/>
    <s v="A-"/>
    <x v="4"/>
    <d v="2022-12-18T00:00:00"/>
    <s v="Joshua Larson"/>
    <s v="Martinez Ltd"/>
    <s v="Cigna"/>
    <n v="17902.6463938095"/>
    <n v="267"/>
    <x v="2"/>
    <d v="2023-01-05T00:00:00"/>
    <x v="2"/>
    <x v="0"/>
    <n v="18"/>
  </r>
  <r>
    <s v="Christina Hernandez"/>
    <x v="0"/>
    <n v="84"/>
    <x v="0"/>
    <s v="O+"/>
    <x v="4"/>
    <d v="2019-10-13T00:00:00"/>
    <s v="Cody Wright"/>
    <s v="Harris and Sons"/>
    <s v="Aetna"/>
    <n v="10803.730343659499"/>
    <n v="388"/>
    <x v="1"/>
    <d v="2019-10-29T00:00:00"/>
    <x v="3"/>
    <x v="0"/>
    <n v="16"/>
  </r>
  <r>
    <s v="Christina Rogers"/>
    <x v="6"/>
    <n v="74"/>
    <x v="1"/>
    <s v="A+"/>
    <x v="4"/>
    <d v="2023-07-06T00:00:00"/>
    <s v="Dana Adams"/>
    <s v="Ward, Mann and Thomas"/>
    <s v="Cigna"/>
    <n v="3866.3370522312298"/>
    <n v="375"/>
    <x v="1"/>
    <d v="2023-07-12T00:00:00"/>
    <x v="0"/>
    <x v="2"/>
    <n v="6"/>
  </r>
  <r>
    <s v="Christine Young"/>
    <x v="4"/>
    <n v="62"/>
    <x v="0"/>
    <s v="A-"/>
    <x v="4"/>
    <d v="2020-11-29T00:00:00"/>
    <s v="Anthony Davis"/>
    <s v="Massey, Moore and Sanchez"/>
    <s v="Aetna"/>
    <n v="13251.9306679295"/>
    <n v="272"/>
    <x v="2"/>
    <d v="2020-12-11T00:00:00"/>
    <x v="3"/>
    <x v="1"/>
    <n v="12"/>
  </r>
  <r>
    <s v="Christopher Cervantes"/>
    <x v="6"/>
    <n v="66"/>
    <x v="0"/>
    <s v="AB-"/>
    <x v="4"/>
    <d v="2021-03-28T00:00:00"/>
    <s v="Kristen Hancock"/>
    <s v="Brown-Green"/>
    <s v="Blue Cross"/>
    <n v="2634.75786257133"/>
    <n v="210"/>
    <x v="2"/>
    <d v="2021-04-08T00:00:00"/>
    <x v="4"/>
    <x v="1"/>
    <n v="11"/>
  </r>
  <r>
    <s v="Christopher Phillips"/>
    <x v="1"/>
    <n v="19"/>
    <x v="1"/>
    <s v="O-"/>
    <x v="4"/>
    <d v="2019-04-12T00:00:00"/>
    <s v="Frederick Reed"/>
    <s v="Jackson-Steele"/>
    <s v="Cigna"/>
    <n v="6852.5010547742904"/>
    <n v="159"/>
    <x v="0"/>
    <d v="2019-04-22T00:00:00"/>
    <x v="2"/>
    <x v="1"/>
    <n v="10"/>
  </r>
  <r>
    <s v="Christopher Velasquez"/>
    <x v="0"/>
    <n v="83"/>
    <x v="0"/>
    <s v="O+"/>
    <x v="4"/>
    <d v="2023-07-28T00:00:00"/>
    <s v="Cory Fletcher"/>
    <s v="Hernandez-Mendoza"/>
    <s v="UnitedHealthcare"/>
    <n v="37744.299585288798"/>
    <n v="471"/>
    <x v="0"/>
    <d v="2023-07-29T00:00:00"/>
    <x v="3"/>
    <x v="2"/>
    <n v="1"/>
  </r>
  <r>
    <s v="Curtis Dean"/>
    <x v="4"/>
    <n v="57"/>
    <x v="1"/>
    <s v="O-"/>
    <x v="4"/>
    <d v="2020-08-05T00:00:00"/>
    <s v="Michael Strickland"/>
    <s v="Tran, Moody and Sellers"/>
    <s v="Medicare"/>
    <n v="10643.351924430901"/>
    <n v="444"/>
    <x v="2"/>
    <d v="2020-08-14T00:00:00"/>
    <x v="1"/>
    <x v="2"/>
    <n v="9"/>
  </r>
  <r>
    <s v="Daniel Alexander"/>
    <x v="6"/>
    <n v="70"/>
    <x v="1"/>
    <s v="AB-"/>
    <x v="4"/>
    <d v="2020-03-19T00:00:00"/>
    <s v="Jill Hughes"/>
    <s v="Smith Inc"/>
    <s v="Aetna"/>
    <n v="36496.775644225003"/>
    <n v="286"/>
    <x v="0"/>
    <d v="2020-04-05T00:00:00"/>
    <x v="0"/>
    <x v="1"/>
    <n v="17"/>
  </r>
  <r>
    <s v="Daniel Golden"/>
    <x v="0"/>
    <n v="79"/>
    <x v="1"/>
    <s v="A+"/>
    <x v="4"/>
    <d v="2023-02-19T00:00:00"/>
    <s v="Kendra Shields"/>
    <s v="Macdonald, Graves and English"/>
    <s v="Cigna"/>
    <n v="43699.093392209499"/>
    <n v="460"/>
    <x v="1"/>
    <d v="2023-03-06T00:00:00"/>
    <x v="0"/>
    <x v="2"/>
    <n v="15"/>
  </r>
  <r>
    <s v="Daniel Meadows"/>
    <x v="6"/>
    <n v="74"/>
    <x v="1"/>
    <s v="B+"/>
    <x v="4"/>
    <d v="2020-11-20T00:00:00"/>
    <s v="Sean Warren"/>
    <s v="Saunders, Welch and Palmer"/>
    <s v="Cigna"/>
    <n v="21005.634447377201"/>
    <n v="425"/>
    <x v="1"/>
    <d v="2020-12-12T00:00:00"/>
    <x v="1"/>
    <x v="1"/>
    <n v="22"/>
  </r>
  <r>
    <s v="Danielle Hunter"/>
    <x v="0"/>
    <n v="76"/>
    <x v="0"/>
    <s v="O+"/>
    <x v="4"/>
    <d v="2018-11-03T00:00:00"/>
    <s v="Pamela Williams"/>
    <s v="Powell LLC"/>
    <s v="Cigna"/>
    <n v="43952.390215232503"/>
    <n v="343"/>
    <x v="2"/>
    <d v="2018-11-13T00:00:00"/>
    <x v="1"/>
    <x v="0"/>
    <n v="10"/>
  </r>
  <r>
    <s v="Danielle Jones"/>
    <x v="4"/>
    <n v="65"/>
    <x v="0"/>
    <s v="B-"/>
    <x v="4"/>
    <d v="2023-05-10T00:00:00"/>
    <s v="Natalie Smith"/>
    <s v="Watson, Johnson and Alvarez"/>
    <s v="UnitedHealthcare"/>
    <n v="19925.361214557499"/>
    <n v="381"/>
    <x v="1"/>
    <d v="2023-06-03T00:00:00"/>
    <x v="0"/>
    <x v="0"/>
    <n v="24"/>
  </r>
  <r>
    <s v="Danielle Nunez"/>
    <x v="3"/>
    <n v="35"/>
    <x v="1"/>
    <s v="A+"/>
    <x v="4"/>
    <d v="2020-11-19T00:00:00"/>
    <s v="Jeffrey White"/>
    <s v="Wright PLC"/>
    <s v="Aetna"/>
    <n v="13608.1789673241"/>
    <n v="304"/>
    <x v="1"/>
    <d v="2020-12-15T00:00:00"/>
    <x v="1"/>
    <x v="0"/>
    <n v="26"/>
  </r>
  <r>
    <s v="David Brock"/>
    <x v="1"/>
    <n v="19"/>
    <x v="1"/>
    <s v="A+"/>
    <x v="4"/>
    <d v="2022-08-29T00:00:00"/>
    <s v="Julia Wu"/>
    <s v="King-Reynolds"/>
    <s v="Cigna"/>
    <n v="35307.197478873801"/>
    <n v="229"/>
    <x v="2"/>
    <d v="2022-09-07T00:00:00"/>
    <x v="2"/>
    <x v="2"/>
    <n v="9"/>
  </r>
  <r>
    <s v="David Copeland"/>
    <x v="2"/>
    <n v="50"/>
    <x v="1"/>
    <s v="B+"/>
    <x v="4"/>
    <d v="2022-05-23T00:00:00"/>
    <s v="Melissa Hawkins"/>
    <s v="Marshall LLC"/>
    <s v="UnitedHealthcare"/>
    <n v="5244.5079796949103"/>
    <n v="463"/>
    <x v="0"/>
    <d v="2022-06-13T00:00:00"/>
    <x v="0"/>
    <x v="0"/>
    <n v="21"/>
  </r>
  <r>
    <s v="Deanna Moon"/>
    <x v="3"/>
    <n v="26"/>
    <x v="1"/>
    <s v="A+"/>
    <x v="4"/>
    <d v="2019-12-06T00:00:00"/>
    <s v="John Thompson"/>
    <s v="Valencia, Brock and Copeland"/>
    <s v="Aetna"/>
    <n v="11113.373663116599"/>
    <n v="162"/>
    <x v="2"/>
    <d v="2019-12-17T00:00:00"/>
    <x v="1"/>
    <x v="2"/>
    <n v="11"/>
  </r>
  <r>
    <s v="Deborah Barrera"/>
    <x v="5"/>
    <n v="44"/>
    <x v="1"/>
    <s v="O+"/>
    <x v="4"/>
    <d v="2023-03-17T00:00:00"/>
    <s v="Jennifer Rose"/>
    <s v="Sanders-Medina"/>
    <s v="Medicare"/>
    <n v="35490.262673802499"/>
    <n v="403"/>
    <x v="2"/>
    <d v="2023-03-25T00:00:00"/>
    <x v="0"/>
    <x v="2"/>
    <n v="8"/>
  </r>
  <r>
    <s v="Diana Brown"/>
    <x v="5"/>
    <n v="37"/>
    <x v="0"/>
    <s v="AB-"/>
    <x v="4"/>
    <d v="2019-10-05T00:00:00"/>
    <s v="Richard Newman"/>
    <s v="Gutierrez Inc"/>
    <s v="Cigna"/>
    <n v="5223.9589452186301"/>
    <n v="143"/>
    <x v="1"/>
    <d v="2019-10-25T00:00:00"/>
    <x v="4"/>
    <x v="2"/>
    <n v="20"/>
  </r>
  <r>
    <s v="Donald Walker"/>
    <x v="5"/>
    <n v="41"/>
    <x v="0"/>
    <s v="O-"/>
    <x v="4"/>
    <d v="2019-06-18T00:00:00"/>
    <s v="Kristen Sherman"/>
    <s v="Bond Inc"/>
    <s v="Cigna"/>
    <n v="10398.8414313658"/>
    <n v="263"/>
    <x v="0"/>
    <d v="2019-07-14T00:00:00"/>
    <x v="2"/>
    <x v="2"/>
    <n v="26"/>
  </r>
  <r>
    <s v="Dr. Wendy Taylor"/>
    <x v="3"/>
    <n v="27"/>
    <x v="1"/>
    <s v="AB-"/>
    <x v="4"/>
    <d v="2022-02-10T00:00:00"/>
    <s v="Sierra Farmer"/>
    <s v="Watkins, Brooks and Bates"/>
    <s v="UnitedHealthcare"/>
    <n v="15469.681276723801"/>
    <n v="305"/>
    <x v="0"/>
    <d v="2022-03-06T00:00:00"/>
    <x v="4"/>
    <x v="2"/>
    <n v="24"/>
  </r>
  <r>
    <s v="Elizabeth Burton"/>
    <x v="3"/>
    <n v="35"/>
    <x v="0"/>
    <s v="O+"/>
    <x v="4"/>
    <d v="2022-03-14T00:00:00"/>
    <s v="Eric Thomas"/>
    <s v="Wong Inc"/>
    <s v="Blue Cross"/>
    <n v="41603.680766907499"/>
    <n v="396"/>
    <x v="0"/>
    <d v="2022-04-11T00:00:00"/>
    <x v="3"/>
    <x v="1"/>
    <n v="28"/>
  </r>
  <r>
    <s v="Elizabeth Charles"/>
    <x v="5"/>
    <n v="36"/>
    <x v="1"/>
    <s v="B-"/>
    <x v="4"/>
    <d v="2022-11-09T00:00:00"/>
    <s v="Charles Blake"/>
    <s v="Simmons Ltd"/>
    <s v="Blue Cross"/>
    <n v="41995.8722771537"/>
    <n v="362"/>
    <x v="2"/>
    <d v="2022-11-20T00:00:00"/>
    <x v="3"/>
    <x v="1"/>
    <n v="11"/>
  </r>
  <r>
    <s v="Eric Combs"/>
    <x v="0"/>
    <n v="83"/>
    <x v="0"/>
    <s v="B-"/>
    <x v="4"/>
    <d v="2023-04-03T00:00:00"/>
    <s v="Carrie Becker"/>
    <s v="Miller, Lawrence and Hernandez"/>
    <s v="UnitedHealthcare"/>
    <n v="19789.252541621201"/>
    <n v="413"/>
    <x v="2"/>
    <d v="2023-04-07T00:00:00"/>
    <x v="1"/>
    <x v="1"/>
    <n v="4"/>
  </r>
  <r>
    <s v="Erin Porter"/>
    <x v="4"/>
    <n v="59"/>
    <x v="1"/>
    <s v="B-"/>
    <x v="4"/>
    <d v="2019-04-25T00:00:00"/>
    <s v="Amber Meza"/>
    <s v="Price and Sons"/>
    <s v="Cigna"/>
    <n v="18364.414653784501"/>
    <n v="288"/>
    <x v="0"/>
    <d v="2019-05-20T00:00:00"/>
    <x v="4"/>
    <x v="2"/>
    <n v="25"/>
  </r>
  <r>
    <s v="Francis Newman"/>
    <x v="6"/>
    <n v="74"/>
    <x v="0"/>
    <s v="AB+"/>
    <x v="4"/>
    <d v="2021-05-25T00:00:00"/>
    <s v="Carolyn Baker MD"/>
    <s v="Hess-Lowe"/>
    <s v="Cigna"/>
    <n v="12680.7305210584"/>
    <n v="298"/>
    <x v="1"/>
    <d v="2021-06-08T00:00:00"/>
    <x v="4"/>
    <x v="2"/>
    <n v="14"/>
  </r>
  <r>
    <s v="Frank Rosario"/>
    <x v="3"/>
    <n v="28"/>
    <x v="1"/>
    <s v="O+"/>
    <x v="4"/>
    <d v="2023-10-30T00:00:00"/>
    <s v="Amanda Shepard"/>
    <s v="Cameron LLC"/>
    <s v="UnitedHealthcare"/>
    <n v="37904.395334017099"/>
    <n v="359"/>
    <x v="0"/>
    <d v="2023-11-08T00:00:00"/>
    <x v="4"/>
    <x v="2"/>
    <n v="9"/>
  </r>
  <r>
    <s v="George Allison"/>
    <x v="5"/>
    <n v="37"/>
    <x v="1"/>
    <s v="A+"/>
    <x v="4"/>
    <d v="2022-08-12T00:00:00"/>
    <s v="Ryan Kirk"/>
    <s v="Lopez Inc"/>
    <s v="Cigna"/>
    <n v="16653.861241303501"/>
    <n v="233"/>
    <x v="0"/>
    <d v="2022-09-08T00:00:00"/>
    <x v="0"/>
    <x v="2"/>
    <n v="27"/>
  </r>
  <r>
    <s v="George Morton"/>
    <x v="4"/>
    <n v="59"/>
    <x v="0"/>
    <s v="AB-"/>
    <x v="4"/>
    <d v="2021-12-13T00:00:00"/>
    <s v="Michelle Moyer"/>
    <s v="Page Ltd"/>
    <s v="Medicare"/>
    <n v="35725.015997527997"/>
    <n v="246"/>
    <x v="0"/>
    <d v="2021-12-22T00:00:00"/>
    <x v="0"/>
    <x v="2"/>
    <n v="9"/>
  </r>
  <r>
    <s v="Gerald Moreno"/>
    <x v="6"/>
    <n v="74"/>
    <x v="0"/>
    <s v="AB+"/>
    <x v="4"/>
    <d v="2023-06-13T00:00:00"/>
    <s v="Matthew Hammond"/>
    <s v="Gray, Santos and Garcia"/>
    <s v="Cigna"/>
    <n v="16118.1665359169"/>
    <n v="192"/>
    <x v="2"/>
    <d v="2023-07-11T00:00:00"/>
    <x v="0"/>
    <x v="2"/>
    <n v="28"/>
  </r>
  <r>
    <s v="Glen Brown"/>
    <x v="4"/>
    <n v="64"/>
    <x v="1"/>
    <s v="AB-"/>
    <x v="4"/>
    <d v="2019-10-31T00:00:00"/>
    <s v="Francisco Cortez"/>
    <s v="Warner and Sons"/>
    <s v="Cigna"/>
    <n v="38384.833839941202"/>
    <n v="423"/>
    <x v="0"/>
    <d v="2019-11-29T00:00:00"/>
    <x v="1"/>
    <x v="0"/>
    <n v="29"/>
  </r>
  <r>
    <s v="Gregory Wilson"/>
    <x v="6"/>
    <n v="68"/>
    <x v="0"/>
    <s v="AB+"/>
    <x v="4"/>
    <d v="2020-07-10T00:00:00"/>
    <s v="Michelle Harris"/>
    <s v="Brock LLC"/>
    <s v="UnitedHealthcare"/>
    <n v="14578.9130118227"/>
    <n v="470"/>
    <x v="2"/>
    <d v="2020-08-04T00:00:00"/>
    <x v="0"/>
    <x v="1"/>
    <n v="25"/>
  </r>
  <r>
    <s v="Heather Johnson"/>
    <x v="3"/>
    <n v="27"/>
    <x v="0"/>
    <s v="B-"/>
    <x v="4"/>
    <d v="2019-06-24T00:00:00"/>
    <s v="Joshua Ramirez"/>
    <s v="Rojas, Walker and Oneal"/>
    <s v="Medicare"/>
    <n v="19532.532787234701"/>
    <n v="482"/>
    <x v="2"/>
    <d v="2019-07-12T00:00:00"/>
    <x v="3"/>
    <x v="2"/>
    <n v="18"/>
  </r>
  <r>
    <s v="James Chung"/>
    <x v="5"/>
    <n v="37"/>
    <x v="0"/>
    <s v="A-"/>
    <x v="4"/>
    <d v="2021-07-14T00:00:00"/>
    <s v="Franklin Martin"/>
    <s v="Frederick-Moore"/>
    <s v="Aetna"/>
    <n v="37031.667951122399"/>
    <n v="464"/>
    <x v="0"/>
    <d v="2021-07-24T00:00:00"/>
    <x v="1"/>
    <x v="1"/>
    <n v="10"/>
  </r>
  <r>
    <s v="James Smith"/>
    <x v="4"/>
    <n v="61"/>
    <x v="1"/>
    <s v="O-"/>
    <x v="4"/>
    <d v="2023-05-18T00:00:00"/>
    <s v="Kim Payne"/>
    <s v="Thomas, Kelley and Shelton"/>
    <s v="UnitedHealthcare"/>
    <n v="39737.329479595399"/>
    <n v="144"/>
    <x v="1"/>
    <d v="2023-06-03T00:00:00"/>
    <x v="3"/>
    <x v="2"/>
    <n v="16"/>
  </r>
  <r>
    <s v="Jasmine Hernandez"/>
    <x v="4"/>
    <n v="59"/>
    <x v="0"/>
    <s v="AB+"/>
    <x v="4"/>
    <d v="2021-10-29T00:00:00"/>
    <s v="Deborah Andrews"/>
    <s v="Ibarra and Sons"/>
    <s v="Medicare"/>
    <n v="48934.269264303897"/>
    <n v="224"/>
    <x v="0"/>
    <d v="2021-11-09T00:00:00"/>
    <x v="2"/>
    <x v="2"/>
    <n v="11"/>
  </r>
  <r>
    <s v="Jeff Cooper MD"/>
    <x v="0"/>
    <n v="77"/>
    <x v="0"/>
    <s v="B-"/>
    <x v="4"/>
    <d v="2020-03-17T00:00:00"/>
    <s v="Erika Long"/>
    <s v="Landry, Briggs and Pitts"/>
    <s v="Cigna"/>
    <n v="25129.1759518902"/>
    <n v="459"/>
    <x v="1"/>
    <d v="2020-04-06T00:00:00"/>
    <x v="1"/>
    <x v="0"/>
    <n v="20"/>
  </r>
  <r>
    <s v="Jeffrey Lawrence"/>
    <x v="1"/>
    <n v="20"/>
    <x v="1"/>
    <s v="O+"/>
    <x v="4"/>
    <d v="2021-11-26T00:00:00"/>
    <s v="Deanna Baldwin"/>
    <s v="Bryant, Conley and Williams"/>
    <s v="UnitedHealthcare"/>
    <n v="20131.649878843"/>
    <n v="478"/>
    <x v="1"/>
    <d v="2021-12-01T00:00:00"/>
    <x v="2"/>
    <x v="2"/>
    <n v="5"/>
  </r>
  <r>
    <s v="Jennifer Hoover"/>
    <x v="2"/>
    <n v="53"/>
    <x v="1"/>
    <s v="AB+"/>
    <x v="4"/>
    <d v="2020-01-11T00:00:00"/>
    <s v="James Jackson"/>
    <s v="Hinton and Sons"/>
    <s v="Cigna"/>
    <n v="18225.084077363401"/>
    <n v="422"/>
    <x v="2"/>
    <d v="2020-01-26T00:00:00"/>
    <x v="1"/>
    <x v="2"/>
    <n v="15"/>
  </r>
  <r>
    <s v="Jennifer Le"/>
    <x v="6"/>
    <n v="74"/>
    <x v="1"/>
    <s v="A+"/>
    <x v="4"/>
    <d v="2021-10-23T00:00:00"/>
    <s v="Brittany Strickland"/>
    <s v="Wall PLC"/>
    <s v="Cigna"/>
    <n v="33283.284696003"/>
    <n v="257"/>
    <x v="0"/>
    <d v="2021-11-06T00:00:00"/>
    <x v="2"/>
    <x v="1"/>
    <n v="14"/>
  </r>
  <r>
    <s v="Jennifer Perez"/>
    <x v="6"/>
    <n v="72"/>
    <x v="0"/>
    <s v="AB-"/>
    <x v="4"/>
    <d v="2020-03-09T00:00:00"/>
    <s v="Dawn Graves"/>
    <s v="Macias-Ramsey"/>
    <s v="UnitedHealthcare"/>
    <n v="28429.3070566602"/>
    <n v="211"/>
    <x v="0"/>
    <d v="2020-04-07T00:00:00"/>
    <x v="0"/>
    <x v="0"/>
    <n v="29"/>
  </r>
  <r>
    <s v="Jennifer Williams"/>
    <x v="4"/>
    <n v="59"/>
    <x v="1"/>
    <s v="O+"/>
    <x v="4"/>
    <d v="2020-07-17T00:00:00"/>
    <s v="Eric Clark"/>
    <s v="Rasmussen-Williams"/>
    <s v="Blue Cross"/>
    <n v="39300.532140015901"/>
    <n v="148"/>
    <x v="2"/>
    <d v="2020-07-22T00:00:00"/>
    <x v="0"/>
    <x v="1"/>
    <n v="5"/>
  </r>
  <r>
    <s v="Jeremy Vasquez"/>
    <x v="5"/>
    <n v="45"/>
    <x v="0"/>
    <s v="AB+"/>
    <x v="4"/>
    <d v="2020-08-27T00:00:00"/>
    <s v="Sandra Moore"/>
    <s v="Kemp Inc"/>
    <s v="Medicare"/>
    <n v="22616.997534497601"/>
    <n v="195"/>
    <x v="1"/>
    <d v="2020-09-21T00:00:00"/>
    <x v="3"/>
    <x v="2"/>
    <n v="25"/>
  </r>
  <r>
    <s v="Jessica Joseph"/>
    <x v="4"/>
    <n v="64"/>
    <x v="0"/>
    <s v="B+"/>
    <x v="4"/>
    <d v="2020-05-26T00:00:00"/>
    <s v="Theresa Garcia"/>
    <s v="Quinn, Grant and Evans"/>
    <s v="Medicare"/>
    <n v="37006.724829498598"/>
    <n v="378"/>
    <x v="0"/>
    <d v="2020-06-05T00:00:00"/>
    <x v="2"/>
    <x v="0"/>
    <n v="10"/>
  </r>
  <r>
    <s v="Jillian Robinson"/>
    <x v="4"/>
    <n v="62"/>
    <x v="1"/>
    <s v="A+"/>
    <x v="4"/>
    <d v="2022-05-23T00:00:00"/>
    <s v="Jordan Johnston"/>
    <s v="Clark-Shaw"/>
    <s v="Cigna"/>
    <n v="22979.213540298901"/>
    <n v="216"/>
    <x v="1"/>
    <d v="2022-06-11T00:00:00"/>
    <x v="0"/>
    <x v="2"/>
    <n v="19"/>
  </r>
  <r>
    <s v="Joel Williams"/>
    <x v="2"/>
    <n v="53"/>
    <x v="0"/>
    <s v="B-"/>
    <x v="4"/>
    <d v="2021-11-07T00:00:00"/>
    <s v="Jose Love MD"/>
    <s v="Brown PLC"/>
    <s v="Blue Cross"/>
    <n v="11571.5707776116"/>
    <n v="295"/>
    <x v="0"/>
    <d v="2021-11-22T00:00:00"/>
    <x v="1"/>
    <x v="0"/>
    <n v="15"/>
  </r>
  <r>
    <s v="John Turner"/>
    <x v="3"/>
    <n v="29"/>
    <x v="0"/>
    <s v="B+"/>
    <x v="4"/>
    <d v="2019-12-04T00:00:00"/>
    <s v="Luis Brown"/>
    <s v="George, Neal and Acevedo"/>
    <s v="Medicare"/>
    <n v="45970.025398204401"/>
    <n v="349"/>
    <x v="2"/>
    <d v="2019-12-31T00:00:00"/>
    <x v="4"/>
    <x v="2"/>
    <n v="27"/>
  </r>
  <r>
    <s v="Jonathan Jimenez"/>
    <x v="6"/>
    <n v="75"/>
    <x v="0"/>
    <s v="AB-"/>
    <x v="4"/>
    <d v="2020-10-17T00:00:00"/>
    <s v="Gabriela Cooley"/>
    <s v="Ray, Shields and Bennett"/>
    <s v="Cigna"/>
    <n v="2737.6761092319098"/>
    <n v="370"/>
    <x v="2"/>
    <d v="2020-10-23T00:00:00"/>
    <x v="2"/>
    <x v="1"/>
    <n v="6"/>
  </r>
  <r>
    <s v="Jonathan Snyder"/>
    <x v="3"/>
    <n v="31"/>
    <x v="1"/>
    <s v="A+"/>
    <x v="4"/>
    <d v="2019-11-01T00:00:00"/>
    <s v="Melissa Jackson"/>
    <s v="Perkins, Cunningham and Johnson"/>
    <s v="Medicare"/>
    <n v="5767.5005933531002"/>
    <n v="126"/>
    <x v="1"/>
    <d v="2019-11-04T00:00:00"/>
    <x v="4"/>
    <x v="1"/>
    <n v="3"/>
  </r>
  <r>
    <s v="Joshua Benjamin"/>
    <x v="0"/>
    <n v="80"/>
    <x v="1"/>
    <s v="AB+"/>
    <x v="4"/>
    <d v="2020-10-20T00:00:00"/>
    <s v="Stephanie Parker"/>
    <s v="Acevedo and Sons"/>
    <s v="Aetna"/>
    <n v="40372.1167404589"/>
    <n v="419"/>
    <x v="2"/>
    <d v="2020-10-23T00:00:00"/>
    <x v="2"/>
    <x v="1"/>
    <n v="3"/>
  </r>
  <r>
    <s v="Joshua Gates"/>
    <x v="2"/>
    <n v="55"/>
    <x v="1"/>
    <s v="AB-"/>
    <x v="4"/>
    <d v="2021-08-29T00:00:00"/>
    <s v="Michael Flores"/>
    <s v="Lopez-Robinson"/>
    <s v="UnitedHealthcare"/>
    <n v="42294.905321713901"/>
    <n v="401"/>
    <x v="2"/>
    <d v="2021-08-30T00:00:00"/>
    <x v="1"/>
    <x v="0"/>
    <n v="1"/>
  </r>
  <r>
    <s v="Joy Martinez"/>
    <x v="5"/>
    <n v="45"/>
    <x v="0"/>
    <s v="B-"/>
    <x v="4"/>
    <d v="2023-04-05T00:00:00"/>
    <s v="Christine Lewis"/>
    <s v="Long, Richards and Scott"/>
    <s v="Aetna"/>
    <n v="26875.034080236601"/>
    <n v="103"/>
    <x v="2"/>
    <d v="2023-05-02T00:00:00"/>
    <x v="0"/>
    <x v="0"/>
    <n v="27"/>
  </r>
  <r>
    <s v="Judith Trevino"/>
    <x v="4"/>
    <n v="59"/>
    <x v="0"/>
    <s v="O-"/>
    <x v="4"/>
    <d v="2019-10-16T00:00:00"/>
    <s v="Jesse Bailey"/>
    <s v="Martin LLC"/>
    <s v="Blue Cross"/>
    <n v="4159.8516752477699"/>
    <n v="240"/>
    <x v="0"/>
    <d v="2019-11-15T00:00:00"/>
    <x v="2"/>
    <x v="0"/>
    <n v="30"/>
  </r>
  <r>
    <s v="Julie Brooks"/>
    <x v="3"/>
    <n v="33"/>
    <x v="1"/>
    <s v="AB+"/>
    <x v="4"/>
    <d v="2020-01-24T00:00:00"/>
    <s v="Susan Olson"/>
    <s v="Mann-Wilson"/>
    <s v="Blue Cross"/>
    <n v="29381.579599553599"/>
    <n v="478"/>
    <x v="1"/>
    <d v="2020-02-05T00:00:00"/>
    <x v="4"/>
    <x v="2"/>
    <n v="12"/>
  </r>
  <r>
    <s v="Justin Buck"/>
    <x v="6"/>
    <n v="74"/>
    <x v="0"/>
    <s v="A-"/>
    <x v="4"/>
    <d v="2019-04-01T00:00:00"/>
    <s v="Theresa Thomas"/>
    <s v="Gates Ltd"/>
    <s v="Aetna"/>
    <n v="45779.075188684299"/>
    <n v="232"/>
    <x v="2"/>
    <d v="2019-04-24T00:00:00"/>
    <x v="4"/>
    <x v="1"/>
    <n v="23"/>
  </r>
  <r>
    <s v="Justin Cunningham"/>
    <x v="6"/>
    <n v="68"/>
    <x v="1"/>
    <s v="B+"/>
    <x v="4"/>
    <d v="2020-04-20T00:00:00"/>
    <s v="Samantha May"/>
    <s v="Anderson and Sons"/>
    <s v="Medicare"/>
    <n v="47030.328586837903"/>
    <n v="467"/>
    <x v="1"/>
    <d v="2020-05-10T00:00:00"/>
    <x v="2"/>
    <x v="2"/>
    <n v="20"/>
  </r>
  <r>
    <s v="Karen Clark"/>
    <x v="2"/>
    <n v="50"/>
    <x v="0"/>
    <s v="B+"/>
    <x v="4"/>
    <d v="2021-08-12T00:00:00"/>
    <s v="Joshua Lopez"/>
    <s v="Jones Ltd"/>
    <s v="Aetna"/>
    <n v="35536.835399326897"/>
    <n v="231"/>
    <x v="0"/>
    <d v="2021-08-22T00:00:00"/>
    <x v="3"/>
    <x v="1"/>
    <n v="10"/>
  </r>
  <r>
    <s v="Kathleen Hanson"/>
    <x v="5"/>
    <n v="37"/>
    <x v="0"/>
    <s v="AB-"/>
    <x v="4"/>
    <d v="2020-08-27T00:00:00"/>
    <s v="Melissa Gomez MD"/>
    <s v="Montgomery LLC"/>
    <s v="Medicare"/>
    <n v="42182.749765012202"/>
    <n v="356"/>
    <x v="0"/>
    <d v="2020-09-17T00:00:00"/>
    <x v="3"/>
    <x v="1"/>
    <n v="21"/>
  </r>
  <r>
    <s v="Kathy Walls"/>
    <x v="2"/>
    <n v="54"/>
    <x v="1"/>
    <s v="O-"/>
    <x v="4"/>
    <d v="2023-04-12T00:00:00"/>
    <s v="Ashley Perez"/>
    <s v="Alexander, Hill and Stout"/>
    <s v="Medicare"/>
    <n v="36653.518666295698"/>
    <n v="279"/>
    <x v="2"/>
    <d v="2023-05-10T00:00:00"/>
    <x v="4"/>
    <x v="1"/>
    <n v="28"/>
  </r>
  <r>
    <s v="Kelly Graham"/>
    <x v="2"/>
    <n v="55"/>
    <x v="0"/>
    <s v="A-"/>
    <x v="4"/>
    <d v="2019-09-03T00:00:00"/>
    <s v="Henry Mcbride"/>
    <s v="Swanson, Freeman and Porter"/>
    <s v="Medicare"/>
    <n v="45454.866124597997"/>
    <n v="146"/>
    <x v="1"/>
    <d v="2019-09-14T00:00:00"/>
    <x v="1"/>
    <x v="0"/>
    <n v="11"/>
  </r>
  <r>
    <s v="Kenneth Obrien"/>
    <x v="1"/>
    <n v="25"/>
    <x v="1"/>
    <s v="O-"/>
    <x v="4"/>
    <d v="2022-08-25T00:00:00"/>
    <s v="Nathan Meyers"/>
    <s v="Short Ltd"/>
    <s v="UnitedHealthcare"/>
    <n v="39459.436269374499"/>
    <n v="188"/>
    <x v="1"/>
    <d v="2022-09-17T00:00:00"/>
    <x v="3"/>
    <x v="2"/>
    <n v="23"/>
  </r>
  <r>
    <s v="Kenneth Oconnell"/>
    <x v="6"/>
    <n v="67"/>
    <x v="0"/>
    <s v="O+"/>
    <x v="4"/>
    <d v="2020-01-11T00:00:00"/>
    <s v="Morgan Johnson"/>
    <s v="Marquez, Rodriguez and Sweeney"/>
    <s v="Cigna"/>
    <n v="8941.4695186572699"/>
    <n v="155"/>
    <x v="1"/>
    <d v="2020-01-17T00:00:00"/>
    <x v="4"/>
    <x v="2"/>
    <n v="6"/>
  </r>
  <r>
    <s v="Kenneth Smith"/>
    <x v="5"/>
    <n v="38"/>
    <x v="1"/>
    <s v="A-"/>
    <x v="4"/>
    <d v="2020-02-20T00:00:00"/>
    <s v="Brenda Bates DVM"/>
    <s v="Browning PLC"/>
    <s v="Medicare"/>
    <n v="24509.041814010201"/>
    <n v="407"/>
    <x v="2"/>
    <d v="2020-02-27T00:00:00"/>
    <x v="4"/>
    <x v="0"/>
    <n v="7"/>
  </r>
  <r>
    <s v="Kevin Hernandez"/>
    <x v="0"/>
    <n v="77"/>
    <x v="1"/>
    <s v="A-"/>
    <x v="4"/>
    <d v="2021-11-25T00:00:00"/>
    <s v="Joan Andrews"/>
    <s v="Short LLC"/>
    <s v="Cigna"/>
    <n v="24578.184988308501"/>
    <n v="437"/>
    <x v="1"/>
    <d v="2021-12-16T00:00:00"/>
    <x v="2"/>
    <x v="1"/>
    <n v="21"/>
  </r>
  <r>
    <s v="Kristina Becker"/>
    <x v="1"/>
    <n v="24"/>
    <x v="1"/>
    <s v="A-"/>
    <x v="4"/>
    <d v="2019-12-12T00:00:00"/>
    <s v="Ryan Guerra"/>
    <s v="Dawson Ltd"/>
    <s v="Aetna"/>
    <n v="41767.212328260401"/>
    <n v="286"/>
    <x v="1"/>
    <d v="2019-12-16T00:00:00"/>
    <x v="2"/>
    <x v="0"/>
    <n v="4"/>
  </r>
  <r>
    <s v="Laura Banks"/>
    <x v="2"/>
    <n v="53"/>
    <x v="1"/>
    <s v="A-"/>
    <x v="4"/>
    <d v="2020-09-07T00:00:00"/>
    <s v="James Fleming"/>
    <s v="Rice-Hunter"/>
    <s v="Medicare"/>
    <n v="30326.548123541201"/>
    <n v="464"/>
    <x v="2"/>
    <d v="2020-10-02T00:00:00"/>
    <x v="1"/>
    <x v="2"/>
    <n v="25"/>
  </r>
  <r>
    <s v="Laura Jones"/>
    <x v="0"/>
    <n v="77"/>
    <x v="0"/>
    <s v="O+"/>
    <x v="4"/>
    <d v="2021-01-09T00:00:00"/>
    <s v="Ashley Jackson"/>
    <s v="Campbell, Carter and Butler"/>
    <s v="Blue Cross"/>
    <n v="36183.545475962899"/>
    <n v="343"/>
    <x v="2"/>
    <d v="2021-01-24T00:00:00"/>
    <x v="1"/>
    <x v="0"/>
    <n v="15"/>
  </r>
  <r>
    <s v="Laura Leonard"/>
    <x v="2"/>
    <n v="54"/>
    <x v="0"/>
    <s v="AB+"/>
    <x v="4"/>
    <d v="2019-04-26T00:00:00"/>
    <s v="Michelle Ali"/>
    <s v="West-Mullins"/>
    <s v="UnitedHealthcare"/>
    <n v="26984.721435077601"/>
    <n v="370"/>
    <x v="2"/>
    <d v="2019-05-17T00:00:00"/>
    <x v="2"/>
    <x v="1"/>
    <n v="21"/>
  </r>
  <r>
    <s v="Laura Schmidt"/>
    <x v="1"/>
    <n v="20"/>
    <x v="0"/>
    <s v="AB-"/>
    <x v="4"/>
    <d v="2022-09-21T00:00:00"/>
    <s v="Mark Thompson"/>
    <s v="Riley PLC"/>
    <s v="Aetna"/>
    <n v="43949.346582265898"/>
    <n v="278"/>
    <x v="1"/>
    <d v="2022-09-30T00:00:00"/>
    <x v="3"/>
    <x v="0"/>
    <n v="9"/>
  </r>
  <r>
    <s v="Laura Torres"/>
    <x v="4"/>
    <n v="57"/>
    <x v="1"/>
    <s v="A+"/>
    <x v="4"/>
    <d v="2020-01-30T00:00:00"/>
    <s v="Robert Johnson"/>
    <s v="Collins, Dougherty and Miller"/>
    <s v="Aetna"/>
    <n v="13176.7874560946"/>
    <n v="220"/>
    <x v="2"/>
    <d v="2020-02-01T00:00:00"/>
    <x v="4"/>
    <x v="2"/>
    <n v="2"/>
  </r>
  <r>
    <s v="Lauren Barton"/>
    <x v="3"/>
    <n v="34"/>
    <x v="1"/>
    <s v="O+"/>
    <x v="4"/>
    <d v="2019-06-06T00:00:00"/>
    <s v="Emily West"/>
    <s v="Gallagher-Horton"/>
    <s v="Medicare"/>
    <n v="16036.1099900234"/>
    <n v="119"/>
    <x v="1"/>
    <d v="2019-06-30T00:00:00"/>
    <x v="2"/>
    <x v="1"/>
    <n v="24"/>
  </r>
  <r>
    <s v="Lee Clark"/>
    <x v="3"/>
    <n v="27"/>
    <x v="0"/>
    <s v="O+"/>
    <x v="4"/>
    <d v="2019-10-16T00:00:00"/>
    <s v="Robert Alexander"/>
    <s v="Knight-Pena"/>
    <s v="Cigna"/>
    <n v="37502.404710407798"/>
    <n v="449"/>
    <x v="1"/>
    <d v="2019-11-03T00:00:00"/>
    <x v="3"/>
    <x v="2"/>
    <n v="18"/>
  </r>
  <r>
    <s v="Lee Peterson"/>
    <x v="2"/>
    <n v="51"/>
    <x v="0"/>
    <s v="A+"/>
    <x v="4"/>
    <d v="2019-06-04T00:00:00"/>
    <s v="Anna Lyons"/>
    <s v="Jones, Cook and Fuentes"/>
    <s v="Blue Cross"/>
    <n v="37771.758993319199"/>
    <n v="169"/>
    <x v="0"/>
    <d v="2019-06-12T00:00:00"/>
    <x v="0"/>
    <x v="1"/>
    <n v="8"/>
  </r>
  <r>
    <s v="Linda Brown"/>
    <x v="6"/>
    <n v="68"/>
    <x v="0"/>
    <s v="AB+"/>
    <x v="4"/>
    <d v="2019-10-07T00:00:00"/>
    <s v="Tim Clark"/>
    <s v="Brown, Carter and Valencia"/>
    <s v="UnitedHealthcare"/>
    <n v="9198.0711778946607"/>
    <n v="158"/>
    <x v="0"/>
    <d v="2019-10-29T00:00:00"/>
    <x v="0"/>
    <x v="0"/>
    <n v="22"/>
  </r>
  <r>
    <s v="Lisa Gallegos"/>
    <x v="5"/>
    <n v="36"/>
    <x v="1"/>
    <s v="AB-"/>
    <x v="4"/>
    <d v="2020-05-05T00:00:00"/>
    <s v="Abigail Cooper"/>
    <s v="Potter and Sons"/>
    <s v="Medicare"/>
    <n v="36750.887988822797"/>
    <n v="457"/>
    <x v="0"/>
    <d v="2020-06-03T00:00:00"/>
    <x v="3"/>
    <x v="0"/>
    <n v="29"/>
  </r>
  <r>
    <s v="Lisa Howell"/>
    <x v="5"/>
    <n v="37"/>
    <x v="0"/>
    <s v="AB+"/>
    <x v="4"/>
    <d v="2018-11-25T00:00:00"/>
    <s v="James Holmes"/>
    <s v="Williams Ltd"/>
    <s v="Aetna"/>
    <n v="35939.431931536703"/>
    <n v="324"/>
    <x v="1"/>
    <d v="2018-12-17T00:00:00"/>
    <x v="4"/>
    <x v="1"/>
    <n v="22"/>
  </r>
  <r>
    <s v="Maria Williams"/>
    <x v="5"/>
    <n v="43"/>
    <x v="1"/>
    <s v="A-"/>
    <x v="4"/>
    <d v="2022-11-29T00:00:00"/>
    <s v="Ashley Garcia"/>
    <s v="Collier Group"/>
    <s v="UnitedHealthcare"/>
    <n v="21763.630917301401"/>
    <n v="413"/>
    <x v="0"/>
    <d v="2022-12-20T00:00:00"/>
    <x v="3"/>
    <x v="2"/>
    <n v="21"/>
  </r>
  <r>
    <s v="Marissa Dixon"/>
    <x v="6"/>
    <n v="74"/>
    <x v="1"/>
    <s v="B+"/>
    <x v="4"/>
    <d v="2019-04-05T00:00:00"/>
    <s v="Ronald Taylor"/>
    <s v="Perez, Ray and Combs"/>
    <s v="Blue Cross"/>
    <n v="2936.56560925742"/>
    <n v="172"/>
    <x v="1"/>
    <d v="2019-04-23T00:00:00"/>
    <x v="1"/>
    <x v="2"/>
    <n v="18"/>
  </r>
  <r>
    <s v="Mark Chen"/>
    <x v="1"/>
    <n v="23"/>
    <x v="1"/>
    <s v="O-"/>
    <x v="4"/>
    <d v="2021-04-11T00:00:00"/>
    <s v="Christopher Tran"/>
    <s v="Bowers Group"/>
    <s v="Blue Cross"/>
    <n v="18782.955727177799"/>
    <n v="236"/>
    <x v="0"/>
    <d v="2021-04-21T00:00:00"/>
    <x v="1"/>
    <x v="2"/>
    <n v="10"/>
  </r>
  <r>
    <s v="Mark Gordon"/>
    <x v="5"/>
    <n v="44"/>
    <x v="1"/>
    <s v="A+"/>
    <x v="4"/>
    <d v="2021-09-09T00:00:00"/>
    <s v="Nichole Lewis"/>
    <s v="Evans-Shah"/>
    <s v="Blue Cross"/>
    <n v="48637.890352783099"/>
    <n v="489"/>
    <x v="2"/>
    <d v="2021-09-30T00:00:00"/>
    <x v="3"/>
    <x v="0"/>
    <n v="21"/>
  </r>
  <r>
    <s v="Mark Mack"/>
    <x v="2"/>
    <n v="54"/>
    <x v="1"/>
    <s v="B+"/>
    <x v="4"/>
    <d v="2022-01-26T00:00:00"/>
    <s v="Patrick Ochoa"/>
    <s v="Hamilton-Gill"/>
    <s v="Medicare"/>
    <n v="10492.799553848799"/>
    <n v="497"/>
    <x v="1"/>
    <d v="2022-02-06T00:00:00"/>
    <x v="0"/>
    <x v="1"/>
    <n v="11"/>
  </r>
  <r>
    <s v="Mary Delgado"/>
    <x v="1"/>
    <n v="22"/>
    <x v="0"/>
    <s v="AB-"/>
    <x v="4"/>
    <d v="2022-06-16T00:00:00"/>
    <s v="Kelsey Ross"/>
    <s v="Anderson, Brown and Fisher"/>
    <s v="Aetna"/>
    <n v="13749.9682801294"/>
    <n v="487"/>
    <x v="1"/>
    <d v="2022-06-24T00:00:00"/>
    <x v="1"/>
    <x v="1"/>
    <n v="8"/>
  </r>
  <r>
    <s v="Mary Stein"/>
    <x v="3"/>
    <n v="35"/>
    <x v="1"/>
    <s v="A+"/>
    <x v="4"/>
    <d v="2020-12-07T00:00:00"/>
    <s v="Alice Gross DVM"/>
    <s v="Morales, Ferrell and Clark"/>
    <s v="Medicare"/>
    <n v="49974.8065919699"/>
    <n v="390"/>
    <x v="1"/>
    <d v="2020-12-28T00:00:00"/>
    <x v="4"/>
    <x v="1"/>
    <n v="21"/>
  </r>
  <r>
    <s v="Mason Boyd"/>
    <x v="4"/>
    <n v="61"/>
    <x v="1"/>
    <s v="O+"/>
    <x v="4"/>
    <d v="2020-04-08T00:00:00"/>
    <s v="Amanda Peterson"/>
    <s v="Ortega-Parsons"/>
    <s v="Medicare"/>
    <n v="42871.494053100803"/>
    <n v="374"/>
    <x v="0"/>
    <d v="2020-05-01T00:00:00"/>
    <x v="2"/>
    <x v="1"/>
    <n v="23"/>
  </r>
  <r>
    <s v="Matthew Pratt"/>
    <x v="1"/>
    <n v="20"/>
    <x v="0"/>
    <s v="AB+"/>
    <x v="4"/>
    <d v="2021-10-21T00:00:00"/>
    <s v="Stephanie Clark"/>
    <s v="Benson-Whitney"/>
    <s v="Blue Cross"/>
    <n v="42051.0940935705"/>
    <n v="219"/>
    <x v="1"/>
    <d v="2021-11-09T00:00:00"/>
    <x v="3"/>
    <x v="2"/>
    <n v="19"/>
  </r>
  <r>
    <s v="Meagan Smith"/>
    <x v="2"/>
    <n v="55"/>
    <x v="0"/>
    <s v="A+"/>
    <x v="4"/>
    <d v="2021-05-20T00:00:00"/>
    <s v="Paula Washington"/>
    <s v="Hartman, Zhang and Zimmerman"/>
    <s v="Blue Cross"/>
    <n v="37419.016623861004"/>
    <n v="496"/>
    <x v="0"/>
    <d v="2021-06-08T00:00:00"/>
    <x v="1"/>
    <x v="0"/>
    <n v="19"/>
  </r>
  <r>
    <s v="Meghan Burns"/>
    <x v="2"/>
    <n v="49"/>
    <x v="0"/>
    <s v="O+"/>
    <x v="4"/>
    <d v="2022-04-30T00:00:00"/>
    <s v="Spencer Bentley"/>
    <s v="Vasquez LLC"/>
    <s v="Blue Cross"/>
    <n v="46131.070315783902"/>
    <n v="430"/>
    <x v="1"/>
    <d v="2022-05-18T00:00:00"/>
    <x v="4"/>
    <x v="1"/>
    <n v="18"/>
  </r>
  <r>
    <s v="Melanie Clark"/>
    <x v="2"/>
    <n v="46"/>
    <x v="1"/>
    <s v="AB+"/>
    <x v="4"/>
    <d v="2021-08-24T00:00:00"/>
    <s v="Kathleen Cummings MD"/>
    <s v="Crane, Mata and Cole"/>
    <s v="Cigna"/>
    <n v="13080.6653248565"/>
    <n v="293"/>
    <x v="0"/>
    <d v="2021-09-06T00:00:00"/>
    <x v="1"/>
    <x v="2"/>
    <n v="13"/>
  </r>
  <r>
    <s v="Melissa Dean"/>
    <x v="0"/>
    <n v="85"/>
    <x v="1"/>
    <s v="A+"/>
    <x v="4"/>
    <d v="2022-06-07T00:00:00"/>
    <s v="Barbara Cantrell"/>
    <s v="Smith, Jones and Jackson"/>
    <s v="UnitedHealthcare"/>
    <n v="13376.2396198346"/>
    <n v="240"/>
    <x v="0"/>
    <d v="2022-06-29T00:00:00"/>
    <x v="4"/>
    <x v="1"/>
    <n v="22"/>
  </r>
  <r>
    <s v="Michael Morgan"/>
    <x v="3"/>
    <n v="28"/>
    <x v="1"/>
    <s v="O+"/>
    <x v="4"/>
    <d v="2022-09-23T00:00:00"/>
    <s v="Heather Anderson"/>
    <s v="Johnson-Miller"/>
    <s v="UnitedHealthcare"/>
    <n v="40262.311514233799"/>
    <n v="365"/>
    <x v="2"/>
    <d v="2022-10-19T00:00:00"/>
    <x v="1"/>
    <x v="0"/>
    <n v="26"/>
  </r>
  <r>
    <s v="Michael Pollard"/>
    <x v="0"/>
    <n v="80"/>
    <x v="1"/>
    <s v="AB+"/>
    <x v="4"/>
    <d v="2020-08-14T00:00:00"/>
    <s v="Donald Johnson"/>
    <s v="Gonzalez-Coleman"/>
    <s v="Blue Cross"/>
    <n v="34789.575955781103"/>
    <n v="201"/>
    <x v="1"/>
    <d v="2020-08-30T00:00:00"/>
    <x v="4"/>
    <x v="0"/>
    <n v="16"/>
  </r>
  <r>
    <s v="Michael White"/>
    <x v="0"/>
    <n v="84"/>
    <x v="1"/>
    <s v="B-"/>
    <x v="4"/>
    <d v="2022-02-18T00:00:00"/>
    <s v="Emily Jensen"/>
    <s v="Cruz-Jones"/>
    <s v="Blue Cross"/>
    <n v="26060.673368682299"/>
    <n v="202"/>
    <x v="1"/>
    <d v="2022-02-23T00:00:00"/>
    <x v="3"/>
    <x v="2"/>
    <n v="5"/>
  </r>
  <r>
    <s v="Monica Hampton"/>
    <x v="1"/>
    <n v="24"/>
    <x v="1"/>
    <s v="O-"/>
    <x v="4"/>
    <d v="2019-06-05T00:00:00"/>
    <s v="Matthew Wyatt"/>
    <s v="Carr and Sons"/>
    <s v="Blue Cross"/>
    <n v="2940.42670131981"/>
    <n v="121"/>
    <x v="0"/>
    <d v="2019-06-23T00:00:00"/>
    <x v="2"/>
    <x v="0"/>
    <n v="18"/>
  </r>
  <r>
    <s v="Mr. Bryan Williams"/>
    <x v="6"/>
    <n v="75"/>
    <x v="1"/>
    <s v="AB-"/>
    <x v="4"/>
    <d v="2021-02-28T00:00:00"/>
    <s v="Jeffrey Jackson"/>
    <s v="Huang-Osborn"/>
    <s v="Blue Cross"/>
    <n v="47901.752835386302"/>
    <n v="336"/>
    <x v="0"/>
    <d v="2021-03-02T00:00:00"/>
    <x v="4"/>
    <x v="0"/>
    <n v="2"/>
  </r>
  <r>
    <s v="Mr. Christopher Burns DDS"/>
    <x v="3"/>
    <n v="35"/>
    <x v="0"/>
    <s v="O+"/>
    <x v="4"/>
    <d v="2022-08-03T00:00:00"/>
    <s v="Mario Dillon"/>
    <s v="Blankenship, Flores and Garrett"/>
    <s v="Cigna"/>
    <n v="35302.054252977301"/>
    <n v="285"/>
    <x v="0"/>
    <d v="2022-08-30T00:00:00"/>
    <x v="0"/>
    <x v="0"/>
    <n v="27"/>
  </r>
  <r>
    <s v="Mr. Christopher Miller"/>
    <x v="0"/>
    <n v="81"/>
    <x v="1"/>
    <s v="AB+"/>
    <x v="4"/>
    <d v="2021-08-15T00:00:00"/>
    <s v="Amber Gonzalez"/>
    <s v="Ortega and Sons"/>
    <s v="Cigna"/>
    <n v="22519.3361781245"/>
    <n v="465"/>
    <x v="1"/>
    <d v="2021-09-06T00:00:00"/>
    <x v="4"/>
    <x v="0"/>
    <n v="22"/>
  </r>
  <r>
    <s v="Mr. Ricardo Bullock"/>
    <x v="2"/>
    <n v="53"/>
    <x v="1"/>
    <s v="AB-"/>
    <x v="4"/>
    <d v="2020-09-14T00:00:00"/>
    <s v="Theresa Ramsey"/>
    <s v="Ayala-Hill"/>
    <s v="Cigna"/>
    <n v="11784.941422681901"/>
    <n v="176"/>
    <x v="0"/>
    <d v="2020-09-27T00:00:00"/>
    <x v="3"/>
    <x v="2"/>
    <n v="13"/>
  </r>
  <r>
    <s v="Mrs. Caroline Farrell"/>
    <x v="1"/>
    <n v="23"/>
    <x v="0"/>
    <s v="O-"/>
    <x v="4"/>
    <d v="2019-06-09T00:00:00"/>
    <s v="William Miller"/>
    <s v="Rose Inc"/>
    <s v="Medicare"/>
    <n v="6185.9035295528402"/>
    <n v="126"/>
    <x v="1"/>
    <d v="2019-06-26T00:00:00"/>
    <x v="2"/>
    <x v="0"/>
    <n v="17"/>
  </r>
  <r>
    <s v="Mrs. Kristine Hall MD"/>
    <x v="1"/>
    <n v="23"/>
    <x v="0"/>
    <s v="O+"/>
    <x v="4"/>
    <d v="2019-09-26T00:00:00"/>
    <s v="Carolyn Mann"/>
    <s v="Malone Inc"/>
    <s v="UnitedHealthcare"/>
    <n v="6442.9682166496304"/>
    <n v="498"/>
    <x v="2"/>
    <d v="2019-10-02T00:00:00"/>
    <x v="0"/>
    <x v="0"/>
    <n v="6"/>
  </r>
  <r>
    <s v="Natalie Jackson"/>
    <x v="2"/>
    <n v="46"/>
    <x v="1"/>
    <s v="A-"/>
    <x v="4"/>
    <d v="2020-09-26T00:00:00"/>
    <s v="Robert Page"/>
    <s v="Torres-Aguirre"/>
    <s v="Cigna"/>
    <n v="12470.769598304199"/>
    <n v="444"/>
    <x v="1"/>
    <d v="2020-10-18T00:00:00"/>
    <x v="2"/>
    <x v="2"/>
    <n v="22"/>
  </r>
  <r>
    <s v="Nathan Harrison"/>
    <x v="3"/>
    <n v="33"/>
    <x v="1"/>
    <s v="A-"/>
    <x v="4"/>
    <d v="2023-07-15T00:00:00"/>
    <s v="Jay Lopez"/>
    <s v="Ward Inc"/>
    <s v="Medicare"/>
    <n v="6907.8650863167204"/>
    <n v="298"/>
    <x v="1"/>
    <d v="2023-07-29T00:00:00"/>
    <x v="0"/>
    <x v="1"/>
    <n v="14"/>
  </r>
  <r>
    <s v="Nicholas Jordan"/>
    <x v="5"/>
    <n v="37"/>
    <x v="0"/>
    <s v="AB-"/>
    <x v="4"/>
    <d v="2019-11-07T00:00:00"/>
    <s v="Sean Charles"/>
    <s v="Lawson-Gomez"/>
    <s v="Medicare"/>
    <n v="23600.1110335372"/>
    <n v="289"/>
    <x v="1"/>
    <d v="2019-11-10T00:00:00"/>
    <x v="4"/>
    <x v="1"/>
    <n v="3"/>
  </r>
  <r>
    <s v="Nicholas Marquez"/>
    <x v="3"/>
    <n v="28"/>
    <x v="0"/>
    <s v="AB+"/>
    <x v="4"/>
    <d v="2021-03-17T00:00:00"/>
    <s v="Stephen Henderson"/>
    <s v="Flores, Soto and Weaver"/>
    <s v="Blue Cross"/>
    <n v="45032.998617150901"/>
    <n v="332"/>
    <x v="2"/>
    <d v="2021-04-02T00:00:00"/>
    <x v="4"/>
    <x v="1"/>
    <n v="16"/>
  </r>
  <r>
    <s v="Nicholas Martin"/>
    <x v="2"/>
    <n v="53"/>
    <x v="1"/>
    <s v="AB-"/>
    <x v="4"/>
    <d v="2022-02-18T00:00:00"/>
    <s v="Kendra Flores"/>
    <s v="King Group"/>
    <s v="UnitedHealthcare"/>
    <n v="42307.779652791301"/>
    <n v="306"/>
    <x v="0"/>
    <d v="2022-02-24T00:00:00"/>
    <x v="2"/>
    <x v="1"/>
    <n v="6"/>
  </r>
  <r>
    <s v="Nicole Bullock"/>
    <x v="6"/>
    <n v="73"/>
    <x v="0"/>
    <s v="AB-"/>
    <x v="4"/>
    <d v="2020-11-22T00:00:00"/>
    <s v="Erica Guzman"/>
    <s v="Cook, Blake and Martinez"/>
    <s v="Medicare"/>
    <n v="12248.5769522058"/>
    <n v="178"/>
    <x v="2"/>
    <d v="2020-11-27T00:00:00"/>
    <x v="1"/>
    <x v="0"/>
    <n v="5"/>
  </r>
  <r>
    <s v="Nicole Williams"/>
    <x v="0"/>
    <n v="82"/>
    <x v="1"/>
    <s v="O-"/>
    <x v="4"/>
    <d v="2022-10-27T00:00:00"/>
    <s v="Stacy Brewer"/>
    <s v="Hernandez and Sons"/>
    <s v="Cigna"/>
    <n v="10724.0332469315"/>
    <n v="153"/>
    <x v="2"/>
    <d v="2022-11-18T00:00:00"/>
    <x v="3"/>
    <x v="1"/>
    <n v="22"/>
  </r>
  <r>
    <s v="Paul Graham"/>
    <x v="4"/>
    <n v="60"/>
    <x v="0"/>
    <s v="A+"/>
    <x v="4"/>
    <d v="2020-08-08T00:00:00"/>
    <s v="Mr. John Short"/>
    <s v="Merritt Inc"/>
    <s v="Medicare"/>
    <n v="44423.095535829903"/>
    <n v="301"/>
    <x v="0"/>
    <d v="2020-08-29T00:00:00"/>
    <x v="3"/>
    <x v="1"/>
    <n v="21"/>
  </r>
  <r>
    <s v="Paul Welch"/>
    <x v="4"/>
    <n v="62"/>
    <x v="0"/>
    <s v="B-"/>
    <x v="4"/>
    <d v="2022-08-11T00:00:00"/>
    <s v="Ann Butler"/>
    <s v="Johnson, Richardson and Sims"/>
    <s v="UnitedHealthcare"/>
    <n v="7377.71555260896"/>
    <n v="459"/>
    <x v="0"/>
    <d v="2022-08-23T00:00:00"/>
    <x v="3"/>
    <x v="1"/>
    <n v="12"/>
  </r>
  <r>
    <s v="Paul Wells"/>
    <x v="2"/>
    <n v="47"/>
    <x v="1"/>
    <s v="B+"/>
    <x v="4"/>
    <d v="2019-07-15T00:00:00"/>
    <s v="Terry Bean"/>
    <s v="Castillo Inc"/>
    <s v="Medicare"/>
    <n v="5727.3381030332102"/>
    <n v="450"/>
    <x v="0"/>
    <d v="2019-07-31T00:00:00"/>
    <x v="4"/>
    <x v="2"/>
    <n v="16"/>
  </r>
  <r>
    <s v="Paula Knight"/>
    <x v="2"/>
    <n v="54"/>
    <x v="0"/>
    <s v="O-"/>
    <x v="4"/>
    <d v="2020-03-04T00:00:00"/>
    <s v="Douglas Holmes"/>
    <s v="Kim-Morris"/>
    <s v="Cigna"/>
    <n v="20926.297979471099"/>
    <n v="279"/>
    <x v="1"/>
    <d v="2020-04-01T00:00:00"/>
    <x v="4"/>
    <x v="2"/>
    <n v="28"/>
  </r>
  <r>
    <s v="Peter Sutton"/>
    <x v="6"/>
    <n v="73"/>
    <x v="0"/>
    <s v="O+"/>
    <x v="4"/>
    <d v="2023-07-03T00:00:00"/>
    <s v="Tasha Pierce"/>
    <s v="Ward Group"/>
    <s v="Aetna"/>
    <n v="45968.666010884997"/>
    <n v="242"/>
    <x v="0"/>
    <d v="2023-07-06T00:00:00"/>
    <x v="3"/>
    <x v="2"/>
    <n v="3"/>
  </r>
  <r>
    <s v="Rachel Morales"/>
    <x v="3"/>
    <n v="31"/>
    <x v="1"/>
    <s v="AB-"/>
    <x v="4"/>
    <d v="2018-12-10T00:00:00"/>
    <s v="Peter Bailey"/>
    <s v="Yates LLC"/>
    <s v="UnitedHealthcare"/>
    <n v="10333.0018231022"/>
    <n v="184"/>
    <x v="2"/>
    <d v="2018-12-22T00:00:00"/>
    <x v="3"/>
    <x v="0"/>
    <n v="12"/>
  </r>
  <r>
    <s v="Rebecca Johnson"/>
    <x v="1"/>
    <n v="19"/>
    <x v="0"/>
    <s v="O+"/>
    <x v="4"/>
    <d v="2021-04-19T00:00:00"/>
    <s v="Lacey Keith"/>
    <s v="Jones and Sons"/>
    <s v="Cigna"/>
    <n v="9326.0349465673007"/>
    <n v="144"/>
    <x v="0"/>
    <d v="2021-05-09T00:00:00"/>
    <x v="2"/>
    <x v="0"/>
    <n v="20"/>
  </r>
  <r>
    <s v="Rebecca Mcdonald"/>
    <x v="2"/>
    <n v="46"/>
    <x v="1"/>
    <s v="O+"/>
    <x v="4"/>
    <d v="2023-04-18T00:00:00"/>
    <s v="Timothy Miller"/>
    <s v="Oneal, Willis and Gross"/>
    <s v="UnitedHealthcare"/>
    <n v="6171.45706771202"/>
    <n v="153"/>
    <x v="1"/>
    <d v="2023-04-27T00:00:00"/>
    <x v="0"/>
    <x v="2"/>
    <n v="9"/>
  </r>
  <r>
    <s v="Richard Smith"/>
    <x v="6"/>
    <n v="74"/>
    <x v="0"/>
    <s v="AB+"/>
    <x v="4"/>
    <d v="2022-12-07T00:00:00"/>
    <s v="Christopher Walker"/>
    <s v="Hines PLC"/>
    <s v="Cigna"/>
    <n v="15988.782443956599"/>
    <n v="353"/>
    <x v="1"/>
    <d v="2022-12-29T00:00:00"/>
    <x v="0"/>
    <x v="0"/>
    <n v="22"/>
  </r>
  <r>
    <s v="Robert Carter DDS"/>
    <x v="5"/>
    <n v="44"/>
    <x v="1"/>
    <s v="B+"/>
    <x v="4"/>
    <d v="2023-04-16T00:00:00"/>
    <s v="Veronica Bradley"/>
    <s v="Orozco PLC"/>
    <s v="Medicare"/>
    <n v="26633.450415065199"/>
    <n v="105"/>
    <x v="1"/>
    <d v="2023-05-08T00:00:00"/>
    <x v="3"/>
    <x v="0"/>
    <n v="22"/>
  </r>
  <r>
    <s v="Russell Holden"/>
    <x v="5"/>
    <n v="42"/>
    <x v="0"/>
    <s v="B+"/>
    <x v="4"/>
    <d v="2019-06-25T00:00:00"/>
    <s v="Adam Rasmussen"/>
    <s v="Alvarez Group"/>
    <s v="Medicare"/>
    <n v="8851.6087311708598"/>
    <n v="168"/>
    <x v="0"/>
    <d v="2019-06-29T00:00:00"/>
    <x v="1"/>
    <x v="0"/>
    <n v="4"/>
  </r>
  <r>
    <s v="Ryan Anderson"/>
    <x v="5"/>
    <n v="45"/>
    <x v="1"/>
    <s v="AB+"/>
    <x v="4"/>
    <d v="2022-08-06T00:00:00"/>
    <s v="Jordan Shelton"/>
    <s v="Bishop-Powell"/>
    <s v="Cigna"/>
    <n v="26510.628306911702"/>
    <n v="135"/>
    <x v="2"/>
    <d v="2022-09-04T00:00:00"/>
    <x v="0"/>
    <x v="0"/>
    <n v="29"/>
  </r>
  <r>
    <s v="Ryan Edwards"/>
    <x v="5"/>
    <n v="43"/>
    <x v="1"/>
    <s v="AB+"/>
    <x v="4"/>
    <d v="2020-02-10T00:00:00"/>
    <s v="Sheri Garcia"/>
    <s v="Robbins-Pierce"/>
    <s v="Blue Cross"/>
    <n v="39094.680305806804"/>
    <n v="180"/>
    <x v="1"/>
    <d v="2020-02-27T00:00:00"/>
    <x v="3"/>
    <x v="2"/>
    <n v="17"/>
  </r>
  <r>
    <s v="Ryan Rodriguez"/>
    <x v="3"/>
    <n v="26"/>
    <x v="1"/>
    <s v="AB+"/>
    <x v="4"/>
    <d v="2021-10-06T00:00:00"/>
    <s v="Janice Morgan"/>
    <s v="Barry LLC"/>
    <s v="UnitedHealthcare"/>
    <n v="41813.399585122497"/>
    <n v="302"/>
    <x v="2"/>
    <d v="2021-10-21T00:00:00"/>
    <x v="1"/>
    <x v="2"/>
    <n v="15"/>
  </r>
  <r>
    <s v="Samuel Welch"/>
    <x v="5"/>
    <n v="44"/>
    <x v="1"/>
    <s v="B-"/>
    <x v="4"/>
    <d v="2020-02-26T00:00:00"/>
    <s v="Stacy Salazar"/>
    <s v="Barnett-Davis"/>
    <s v="Cigna"/>
    <n v="22577.602607749999"/>
    <n v="119"/>
    <x v="0"/>
    <d v="2020-03-18T00:00:00"/>
    <x v="3"/>
    <x v="2"/>
    <n v="21"/>
  </r>
  <r>
    <s v="Sandra Payne"/>
    <x v="3"/>
    <n v="26"/>
    <x v="0"/>
    <s v="AB-"/>
    <x v="4"/>
    <d v="2022-09-18T00:00:00"/>
    <s v="Maria Walker"/>
    <s v="Combs, Martinez and Mason"/>
    <s v="Medicare"/>
    <n v="8515.0786857155599"/>
    <n v="189"/>
    <x v="1"/>
    <d v="2022-09-21T00:00:00"/>
    <x v="3"/>
    <x v="0"/>
    <n v="3"/>
  </r>
  <r>
    <s v="Sandra Rose"/>
    <x v="3"/>
    <n v="35"/>
    <x v="1"/>
    <s v="AB+"/>
    <x v="4"/>
    <d v="2022-02-03T00:00:00"/>
    <s v="Michael Holder"/>
    <s v="Graves LLC"/>
    <s v="UnitedHealthcare"/>
    <n v="28352.414731715799"/>
    <n v="469"/>
    <x v="1"/>
    <d v="2022-02-20T00:00:00"/>
    <x v="2"/>
    <x v="0"/>
    <n v="17"/>
  </r>
  <r>
    <s v="Shannon Fitzpatrick DVM"/>
    <x v="3"/>
    <n v="35"/>
    <x v="0"/>
    <s v="O+"/>
    <x v="4"/>
    <d v="2022-12-02T00:00:00"/>
    <s v="Chloe Thomas"/>
    <s v="Miller-Grimes"/>
    <s v="UnitedHealthcare"/>
    <n v="18393.4217510934"/>
    <n v="162"/>
    <x v="1"/>
    <d v="2022-12-18T00:00:00"/>
    <x v="4"/>
    <x v="0"/>
    <n v="16"/>
  </r>
  <r>
    <s v="Stephanie Ayers"/>
    <x v="0"/>
    <n v="81"/>
    <x v="0"/>
    <s v="B-"/>
    <x v="4"/>
    <d v="2022-07-26T00:00:00"/>
    <s v="Michelle Perez"/>
    <s v="Hebert Group"/>
    <s v="Blue Cross"/>
    <n v="24153.709302462299"/>
    <n v="129"/>
    <x v="2"/>
    <d v="2022-08-21T00:00:00"/>
    <x v="4"/>
    <x v="1"/>
    <n v="26"/>
  </r>
  <r>
    <s v="Stephanie Fowler"/>
    <x v="3"/>
    <n v="31"/>
    <x v="1"/>
    <s v="O+"/>
    <x v="4"/>
    <d v="2023-06-26T00:00:00"/>
    <s v="Melinda Brown"/>
    <s v="Scott Ltd"/>
    <s v="Aetna"/>
    <n v="34698.502617083803"/>
    <n v="338"/>
    <x v="2"/>
    <d v="2023-07-10T00:00:00"/>
    <x v="0"/>
    <x v="0"/>
    <n v="14"/>
  </r>
  <r>
    <s v="Stephanie Reed"/>
    <x v="1"/>
    <n v="22"/>
    <x v="1"/>
    <s v="O+"/>
    <x v="4"/>
    <d v="2019-09-27T00:00:00"/>
    <s v="Daniel Stephens"/>
    <s v="Morgan-Yang"/>
    <s v="Cigna"/>
    <n v="8957.2103214606504"/>
    <n v="486"/>
    <x v="0"/>
    <d v="2019-10-18T00:00:00"/>
    <x v="4"/>
    <x v="0"/>
    <n v="21"/>
  </r>
  <r>
    <s v="Stephen Combs"/>
    <x v="6"/>
    <n v="75"/>
    <x v="1"/>
    <s v="A-"/>
    <x v="4"/>
    <d v="2021-06-01T00:00:00"/>
    <s v="Dana Black"/>
    <s v="Barajas, Molina and Dixon"/>
    <s v="Cigna"/>
    <n v="44480.896146278501"/>
    <n v="423"/>
    <x v="0"/>
    <d v="2021-06-29T00:00:00"/>
    <x v="1"/>
    <x v="1"/>
    <n v="28"/>
  </r>
  <r>
    <s v="Susan Oconnell"/>
    <x v="2"/>
    <n v="48"/>
    <x v="0"/>
    <s v="A+"/>
    <x v="4"/>
    <d v="2021-07-01T00:00:00"/>
    <s v="Robert Walker"/>
    <s v="Mathews Ltd"/>
    <s v="Cigna"/>
    <n v="21707.777740664202"/>
    <n v="380"/>
    <x v="2"/>
    <d v="2021-07-27T00:00:00"/>
    <x v="1"/>
    <x v="2"/>
    <n v="26"/>
  </r>
  <r>
    <s v="Tammy Cook"/>
    <x v="6"/>
    <n v="75"/>
    <x v="0"/>
    <s v="AB-"/>
    <x v="4"/>
    <d v="2021-03-02T00:00:00"/>
    <s v="Richard Fuller"/>
    <s v="Benson Inc"/>
    <s v="Cigna"/>
    <n v="10033.7669212694"/>
    <n v="347"/>
    <x v="2"/>
    <d v="2021-03-07T00:00:00"/>
    <x v="1"/>
    <x v="2"/>
    <n v="5"/>
  </r>
  <r>
    <s v="Tasha Smith"/>
    <x v="2"/>
    <n v="54"/>
    <x v="0"/>
    <s v="A-"/>
    <x v="4"/>
    <d v="2022-03-04T00:00:00"/>
    <s v="Debbie Fritz"/>
    <s v="Vargas-Rangel"/>
    <s v="UnitedHealthcare"/>
    <n v="37784.192288346203"/>
    <n v="120"/>
    <x v="2"/>
    <d v="2022-03-12T00:00:00"/>
    <x v="0"/>
    <x v="0"/>
    <n v="8"/>
  </r>
  <r>
    <s v="Terry Thompson"/>
    <x v="5"/>
    <n v="45"/>
    <x v="0"/>
    <s v="A-"/>
    <x v="4"/>
    <d v="2020-06-18T00:00:00"/>
    <s v="Lori Chandler"/>
    <s v="Johnson, Brown and Henderson"/>
    <s v="Cigna"/>
    <n v="21643.098867355198"/>
    <n v="441"/>
    <x v="2"/>
    <d v="2020-07-18T00:00:00"/>
    <x v="3"/>
    <x v="0"/>
    <n v="30"/>
  </r>
  <r>
    <s v="Timothy Henderson"/>
    <x v="2"/>
    <n v="47"/>
    <x v="0"/>
    <s v="AB-"/>
    <x v="4"/>
    <d v="2019-05-01T00:00:00"/>
    <s v="Penny Moore"/>
    <s v="Randolph-Hatfield"/>
    <s v="Aetna"/>
    <n v="25553.1084235983"/>
    <n v="449"/>
    <x v="2"/>
    <d v="2019-05-18T00:00:00"/>
    <x v="4"/>
    <x v="2"/>
    <n v="17"/>
  </r>
  <r>
    <s v="Tina Vargas"/>
    <x v="1"/>
    <n v="21"/>
    <x v="0"/>
    <s v="B+"/>
    <x v="4"/>
    <d v="2019-12-04T00:00:00"/>
    <s v="Katherine George"/>
    <s v="Stewart-Mcintosh"/>
    <s v="Aetna"/>
    <n v="27022.8269268943"/>
    <n v="175"/>
    <x v="2"/>
    <d v="2019-12-19T00:00:00"/>
    <x v="4"/>
    <x v="1"/>
    <n v="15"/>
  </r>
  <r>
    <s v="Travis Morales"/>
    <x v="2"/>
    <n v="50"/>
    <x v="1"/>
    <s v="AB-"/>
    <x v="4"/>
    <d v="2021-10-22T00:00:00"/>
    <s v="Bradley Ellis"/>
    <s v="Ramirez PLC"/>
    <s v="Cigna"/>
    <n v="2684.4017211574901"/>
    <n v="147"/>
    <x v="0"/>
    <d v="2021-11-04T00:00:00"/>
    <x v="2"/>
    <x v="0"/>
    <n v="13"/>
  </r>
  <r>
    <s v="Tricia Oliver"/>
    <x v="5"/>
    <n v="45"/>
    <x v="0"/>
    <s v="AB-"/>
    <x v="4"/>
    <d v="2020-12-30T00:00:00"/>
    <s v="Jason Boone"/>
    <s v="Schroeder LLC"/>
    <s v="Aetna"/>
    <n v="19835.730466945901"/>
    <n v="289"/>
    <x v="0"/>
    <d v="2021-01-03T00:00:00"/>
    <x v="3"/>
    <x v="1"/>
    <n v="4"/>
  </r>
  <r>
    <s v="Vanessa Landry"/>
    <x v="1"/>
    <n v="22"/>
    <x v="1"/>
    <s v="A-"/>
    <x v="4"/>
    <d v="2020-08-25T00:00:00"/>
    <s v="Troy Kim"/>
    <s v="Acosta-Bailey"/>
    <s v="Aetna"/>
    <n v="44643.054361458097"/>
    <n v="152"/>
    <x v="0"/>
    <d v="2020-09-06T00:00:00"/>
    <x v="0"/>
    <x v="0"/>
    <n v="12"/>
  </r>
  <r>
    <s v="Victor Edwards"/>
    <x v="4"/>
    <n v="61"/>
    <x v="1"/>
    <s v="O+"/>
    <x v="4"/>
    <d v="2019-06-20T00:00:00"/>
    <s v="Seth Lewis"/>
    <s v="Perez-Park"/>
    <s v="Cigna"/>
    <n v="2633.7930984837799"/>
    <n v="459"/>
    <x v="2"/>
    <d v="2019-07-11T00:00:00"/>
    <x v="2"/>
    <x v="2"/>
    <n v="21"/>
  </r>
  <r>
    <s v="Wanda Moore MD"/>
    <x v="5"/>
    <n v="43"/>
    <x v="1"/>
    <s v="A-"/>
    <x v="4"/>
    <d v="2021-03-20T00:00:00"/>
    <s v="Mark Barnes"/>
    <s v="Stevens-Patterson"/>
    <s v="Aetna"/>
    <n v="19660.006933679499"/>
    <n v="179"/>
    <x v="0"/>
    <d v="2021-04-03T00:00:00"/>
    <x v="0"/>
    <x v="0"/>
    <n v="14"/>
  </r>
  <r>
    <s v="Wayne Livingston"/>
    <x v="6"/>
    <n v="66"/>
    <x v="0"/>
    <s v="O-"/>
    <x v="4"/>
    <d v="2020-10-05T00:00:00"/>
    <s v="Tina Jordan"/>
    <s v="Crawford-Smith"/>
    <s v="Aetna"/>
    <n v="40530.702540511003"/>
    <n v="391"/>
    <x v="2"/>
    <d v="2020-10-16T00:00:00"/>
    <x v="2"/>
    <x v="1"/>
    <n v="11"/>
  </r>
  <r>
    <s v="Wayne May"/>
    <x v="5"/>
    <n v="41"/>
    <x v="0"/>
    <s v="AB+"/>
    <x v="4"/>
    <d v="2023-07-10T00:00:00"/>
    <s v="Laura Webster"/>
    <s v="Williams Inc"/>
    <s v="Medicare"/>
    <n v="19068.0225191436"/>
    <n v="269"/>
    <x v="0"/>
    <d v="2023-07-12T00:00:00"/>
    <x v="3"/>
    <x v="2"/>
    <n v="2"/>
  </r>
  <r>
    <s v="William Dawson"/>
    <x v="2"/>
    <n v="51"/>
    <x v="1"/>
    <s v="A-"/>
    <x v="4"/>
    <d v="2022-05-21T00:00:00"/>
    <s v="Anne Velazquez"/>
    <s v="Castillo-Perez"/>
    <s v="UnitedHealthcare"/>
    <n v="34173.025240585601"/>
    <n v="353"/>
    <x v="0"/>
    <d v="2022-06-04T00:00:00"/>
    <x v="3"/>
    <x v="2"/>
    <n v="14"/>
  </r>
  <r>
    <s v="William Hart"/>
    <x v="2"/>
    <n v="53"/>
    <x v="0"/>
    <s v="B+"/>
    <x v="4"/>
    <d v="2019-03-09T00:00:00"/>
    <s v="Cynthia Freeman"/>
    <s v="Pennington, Murphy and Chavez"/>
    <s v="Cigna"/>
    <n v="20485.0530568262"/>
    <n v="312"/>
    <x v="2"/>
    <d v="2019-03-28T00:00:00"/>
    <x v="0"/>
    <x v="1"/>
    <n v="19"/>
  </r>
  <r>
    <s v="William Jacobson"/>
    <x v="2"/>
    <n v="47"/>
    <x v="0"/>
    <s v="A-"/>
    <x v="4"/>
    <d v="2020-11-11T00:00:00"/>
    <s v="Diana Hunt"/>
    <s v="Bell, Nunez and Davis"/>
    <s v="Cigna"/>
    <n v="47999.806126673102"/>
    <n v="214"/>
    <x v="0"/>
    <d v="2020-11-14T00:00:00"/>
    <x v="4"/>
    <x v="1"/>
    <n v="3"/>
  </r>
  <r>
    <s v="Willie Black"/>
    <x v="2"/>
    <n v="52"/>
    <x v="1"/>
    <s v="AB-"/>
    <x v="4"/>
    <d v="2021-09-30T00:00:00"/>
    <s v="Michael Sullivan"/>
    <s v="Alvarado LLC"/>
    <s v="Blue Cross"/>
    <n v="15801.8422884028"/>
    <n v="226"/>
    <x v="2"/>
    <d v="2021-10-28T00:00:00"/>
    <x v="0"/>
    <x v="2"/>
    <n v="28"/>
  </r>
  <r>
    <s v="Willie Chan"/>
    <x v="4"/>
    <n v="62"/>
    <x v="1"/>
    <s v="AB-"/>
    <x v="4"/>
    <d v="2022-07-20T00:00:00"/>
    <s v="Norman Weaver"/>
    <s v="Austin-Perez"/>
    <s v="Aetna"/>
    <n v="49488.200779255603"/>
    <n v="287"/>
    <x v="2"/>
    <d v="2022-07-27T00:00:00"/>
    <x v="1"/>
    <x v="1"/>
    <n v="7"/>
  </r>
  <r>
    <s v="Zachary Martinez"/>
    <x v="6"/>
    <n v="72"/>
    <x v="1"/>
    <s v="AB+"/>
    <x v="4"/>
    <d v="2022-07-13T00:00:00"/>
    <s v="Dr. Jessica Harris MD"/>
    <s v="Bryant-Hubbard"/>
    <s v="Cigna"/>
    <n v="41890.246439373397"/>
    <n v="257"/>
    <x v="1"/>
    <d v="2022-07-26T00:00:00"/>
    <x v="0"/>
    <x v="0"/>
    <n v="13"/>
  </r>
  <r>
    <s v="Albert Dunn"/>
    <x v="2"/>
    <n v="55"/>
    <x v="1"/>
    <s v="A+"/>
    <x v="5"/>
    <d v="2021-01-22T00:00:00"/>
    <s v="Rita Payne"/>
    <s v="Shaw PLC"/>
    <s v="Aetna"/>
    <n v="23684.915547098699"/>
    <n v="401"/>
    <x v="1"/>
    <d v="2021-02-19T00:00:00"/>
    <x v="2"/>
    <x v="2"/>
    <n v="28"/>
  </r>
  <r>
    <s v="Alejandro Baxter"/>
    <x v="6"/>
    <n v="71"/>
    <x v="0"/>
    <s v="B+"/>
    <x v="5"/>
    <d v="2021-05-08T00:00:00"/>
    <s v="Nicole Miller"/>
    <s v="Carter-Farmer"/>
    <s v="Medicare"/>
    <n v="23016.7601043223"/>
    <n v="141"/>
    <x v="2"/>
    <d v="2021-05-26T00:00:00"/>
    <x v="3"/>
    <x v="1"/>
    <n v="18"/>
  </r>
  <r>
    <s v="Alicia Bartlett"/>
    <x v="5"/>
    <n v="40"/>
    <x v="1"/>
    <s v="AB-"/>
    <x v="5"/>
    <d v="2020-06-28T00:00:00"/>
    <s v="Autumn Washington"/>
    <s v="Kelley Ltd"/>
    <s v="Blue Cross"/>
    <n v="39914.276070550302"/>
    <n v="458"/>
    <x v="2"/>
    <d v="2020-07-09T00:00:00"/>
    <x v="0"/>
    <x v="0"/>
    <n v="11"/>
  </r>
  <r>
    <s v="Allen Chen"/>
    <x v="6"/>
    <n v="70"/>
    <x v="1"/>
    <s v="B+"/>
    <x v="5"/>
    <d v="2023-04-26T00:00:00"/>
    <s v="John Diaz"/>
    <s v="Reynolds Inc"/>
    <s v="Aetna"/>
    <n v="37718.965979142296"/>
    <n v="349"/>
    <x v="2"/>
    <d v="2023-05-09T00:00:00"/>
    <x v="4"/>
    <x v="0"/>
    <n v="13"/>
  </r>
  <r>
    <s v="Alyssa Osborne"/>
    <x v="3"/>
    <n v="35"/>
    <x v="1"/>
    <s v="B-"/>
    <x v="5"/>
    <d v="2020-06-19T00:00:00"/>
    <s v="Deborah Johnson"/>
    <s v="Howell, Burgess and Johnson"/>
    <s v="Aetna"/>
    <n v="36823.928259992303"/>
    <n v="179"/>
    <x v="0"/>
    <d v="2020-07-04T00:00:00"/>
    <x v="2"/>
    <x v="1"/>
    <n v="15"/>
  </r>
  <r>
    <s v="Amanda Hernandez"/>
    <x v="1"/>
    <n v="23"/>
    <x v="0"/>
    <s v="A-"/>
    <x v="5"/>
    <d v="2019-04-11T00:00:00"/>
    <s v="Amy Carpenter"/>
    <s v="Davis and Sons"/>
    <s v="Aetna"/>
    <n v="34710.043053737099"/>
    <n v="115"/>
    <x v="1"/>
    <d v="2019-04-12T00:00:00"/>
    <x v="0"/>
    <x v="0"/>
    <n v="1"/>
  </r>
  <r>
    <s v="Amanda Martinez"/>
    <x v="2"/>
    <n v="54"/>
    <x v="1"/>
    <s v="AB+"/>
    <x v="5"/>
    <d v="2020-08-26T00:00:00"/>
    <s v="Jennifer Carlson"/>
    <s v="Cook, White and Davis"/>
    <s v="Blue Cross"/>
    <n v="1926.8812784193301"/>
    <n v="485"/>
    <x v="2"/>
    <d v="2020-09-19T00:00:00"/>
    <x v="0"/>
    <x v="1"/>
    <n v="24"/>
  </r>
  <r>
    <s v="Andre Burch"/>
    <x v="3"/>
    <n v="29"/>
    <x v="0"/>
    <s v="O-"/>
    <x v="5"/>
    <d v="2023-03-09T00:00:00"/>
    <s v="Mary Gonzales"/>
    <s v="Whitaker-Harris"/>
    <s v="Medicare"/>
    <n v="24865.147652104901"/>
    <n v="411"/>
    <x v="1"/>
    <d v="2023-03-22T00:00:00"/>
    <x v="1"/>
    <x v="0"/>
    <n v="13"/>
  </r>
  <r>
    <s v="Andrea Thompson"/>
    <x v="2"/>
    <n v="53"/>
    <x v="1"/>
    <s v="O+"/>
    <x v="5"/>
    <d v="2018-11-30T00:00:00"/>
    <s v="Heather Livingston"/>
    <s v="Thomas, Swanson and Nelson"/>
    <s v="Blue Cross"/>
    <n v="47650.809694668198"/>
    <n v="364"/>
    <x v="0"/>
    <d v="2018-12-15T00:00:00"/>
    <x v="4"/>
    <x v="2"/>
    <n v="15"/>
  </r>
  <r>
    <s v="Andrew Morales"/>
    <x v="6"/>
    <n v="67"/>
    <x v="1"/>
    <s v="O+"/>
    <x v="5"/>
    <d v="2022-05-16T00:00:00"/>
    <s v="Jason Smith"/>
    <s v="Parker, Perez and Pearson"/>
    <s v="Aetna"/>
    <n v="40757.910944602401"/>
    <n v="303"/>
    <x v="2"/>
    <d v="2022-06-09T00:00:00"/>
    <x v="0"/>
    <x v="0"/>
    <n v="24"/>
  </r>
  <r>
    <s v="Angela Ramos"/>
    <x v="5"/>
    <n v="37"/>
    <x v="0"/>
    <s v="O+"/>
    <x v="5"/>
    <d v="2020-05-09T00:00:00"/>
    <s v="Theresa Brown"/>
    <s v="Casey LLC"/>
    <s v="Medicare"/>
    <n v="40449.846433405699"/>
    <n v="411"/>
    <x v="1"/>
    <d v="2020-06-05T00:00:00"/>
    <x v="2"/>
    <x v="1"/>
    <n v="27"/>
  </r>
  <r>
    <s v="Angelica Chen"/>
    <x v="4"/>
    <n v="57"/>
    <x v="1"/>
    <s v="AB-"/>
    <x v="5"/>
    <d v="2022-06-24T00:00:00"/>
    <s v="Cheryl Robles"/>
    <s v="Mendoza LLC"/>
    <s v="Cigna"/>
    <n v="34747.270077916299"/>
    <n v="133"/>
    <x v="1"/>
    <d v="2022-07-03T00:00:00"/>
    <x v="4"/>
    <x v="0"/>
    <n v="9"/>
  </r>
  <r>
    <s v="Anna Adams"/>
    <x v="6"/>
    <n v="70"/>
    <x v="0"/>
    <s v="A+"/>
    <x v="5"/>
    <d v="2022-09-06T00:00:00"/>
    <s v="Samuel Taylor"/>
    <s v="Snow Group"/>
    <s v="Medicare"/>
    <n v="1000.18083702175"/>
    <n v="258"/>
    <x v="1"/>
    <d v="2022-09-18T00:00:00"/>
    <x v="2"/>
    <x v="2"/>
    <n v="12"/>
  </r>
  <r>
    <s v="Anna Phillips"/>
    <x v="4"/>
    <n v="57"/>
    <x v="1"/>
    <s v="O-"/>
    <x v="5"/>
    <d v="2022-04-24T00:00:00"/>
    <s v="Caleb Rasmussen"/>
    <s v="Castro LLC"/>
    <s v="Medicare"/>
    <n v="4679.1190386771996"/>
    <n v="358"/>
    <x v="0"/>
    <d v="2022-05-22T00:00:00"/>
    <x v="1"/>
    <x v="1"/>
    <n v="28"/>
  </r>
  <r>
    <s v="Anthony Armstrong"/>
    <x v="4"/>
    <n v="61"/>
    <x v="0"/>
    <s v="B-"/>
    <x v="5"/>
    <d v="2023-05-25T00:00:00"/>
    <s v="Sherry Sharp"/>
    <s v="Robertson PLC"/>
    <s v="Blue Cross"/>
    <n v="20312.769821444399"/>
    <n v="263"/>
    <x v="0"/>
    <d v="2023-06-15T00:00:00"/>
    <x v="2"/>
    <x v="0"/>
    <n v="21"/>
  </r>
  <r>
    <s v="Anthony Conner Jr."/>
    <x v="2"/>
    <n v="54"/>
    <x v="1"/>
    <s v="B+"/>
    <x v="5"/>
    <d v="2022-06-26T00:00:00"/>
    <s v="Janice Lee"/>
    <s v="Ramirez, Martinez and Robinson"/>
    <s v="Cigna"/>
    <n v="8749.9237308924694"/>
    <n v="295"/>
    <x v="1"/>
    <d v="2022-07-12T00:00:00"/>
    <x v="1"/>
    <x v="0"/>
    <n v="16"/>
  </r>
  <r>
    <s v="April Young"/>
    <x v="2"/>
    <n v="52"/>
    <x v="0"/>
    <s v="AB-"/>
    <x v="5"/>
    <d v="2021-08-17T00:00:00"/>
    <s v="Nicole Carter"/>
    <s v="Nelson, Zuniga and Martinez"/>
    <s v="Medicare"/>
    <n v="48166.4649733162"/>
    <n v="215"/>
    <x v="1"/>
    <d v="2021-09-04T00:00:00"/>
    <x v="2"/>
    <x v="0"/>
    <n v="18"/>
  </r>
  <r>
    <s v="Barbara Garrett"/>
    <x v="3"/>
    <n v="33"/>
    <x v="0"/>
    <s v="O+"/>
    <x v="5"/>
    <d v="2020-10-12T00:00:00"/>
    <s v="Jennifer Monroe"/>
    <s v="Thomas-Evans"/>
    <s v="Blue Cross"/>
    <n v="42685.200521269602"/>
    <n v="333"/>
    <x v="2"/>
    <d v="2020-10-22T00:00:00"/>
    <x v="2"/>
    <x v="1"/>
    <n v="10"/>
  </r>
  <r>
    <s v="Benjamin Hanson"/>
    <x v="4"/>
    <n v="58"/>
    <x v="1"/>
    <s v="O+"/>
    <x v="5"/>
    <d v="2019-07-26T00:00:00"/>
    <s v="Michael Solis"/>
    <s v="Shelton-Johnson"/>
    <s v="Cigna"/>
    <n v="49619.862546857403"/>
    <n v="428"/>
    <x v="0"/>
    <d v="2019-08-25T00:00:00"/>
    <x v="4"/>
    <x v="2"/>
    <n v="30"/>
  </r>
  <r>
    <s v="Bradley Cross"/>
    <x v="0"/>
    <n v="79"/>
    <x v="1"/>
    <s v="AB-"/>
    <x v="5"/>
    <d v="2021-01-19T00:00:00"/>
    <s v="Kari Patrick"/>
    <s v="Cruz-Palmer"/>
    <s v="UnitedHealthcare"/>
    <n v="26017.3180732412"/>
    <n v="264"/>
    <x v="2"/>
    <d v="2021-02-14T00:00:00"/>
    <x v="4"/>
    <x v="0"/>
    <n v="26"/>
  </r>
  <r>
    <s v="Bradley Durham"/>
    <x v="4"/>
    <n v="63"/>
    <x v="0"/>
    <s v="A-"/>
    <x v="5"/>
    <d v="2023-04-21T00:00:00"/>
    <s v="Megan Torres"/>
    <s v="Noble-Weber"/>
    <s v="Medicare"/>
    <n v="6651.5004962202402"/>
    <n v="124"/>
    <x v="2"/>
    <d v="2023-05-11T00:00:00"/>
    <x v="2"/>
    <x v="1"/>
    <n v="20"/>
  </r>
  <r>
    <s v="Brenda James"/>
    <x v="6"/>
    <n v="75"/>
    <x v="0"/>
    <s v="AB+"/>
    <x v="5"/>
    <d v="2020-02-16T00:00:00"/>
    <s v="Jessica Rodriguez"/>
    <s v="Price Inc"/>
    <s v="Blue Cross"/>
    <n v="6103.3890638331904"/>
    <n v="369"/>
    <x v="0"/>
    <d v="2020-03-11T00:00:00"/>
    <x v="4"/>
    <x v="1"/>
    <n v="24"/>
  </r>
  <r>
    <s v="Carrie Miller"/>
    <x v="6"/>
    <n v="70"/>
    <x v="0"/>
    <s v="B-"/>
    <x v="5"/>
    <d v="2022-04-15T00:00:00"/>
    <s v="Alexander Shelton"/>
    <s v="Thomas-Cole"/>
    <s v="Blue Cross"/>
    <n v="27065.747046561901"/>
    <n v="275"/>
    <x v="0"/>
    <d v="2022-05-12T00:00:00"/>
    <x v="0"/>
    <x v="1"/>
    <n v="27"/>
  </r>
  <r>
    <s v="Catherine Potter"/>
    <x v="0"/>
    <n v="84"/>
    <x v="1"/>
    <s v="O-"/>
    <x v="5"/>
    <d v="2019-01-14T00:00:00"/>
    <s v="Amanda James"/>
    <s v="Brown LLC"/>
    <s v="UnitedHealthcare"/>
    <n v="39645.267804501702"/>
    <n v="277"/>
    <x v="1"/>
    <d v="2019-02-07T00:00:00"/>
    <x v="0"/>
    <x v="1"/>
    <n v="24"/>
  </r>
  <r>
    <s v="Chad Byrd"/>
    <x v="4"/>
    <n v="61"/>
    <x v="1"/>
    <s v="B-"/>
    <x v="5"/>
    <d v="2019-01-09T00:00:00"/>
    <s v="Paul Baker"/>
    <s v="Walton LLC"/>
    <s v="Medicare"/>
    <n v="36874.896996612697"/>
    <n v="292"/>
    <x v="1"/>
    <d v="2019-02-08T00:00:00"/>
    <x v="4"/>
    <x v="1"/>
    <n v="30"/>
  </r>
  <r>
    <s v="Christian Gonzalez"/>
    <x v="0"/>
    <n v="80"/>
    <x v="1"/>
    <s v="O+"/>
    <x v="5"/>
    <d v="2021-06-30T00:00:00"/>
    <s v="Julie Carr"/>
    <s v="Meyer Inc"/>
    <s v="Aetna"/>
    <n v="47627.277838280599"/>
    <n v="394"/>
    <x v="2"/>
    <d v="2021-07-09T00:00:00"/>
    <x v="1"/>
    <x v="0"/>
    <n v="9"/>
  </r>
  <r>
    <s v="Christina Roberts"/>
    <x v="3"/>
    <n v="27"/>
    <x v="0"/>
    <s v="O-"/>
    <x v="5"/>
    <d v="2023-09-19T00:00:00"/>
    <s v="Carl Sanders"/>
    <s v="Patton, Davis and Wilson"/>
    <s v="Cigna"/>
    <n v="31546.0403445228"/>
    <n v="118"/>
    <x v="1"/>
    <d v="2023-09-23T00:00:00"/>
    <x v="4"/>
    <x v="0"/>
    <n v="4"/>
  </r>
  <r>
    <s v="Christopher Barker"/>
    <x v="5"/>
    <n v="36"/>
    <x v="1"/>
    <s v="AB+"/>
    <x v="5"/>
    <d v="2022-08-28T00:00:00"/>
    <s v="Terry Berger"/>
    <s v="Ward Inc"/>
    <s v="Blue Cross"/>
    <n v="12580.8884281339"/>
    <n v="443"/>
    <x v="0"/>
    <d v="2022-09-20T00:00:00"/>
    <x v="3"/>
    <x v="1"/>
    <n v="23"/>
  </r>
  <r>
    <s v="Christopher Delgado"/>
    <x v="6"/>
    <n v="69"/>
    <x v="0"/>
    <s v="A-"/>
    <x v="5"/>
    <d v="2021-06-08T00:00:00"/>
    <s v="Susan Franklin"/>
    <s v="Harris LLC"/>
    <s v="UnitedHealthcare"/>
    <n v="41867.422765996504"/>
    <n v="292"/>
    <x v="0"/>
    <d v="2021-06-13T00:00:00"/>
    <x v="3"/>
    <x v="1"/>
    <n v="5"/>
  </r>
  <r>
    <s v="Christopher Juarez"/>
    <x v="0"/>
    <n v="81"/>
    <x v="1"/>
    <s v="B+"/>
    <x v="5"/>
    <d v="2023-04-23T00:00:00"/>
    <s v="William Martinez"/>
    <s v="Short, Glass and Morgan"/>
    <s v="UnitedHealthcare"/>
    <n v="38450.627462873097"/>
    <n v="329"/>
    <x v="2"/>
    <d v="2023-05-01T00:00:00"/>
    <x v="0"/>
    <x v="1"/>
    <n v="8"/>
  </r>
  <r>
    <s v="Christopher Powers"/>
    <x v="0"/>
    <n v="82"/>
    <x v="0"/>
    <s v="O+"/>
    <x v="5"/>
    <d v="2021-12-13T00:00:00"/>
    <s v="Thomas Hutchinson"/>
    <s v="Roth, Goodman and Green"/>
    <s v="Medicare"/>
    <n v="24954.731136095699"/>
    <n v="343"/>
    <x v="2"/>
    <d v="2022-01-08T00:00:00"/>
    <x v="2"/>
    <x v="1"/>
    <n v="26"/>
  </r>
  <r>
    <s v="Cindy Jones"/>
    <x v="2"/>
    <n v="51"/>
    <x v="1"/>
    <s v="B-"/>
    <x v="5"/>
    <d v="2020-09-15T00:00:00"/>
    <s v="Todd Jackson"/>
    <s v="Martinez, King and Estrada"/>
    <s v="Blue Cross"/>
    <n v="45825.978895391199"/>
    <n v="311"/>
    <x v="2"/>
    <d v="2020-09-25T00:00:00"/>
    <x v="2"/>
    <x v="1"/>
    <n v="10"/>
  </r>
  <r>
    <s v="Cody Gonzales"/>
    <x v="3"/>
    <n v="30"/>
    <x v="1"/>
    <s v="B-"/>
    <x v="5"/>
    <d v="2020-03-06T00:00:00"/>
    <s v="Rachel Roberts"/>
    <s v="Smith Group"/>
    <s v="Blue Cross"/>
    <n v="16592.012152966501"/>
    <n v="223"/>
    <x v="1"/>
    <d v="2020-03-22T00:00:00"/>
    <x v="0"/>
    <x v="2"/>
    <n v="16"/>
  </r>
  <r>
    <s v="Dana Peterson"/>
    <x v="2"/>
    <n v="53"/>
    <x v="0"/>
    <s v="B-"/>
    <x v="5"/>
    <d v="2022-03-05T00:00:00"/>
    <s v="Juan Jordan"/>
    <s v="Nelson-Smith"/>
    <s v="Aetna"/>
    <n v="10045.003229309999"/>
    <n v="349"/>
    <x v="2"/>
    <d v="2022-04-03T00:00:00"/>
    <x v="4"/>
    <x v="1"/>
    <n v="29"/>
  </r>
  <r>
    <s v="Daniel Dickson"/>
    <x v="3"/>
    <n v="26"/>
    <x v="0"/>
    <s v="B-"/>
    <x v="5"/>
    <d v="2021-05-27T00:00:00"/>
    <s v="Christina Flores"/>
    <s v="Mcknight-Mclean"/>
    <s v="UnitedHealthcare"/>
    <n v="37766.521237356799"/>
    <n v="292"/>
    <x v="2"/>
    <d v="2021-06-23T00:00:00"/>
    <x v="2"/>
    <x v="2"/>
    <n v="27"/>
  </r>
  <r>
    <s v="Danielle Ballard"/>
    <x v="3"/>
    <n v="31"/>
    <x v="0"/>
    <s v="AB-"/>
    <x v="5"/>
    <d v="2022-10-17T00:00:00"/>
    <s v="Kelly Neal"/>
    <s v="Brown, Green and Diaz"/>
    <s v="Medicare"/>
    <n v="22111.4556780698"/>
    <n v="334"/>
    <x v="1"/>
    <d v="2022-11-09T00:00:00"/>
    <x v="4"/>
    <x v="2"/>
    <n v="23"/>
  </r>
  <r>
    <s v="David Collins"/>
    <x v="6"/>
    <n v="67"/>
    <x v="1"/>
    <s v="B+"/>
    <x v="5"/>
    <d v="2020-11-12T00:00:00"/>
    <s v="Melissa Cervantes"/>
    <s v="Watkins Inc"/>
    <s v="UnitedHealthcare"/>
    <n v="18890.599993942302"/>
    <n v="323"/>
    <x v="1"/>
    <d v="2020-12-11T00:00:00"/>
    <x v="4"/>
    <x v="0"/>
    <n v="29"/>
  </r>
  <r>
    <s v="David Kim"/>
    <x v="4"/>
    <n v="56"/>
    <x v="1"/>
    <s v="A-"/>
    <x v="5"/>
    <d v="2023-02-09T00:00:00"/>
    <s v="Douglas Contreras"/>
    <s v="Espinoza Group"/>
    <s v="UnitedHealthcare"/>
    <n v="11124.064664015599"/>
    <n v="114"/>
    <x v="2"/>
    <d v="2023-02-22T00:00:00"/>
    <x v="3"/>
    <x v="0"/>
    <n v="13"/>
  </r>
  <r>
    <s v="Debra Mcdaniel"/>
    <x v="4"/>
    <n v="59"/>
    <x v="1"/>
    <s v="A+"/>
    <x v="5"/>
    <d v="2023-07-25T00:00:00"/>
    <s v="Jeremy Mills"/>
    <s v="Ford-Perry"/>
    <s v="Blue Cross"/>
    <n v="33854.296896301603"/>
    <n v="461"/>
    <x v="0"/>
    <d v="2023-08-19T00:00:00"/>
    <x v="0"/>
    <x v="2"/>
    <n v="25"/>
  </r>
  <r>
    <s v="Desiree Williams MD"/>
    <x v="6"/>
    <n v="66"/>
    <x v="1"/>
    <s v="O+"/>
    <x v="5"/>
    <d v="2022-06-19T00:00:00"/>
    <s v="Megan Sanders"/>
    <s v="Pugh-Rogers"/>
    <s v="UnitedHealthcare"/>
    <n v="4262.9115781696401"/>
    <n v="125"/>
    <x v="0"/>
    <d v="2022-06-29T00:00:00"/>
    <x v="3"/>
    <x v="0"/>
    <n v="10"/>
  </r>
  <r>
    <s v="Donald Moreno"/>
    <x v="4"/>
    <n v="58"/>
    <x v="0"/>
    <s v="B+"/>
    <x v="5"/>
    <d v="2021-09-19T00:00:00"/>
    <s v="Leslie Walls"/>
    <s v="Jefferson Inc"/>
    <s v="Medicare"/>
    <n v="32142.997573577399"/>
    <n v="420"/>
    <x v="0"/>
    <d v="2021-09-28T00:00:00"/>
    <x v="0"/>
    <x v="1"/>
    <n v="9"/>
  </r>
  <r>
    <s v="Donna Bailey"/>
    <x v="0"/>
    <n v="84"/>
    <x v="0"/>
    <s v="AB+"/>
    <x v="5"/>
    <d v="2022-03-06T00:00:00"/>
    <s v="Jacob White"/>
    <s v="White Group"/>
    <s v="Medicare"/>
    <n v="45565.749805829299"/>
    <n v="340"/>
    <x v="0"/>
    <d v="2022-03-29T00:00:00"/>
    <x v="0"/>
    <x v="0"/>
    <n v="23"/>
  </r>
  <r>
    <s v="Donna Strickland"/>
    <x v="6"/>
    <n v="73"/>
    <x v="0"/>
    <s v="A+"/>
    <x v="5"/>
    <d v="2022-10-31T00:00:00"/>
    <s v="Brianna Cervantes"/>
    <s v="Simpson Group"/>
    <s v="Aetna"/>
    <n v="17185.194410454202"/>
    <n v="369"/>
    <x v="1"/>
    <d v="2022-11-26T00:00:00"/>
    <x v="4"/>
    <x v="1"/>
    <n v="26"/>
  </r>
  <r>
    <s v="Elizabeth Johnson"/>
    <x v="4"/>
    <n v="59"/>
    <x v="1"/>
    <s v="AB-"/>
    <x v="5"/>
    <d v="2022-08-15T00:00:00"/>
    <s v="Gerald Green"/>
    <s v="Woods Ltd"/>
    <s v="UnitedHealthcare"/>
    <n v="41120.098996037297"/>
    <n v="208"/>
    <x v="1"/>
    <d v="2022-08-30T00:00:00"/>
    <x v="4"/>
    <x v="0"/>
    <n v="15"/>
  </r>
  <r>
    <s v="Elizabeth Stafford"/>
    <x v="0"/>
    <n v="78"/>
    <x v="1"/>
    <s v="O-"/>
    <x v="5"/>
    <d v="2021-09-11T00:00:00"/>
    <s v="Erin Scott"/>
    <s v="Smith Ltd"/>
    <s v="UnitedHealthcare"/>
    <n v="33209.185515422898"/>
    <n v="331"/>
    <x v="0"/>
    <d v="2021-10-03T00:00:00"/>
    <x v="4"/>
    <x v="2"/>
    <n v="22"/>
  </r>
  <r>
    <s v="Evan Martinez"/>
    <x v="5"/>
    <n v="42"/>
    <x v="0"/>
    <s v="B+"/>
    <x v="5"/>
    <d v="2021-02-07T00:00:00"/>
    <s v="Robin Rodriguez"/>
    <s v="Anderson, Chase and Anderson"/>
    <s v="Medicare"/>
    <n v="9991.0744455412496"/>
    <n v="199"/>
    <x v="1"/>
    <d v="2021-03-06T00:00:00"/>
    <x v="3"/>
    <x v="1"/>
    <n v="27"/>
  </r>
  <r>
    <s v="Frank Mccormick"/>
    <x v="6"/>
    <n v="70"/>
    <x v="1"/>
    <s v="A+"/>
    <x v="5"/>
    <d v="2023-08-25T00:00:00"/>
    <s v="Kyle Estrada"/>
    <s v="Herrera-Wilson"/>
    <s v="Blue Cross"/>
    <n v="8005.8283370563404"/>
    <n v="271"/>
    <x v="2"/>
    <d v="2023-09-12T00:00:00"/>
    <x v="1"/>
    <x v="0"/>
    <n v="18"/>
  </r>
  <r>
    <s v="Frank Reid"/>
    <x v="4"/>
    <n v="61"/>
    <x v="0"/>
    <s v="AB+"/>
    <x v="5"/>
    <d v="2019-11-04T00:00:00"/>
    <s v="Jesus Snyder"/>
    <s v="Nichols, Stone and Mills"/>
    <s v="Blue Cross"/>
    <n v="1888.0021112903401"/>
    <n v="317"/>
    <x v="1"/>
    <d v="2019-11-19T00:00:00"/>
    <x v="0"/>
    <x v="0"/>
    <n v="15"/>
  </r>
  <r>
    <s v="Gabriella James"/>
    <x v="5"/>
    <n v="39"/>
    <x v="0"/>
    <s v="A+"/>
    <x v="5"/>
    <d v="2020-07-12T00:00:00"/>
    <s v="Michael Gonzalez"/>
    <s v="Drake and Sons"/>
    <s v="Blue Cross"/>
    <n v="26153.3892231717"/>
    <n v="199"/>
    <x v="0"/>
    <d v="2020-07-26T00:00:00"/>
    <x v="4"/>
    <x v="1"/>
    <n v="14"/>
  </r>
  <r>
    <s v="Geoffrey Robertson"/>
    <x v="2"/>
    <n v="54"/>
    <x v="0"/>
    <s v="A-"/>
    <x v="5"/>
    <d v="2021-05-06T00:00:00"/>
    <s v="Tony Hawkins"/>
    <s v="Robinson, Wallace and Johns"/>
    <s v="Blue Cross"/>
    <n v="35774.256988922898"/>
    <n v="164"/>
    <x v="1"/>
    <d v="2021-05-30T00:00:00"/>
    <x v="3"/>
    <x v="0"/>
    <n v="24"/>
  </r>
  <r>
    <s v="Glenda Cooper"/>
    <x v="1"/>
    <n v="20"/>
    <x v="1"/>
    <s v="B+"/>
    <x v="5"/>
    <d v="2022-04-29T00:00:00"/>
    <s v="Michelle Guzman"/>
    <s v="Parker-Lopez"/>
    <s v="Medicare"/>
    <n v="9964.0629533703304"/>
    <n v="375"/>
    <x v="1"/>
    <d v="2022-04-30T00:00:00"/>
    <x v="4"/>
    <x v="1"/>
    <n v="1"/>
  </r>
  <r>
    <s v="Haley Li"/>
    <x v="2"/>
    <n v="51"/>
    <x v="1"/>
    <s v="B-"/>
    <x v="5"/>
    <d v="2022-10-09T00:00:00"/>
    <s v="Nicole Wood"/>
    <s v="Jordan Inc"/>
    <s v="Medicare"/>
    <n v="16701.347131962099"/>
    <n v="130"/>
    <x v="1"/>
    <d v="2022-11-01T00:00:00"/>
    <x v="4"/>
    <x v="2"/>
    <n v="23"/>
  </r>
  <r>
    <s v="Hannah Joseph"/>
    <x v="0"/>
    <n v="81"/>
    <x v="1"/>
    <s v="O+"/>
    <x v="5"/>
    <d v="2020-01-29T00:00:00"/>
    <s v="David Smith"/>
    <s v="Robinson-Daugherty"/>
    <s v="Medicare"/>
    <n v="11300.5272735659"/>
    <n v="497"/>
    <x v="2"/>
    <d v="2020-02-15T00:00:00"/>
    <x v="4"/>
    <x v="2"/>
    <n v="17"/>
  </r>
  <r>
    <s v="Heather Washington"/>
    <x v="3"/>
    <n v="32"/>
    <x v="1"/>
    <s v="O+"/>
    <x v="5"/>
    <d v="2023-06-22T00:00:00"/>
    <s v="Troy Parker"/>
    <s v="Chambers Inc"/>
    <s v="Medicare"/>
    <n v="37221.718937929698"/>
    <n v="382"/>
    <x v="2"/>
    <d v="2023-07-15T00:00:00"/>
    <x v="0"/>
    <x v="0"/>
    <n v="23"/>
  </r>
  <r>
    <s v="Holly Hickman"/>
    <x v="0"/>
    <n v="76"/>
    <x v="1"/>
    <s v="A-"/>
    <x v="5"/>
    <d v="2023-05-02T00:00:00"/>
    <s v="William Meza"/>
    <s v="Boyd, Miller and Lopez"/>
    <s v="UnitedHealthcare"/>
    <n v="21901.8266441587"/>
    <n v="103"/>
    <x v="2"/>
    <d v="2023-05-27T00:00:00"/>
    <x v="4"/>
    <x v="0"/>
    <n v="25"/>
  </r>
  <r>
    <s v="Holly Knight"/>
    <x v="2"/>
    <n v="46"/>
    <x v="0"/>
    <s v="B-"/>
    <x v="5"/>
    <d v="2023-08-05T00:00:00"/>
    <s v="Robert Brown"/>
    <s v="Pena, Martinez and Chavez"/>
    <s v="UnitedHealthcare"/>
    <n v="22420.439275320401"/>
    <n v="200"/>
    <x v="2"/>
    <d v="2023-08-18T00:00:00"/>
    <x v="1"/>
    <x v="0"/>
    <n v="13"/>
  </r>
  <r>
    <s v="Jacob Hoover"/>
    <x v="4"/>
    <n v="65"/>
    <x v="1"/>
    <s v="B-"/>
    <x v="5"/>
    <d v="2021-01-12T00:00:00"/>
    <s v="Mindy Bell"/>
    <s v="Wong-House"/>
    <s v="Medicare"/>
    <n v="47792.230687314601"/>
    <n v="338"/>
    <x v="2"/>
    <d v="2021-02-02T00:00:00"/>
    <x v="3"/>
    <x v="2"/>
    <n v="21"/>
  </r>
  <r>
    <s v="Jacob Howell"/>
    <x v="6"/>
    <n v="69"/>
    <x v="0"/>
    <s v="O+"/>
    <x v="5"/>
    <d v="2019-08-25T00:00:00"/>
    <s v="Andrea Nguyen"/>
    <s v="Ward-Anderson"/>
    <s v="Medicare"/>
    <n v="24116.5997256066"/>
    <n v="217"/>
    <x v="2"/>
    <d v="2019-09-23T00:00:00"/>
    <x v="3"/>
    <x v="0"/>
    <n v="29"/>
  </r>
  <r>
    <s v="Jacob Jenkins"/>
    <x v="6"/>
    <n v="75"/>
    <x v="0"/>
    <s v="B-"/>
    <x v="5"/>
    <d v="2022-06-16T00:00:00"/>
    <s v="Jeffrey Bush"/>
    <s v="Johnson, Francis and Lopez"/>
    <s v="Blue Cross"/>
    <n v="23127.2195571394"/>
    <n v="489"/>
    <x v="1"/>
    <d v="2022-07-06T00:00:00"/>
    <x v="0"/>
    <x v="2"/>
    <n v="20"/>
  </r>
  <r>
    <s v="James Blair"/>
    <x v="1"/>
    <n v="20"/>
    <x v="0"/>
    <s v="B+"/>
    <x v="5"/>
    <d v="2022-07-25T00:00:00"/>
    <s v="David Fowler"/>
    <s v="Martin, Briggs and Spears"/>
    <s v="Aetna"/>
    <n v="43965.778714354499"/>
    <n v="470"/>
    <x v="2"/>
    <d v="2022-08-14T00:00:00"/>
    <x v="3"/>
    <x v="2"/>
    <n v="20"/>
  </r>
  <r>
    <s v="James Perkins"/>
    <x v="6"/>
    <n v="69"/>
    <x v="0"/>
    <s v="A-"/>
    <x v="5"/>
    <d v="2020-01-06T00:00:00"/>
    <s v="Jessica Cook"/>
    <s v="Hall Group"/>
    <s v="Blue Cross"/>
    <n v="44848.3132673047"/>
    <n v="394"/>
    <x v="1"/>
    <d v="2020-01-12T00:00:00"/>
    <x v="3"/>
    <x v="1"/>
    <n v="6"/>
  </r>
  <r>
    <s v="Jamie Day"/>
    <x v="6"/>
    <n v="70"/>
    <x v="0"/>
    <s v="AB-"/>
    <x v="5"/>
    <d v="2019-07-06T00:00:00"/>
    <s v="Christopher Russell"/>
    <s v="Walters-Burns"/>
    <s v="Blue Cross"/>
    <n v="19425.967815040502"/>
    <n v="257"/>
    <x v="1"/>
    <d v="2019-07-25T00:00:00"/>
    <x v="2"/>
    <x v="1"/>
    <n v="19"/>
  </r>
  <r>
    <s v="Jane Vargas"/>
    <x v="6"/>
    <n v="74"/>
    <x v="0"/>
    <s v="A+"/>
    <x v="5"/>
    <d v="2020-08-21T00:00:00"/>
    <s v="Donna Hicks"/>
    <s v="Bell LLC"/>
    <s v="Blue Cross"/>
    <n v="10100.077988372899"/>
    <n v="229"/>
    <x v="0"/>
    <d v="2020-08-31T00:00:00"/>
    <x v="2"/>
    <x v="1"/>
    <n v="10"/>
  </r>
  <r>
    <s v="Jasmine Singleton"/>
    <x v="5"/>
    <n v="37"/>
    <x v="1"/>
    <s v="AB-"/>
    <x v="5"/>
    <d v="2019-06-26T00:00:00"/>
    <s v="Larry Guzman"/>
    <s v="Thomas Group"/>
    <s v="Blue Cross"/>
    <n v="34132.623000118001"/>
    <n v="182"/>
    <x v="1"/>
    <d v="2019-07-24T00:00:00"/>
    <x v="1"/>
    <x v="1"/>
    <n v="28"/>
  </r>
  <r>
    <s v="Jason Evans"/>
    <x v="2"/>
    <n v="51"/>
    <x v="0"/>
    <s v="A+"/>
    <x v="5"/>
    <d v="2023-01-27T00:00:00"/>
    <s v="Kimberly Valentine"/>
    <s v="Byrd, Clark and Medina"/>
    <s v="UnitedHealthcare"/>
    <n v="23331.281203322698"/>
    <n v="225"/>
    <x v="0"/>
    <d v="2023-02-12T00:00:00"/>
    <x v="0"/>
    <x v="2"/>
    <n v="16"/>
  </r>
  <r>
    <s v="Jeanette White"/>
    <x v="5"/>
    <n v="41"/>
    <x v="0"/>
    <s v="AB+"/>
    <x v="5"/>
    <d v="2023-03-16T00:00:00"/>
    <s v="Rebecca Morales"/>
    <s v="Morris-Terry"/>
    <s v="Aetna"/>
    <n v="30570.902071926801"/>
    <n v="243"/>
    <x v="0"/>
    <d v="2023-04-14T00:00:00"/>
    <x v="2"/>
    <x v="1"/>
    <n v="29"/>
  </r>
  <r>
    <s v="Jeffery Young"/>
    <x v="6"/>
    <n v="71"/>
    <x v="1"/>
    <s v="AB-"/>
    <x v="5"/>
    <d v="2023-09-06T00:00:00"/>
    <s v="Lucas Clark"/>
    <s v="Peterson-Brandt"/>
    <s v="UnitedHealthcare"/>
    <n v="29673.0084746334"/>
    <n v="253"/>
    <x v="2"/>
    <d v="2023-09-30T00:00:00"/>
    <x v="4"/>
    <x v="2"/>
    <n v="24"/>
  </r>
  <r>
    <s v="Jeffrey Mckinney DDS"/>
    <x v="0"/>
    <n v="83"/>
    <x v="0"/>
    <s v="AB-"/>
    <x v="5"/>
    <d v="2023-01-28T00:00:00"/>
    <s v="Jacob Friedman"/>
    <s v="Lester, Campos and Ballard"/>
    <s v="Blue Cross"/>
    <n v="32125.1634023513"/>
    <n v="170"/>
    <x v="2"/>
    <d v="2023-02-21T00:00:00"/>
    <x v="1"/>
    <x v="2"/>
    <n v="24"/>
  </r>
  <r>
    <s v="Jennifer Benson"/>
    <x v="5"/>
    <n v="38"/>
    <x v="0"/>
    <s v="AB-"/>
    <x v="5"/>
    <d v="2021-10-24T00:00:00"/>
    <s v="Joanne Owen"/>
    <s v="Cox-Townsend"/>
    <s v="Cigna"/>
    <n v="14496.083089014701"/>
    <n v="458"/>
    <x v="0"/>
    <d v="2021-11-12T00:00:00"/>
    <x v="1"/>
    <x v="0"/>
    <n v="19"/>
  </r>
  <r>
    <s v="Jennifer Nelson MD"/>
    <x v="6"/>
    <n v="74"/>
    <x v="0"/>
    <s v="A-"/>
    <x v="5"/>
    <d v="2021-04-10T00:00:00"/>
    <s v="Rhonda Adams"/>
    <s v="Nelson and Sons"/>
    <s v="Medicare"/>
    <n v="10035.332962985"/>
    <n v="489"/>
    <x v="1"/>
    <d v="2021-04-27T00:00:00"/>
    <x v="3"/>
    <x v="1"/>
    <n v="17"/>
  </r>
  <r>
    <s v="Jennifer Walker"/>
    <x v="6"/>
    <n v="73"/>
    <x v="0"/>
    <s v="AB+"/>
    <x v="5"/>
    <d v="2020-12-06T00:00:00"/>
    <s v="Laura Ortiz"/>
    <s v="Simpson-Shaw"/>
    <s v="Aetna"/>
    <n v="42052.5248785968"/>
    <n v="308"/>
    <x v="0"/>
    <d v="2021-01-05T00:00:00"/>
    <x v="1"/>
    <x v="1"/>
    <n v="30"/>
  </r>
  <r>
    <s v="Jeremy Gentry"/>
    <x v="4"/>
    <n v="59"/>
    <x v="0"/>
    <s v="B-"/>
    <x v="5"/>
    <d v="2021-09-30T00:00:00"/>
    <s v="Tiffany Perry"/>
    <s v="Mitchell-Mcdowell"/>
    <s v="Medicare"/>
    <n v="39148.113565753498"/>
    <n v="417"/>
    <x v="2"/>
    <d v="2021-10-05T00:00:00"/>
    <x v="3"/>
    <x v="0"/>
    <n v="5"/>
  </r>
  <r>
    <s v="Jocelyn Simmons"/>
    <x v="0"/>
    <n v="81"/>
    <x v="0"/>
    <s v="A-"/>
    <x v="5"/>
    <d v="2023-05-19T00:00:00"/>
    <s v="Vicki Merritt"/>
    <s v="Jordan-Glover"/>
    <s v="Aetna"/>
    <n v="36745.210455298402"/>
    <n v="451"/>
    <x v="0"/>
    <d v="2023-05-22T00:00:00"/>
    <x v="4"/>
    <x v="2"/>
    <n v="3"/>
  </r>
  <r>
    <s v="Jodi Shannon"/>
    <x v="2"/>
    <n v="51"/>
    <x v="0"/>
    <s v="O-"/>
    <x v="5"/>
    <d v="2023-09-02T00:00:00"/>
    <s v="Amy Bush"/>
    <s v="Warner-Hines"/>
    <s v="Blue Cross"/>
    <n v="27667.1265989272"/>
    <n v="252"/>
    <x v="2"/>
    <d v="2023-09-10T00:00:00"/>
    <x v="1"/>
    <x v="2"/>
    <n v="8"/>
  </r>
  <r>
    <s v="John Briggs"/>
    <x v="4"/>
    <n v="57"/>
    <x v="0"/>
    <s v="AB-"/>
    <x v="5"/>
    <d v="2019-03-08T00:00:00"/>
    <s v="Melissa Nguyen"/>
    <s v="Morrow, Nelson and Castillo"/>
    <s v="Blue Cross"/>
    <n v="22985.616664913199"/>
    <n v="366"/>
    <x v="2"/>
    <d v="2019-03-25T00:00:00"/>
    <x v="1"/>
    <x v="0"/>
    <n v="17"/>
  </r>
  <r>
    <s v="John Edwards"/>
    <x v="3"/>
    <n v="31"/>
    <x v="0"/>
    <s v="A-"/>
    <x v="5"/>
    <d v="2020-05-31T00:00:00"/>
    <s v="Nicole Holland"/>
    <s v="Leon Group"/>
    <s v="Cigna"/>
    <n v="17415.975767106698"/>
    <n v="398"/>
    <x v="1"/>
    <d v="2020-06-18T00:00:00"/>
    <x v="3"/>
    <x v="1"/>
    <n v="18"/>
  </r>
  <r>
    <s v="John George"/>
    <x v="4"/>
    <n v="59"/>
    <x v="0"/>
    <s v="A-"/>
    <x v="5"/>
    <d v="2023-04-22T00:00:00"/>
    <s v="Jordan Gonzales"/>
    <s v="Harvey-Miller"/>
    <s v="Aetna"/>
    <n v="46888.661109549299"/>
    <n v="266"/>
    <x v="2"/>
    <d v="2023-05-20T00:00:00"/>
    <x v="0"/>
    <x v="1"/>
    <n v="28"/>
  </r>
  <r>
    <s v="John Johnson"/>
    <x v="4"/>
    <n v="58"/>
    <x v="0"/>
    <s v="B-"/>
    <x v="5"/>
    <d v="2019-02-15T00:00:00"/>
    <s v="Blake Young"/>
    <s v="Pruitt, Butler and Gonzales"/>
    <s v="Medicare"/>
    <n v="15650.8913636623"/>
    <n v="323"/>
    <x v="1"/>
    <d v="2019-03-13T00:00:00"/>
    <x v="3"/>
    <x v="2"/>
    <n v="26"/>
  </r>
  <r>
    <s v="Jon Harding"/>
    <x v="5"/>
    <n v="41"/>
    <x v="1"/>
    <s v="O-"/>
    <x v="5"/>
    <d v="2019-10-21T00:00:00"/>
    <s v="Wanda Meyers"/>
    <s v="Wright and Sons"/>
    <s v="UnitedHealthcare"/>
    <n v="11455.6382783353"/>
    <n v="299"/>
    <x v="0"/>
    <d v="2019-11-07T00:00:00"/>
    <x v="0"/>
    <x v="2"/>
    <n v="17"/>
  </r>
  <r>
    <s v="Jonathan Brown"/>
    <x v="6"/>
    <n v="68"/>
    <x v="0"/>
    <s v="O-"/>
    <x v="5"/>
    <d v="2020-03-15T00:00:00"/>
    <s v="Jonathan Good"/>
    <s v="Webb-Anderson"/>
    <s v="Blue Cross"/>
    <n v="22268.034662054801"/>
    <n v="315"/>
    <x v="2"/>
    <d v="2020-04-04T00:00:00"/>
    <x v="0"/>
    <x v="0"/>
    <n v="20"/>
  </r>
  <r>
    <s v="Jose Brown"/>
    <x v="0"/>
    <n v="79"/>
    <x v="0"/>
    <s v="AB-"/>
    <x v="5"/>
    <d v="2020-02-16T00:00:00"/>
    <s v="Amber Madden"/>
    <s v="Roy Ltd"/>
    <s v="Medicare"/>
    <n v="22065.281396557799"/>
    <n v="320"/>
    <x v="0"/>
    <d v="2020-03-07T00:00:00"/>
    <x v="1"/>
    <x v="2"/>
    <n v="20"/>
  </r>
  <r>
    <s v="Joseph Bailey"/>
    <x v="5"/>
    <n v="38"/>
    <x v="1"/>
    <s v="O-"/>
    <x v="5"/>
    <d v="2023-10-08T00:00:00"/>
    <s v="Mark Nichols"/>
    <s v="Mccormick, Cohen and Ryan"/>
    <s v="Medicare"/>
    <n v="13981.112613003201"/>
    <n v="372"/>
    <x v="0"/>
    <d v="2023-10-27T00:00:00"/>
    <x v="4"/>
    <x v="2"/>
    <n v="19"/>
  </r>
  <r>
    <s v="Joshua Brooks"/>
    <x v="5"/>
    <n v="36"/>
    <x v="0"/>
    <s v="O+"/>
    <x v="5"/>
    <d v="2022-08-25T00:00:00"/>
    <s v="Miss Rachel Barnes"/>
    <s v="Harper, Daniel and Brown"/>
    <s v="Cigna"/>
    <n v="7813.2390886449602"/>
    <n v="422"/>
    <x v="1"/>
    <d v="2022-08-27T00:00:00"/>
    <x v="1"/>
    <x v="2"/>
    <n v="2"/>
  </r>
  <r>
    <s v="Joshua Frey"/>
    <x v="2"/>
    <n v="55"/>
    <x v="1"/>
    <s v="A+"/>
    <x v="5"/>
    <d v="2021-12-15T00:00:00"/>
    <s v="Meredith Harris"/>
    <s v="Parks Ltd"/>
    <s v="Blue Cross"/>
    <n v="36408.226252387401"/>
    <n v="135"/>
    <x v="0"/>
    <d v="2022-01-10T00:00:00"/>
    <x v="2"/>
    <x v="0"/>
    <n v="26"/>
  </r>
  <r>
    <s v="Julie Johnston"/>
    <x v="0"/>
    <n v="85"/>
    <x v="0"/>
    <s v="O-"/>
    <x v="5"/>
    <d v="2019-10-22T00:00:00"/>
    <s v="Randy Carlson"/>
    <s v="Whitaker, Silva and Thomas"/>
    <s v="UnitedHealthcare"/>
    <n v="26730.533030934999"/>
    <n v="475"/>
    <x v="0"/>
    <d v="2019-11-14T00:00:00"/>
    <x v="4"/>
    <x v="1"/>
    <n v="23"/>
  </r>
  <r>
    <s v="Julie Mckenzie"/>
    <x v="3"/>
    <n v="35"/>
    <x v="0"/>
    <s v="A+"/>
    <x v="5"/>
    <d v="2019-02-07T00:00:00"/>
    <s v="Jerome Davis"/>
    <s v="Duarte Inc"/>
    <s v="Medicare"/>
    <n v="27676.337232617399"/>
    <n v="242"/>
    <x v="2"/>
    <d v="2019-02-22T00:00:00"/>
    <x v="0"/>
    <x v="1"/>
    <n v="15"/>
  </r>
  <r>
    <s v="Justin Martin"/>
    <x v="0"/>
    <n v="82"/>
    <x v="1"/>
    <s v="A-"/>
    <x v="5"/>
    <d v="2019-07-14T00:00:00"/>
    <s v="Sarah Holden"/>
    <s v="Fletcher-Lee"/>
    <s v="Medicare"/>
    <n v="20536.009181326499"/>
    <n v="119"/>
    <x v="2"/>
    <d v="2019-08-13T00:00:00"/>
    <x v="1"/>
    <x v="1"/>
    <n v="30"/>
  </r>
  <r>
    <s v="Karen Mccoy"/>
    <x v="3"/>
    <n v="28"/>
    <x v="1"/>
    <s v="O-"/>
    <x v="5"/>
    <d v="2023-06-04T00:00:00"/>
    <s v="Carol Harris"/>
    <s v="Jordan-Sosa"/>
    <s v="Medicare"/>
    <n v="20789.8572740196"/>
    <n v="179"/>
    <x v="0"/>
    <d v="2023-06-17T00:00:00"/>
    <x v="3"/>
    <x v="0"/>
    <n v="13"/>
  </r>
  <r>
    <s v="Karen Sanford"/>
    <x v="5"/>
    <n v="41"/>
    <x v="1"/>
    <s v="O-"/>
    <x v="5"/>
    <d v="2018-11-29T00:00:00"/>
    <s v="Jonathan Ruiz"/>
    <s v="Mills, Simpson and Morrison"/>
    <s v="Aetna"/>
    <n v="29471.3385785633"/>
    <n v="195"/>
    <x v="1"/>
    <d v="2018-12-29T00:00:00"/>
    <x v="3"/>
    <x v="1"/>
    <n v="30"/>
  </r>
  <r>
    <s v="Kelly Manning"/>
    <x v="1"/>
    <n v="21"/>
    <x v="0"/>
    <s v="O-"/>
    <x v="5"/>
    <d v="2019-06-21T00:00:00"/>
    <s v="Laurie Gonzalez"/>
    <s v="Miller, Dixon and Baker"/>
    <s v="Aetna"/>
    <n v="39666.2405505719"/>
    <n v="482"/>
    <x v="0"/>
    <d v="2019-07-20T00:00:00"/>
    <x v="0"/>
    <x v="0"/>
    <n v="29"/>
  </r>
  <r>
    <s v="Kenneth Rollins"/>
    <x v="0"/>
    <n v="76"/>
    <x v="1"/>
    <s v="A+"/>
    <x v="5"/>
    <d v="2019-03-02T00:00:00"/>
    <s v="Lisa Clark"/>
    <s v="Bowman LLC"/>
    <s v="Aetna"/>
    <n v="44947.469977418397"/>
    <n v="155"/>
    <x v="2"/>
    <d v="2019-03-17T00:00:00"/>
    <x v="1"/>
    <x v="2"/>
    <n v="15"/>
  </r>
  <r>
    <s v="Kevin Robinson"/>
    <x v="6"/>
    <n v="68"/>
    <x v="0"/>
    <s v="AB+"/>
    <x v="5"/>
    <d v="2022-09-29T00:00:00"/>
    <s v="Tiffany Pacheco"/>
    <s v="Cole-Fox"/>
    <s v="Blue Cross"/>
    <n v="35582.755821957602"/>
    <n v="473"/>
    <x v="1"/>
    <d v="2022-10-26T00:00:00"/>
    <x v="4"/>
    <x v="2"/>
    <n v="27"/>
  </r>
  <r>
    <s v="Kimberly Mason"/>
    <x v="6"/>
    <n v="70"/>
    <x v="0"/>
    <s v="B-"/>
    <x v="5"/>
    <d v="2021-07-12T00:00:00"/>
    <s v="Natalie Sullivan"/>
    <s v="Gilbert and Sons"/>
    <s v="Aetna"/>
    <n v="35834.356603177599"/>
    <n v="379"/>
    <x v="0"/>
    <d v="2021-07-29T00:00:00"/>
    <x v="2"/>
    <x v="2"/>
    <n v="17"/>
  </r>
  <r>
    <s v="Kimberly Shelton"/>
    <x v="0"/>
    <n v="83"/>
    <x v="0"/>
    <s v="AB-"/>
    <x v="5"/>
    <d v="2020-01-13T00:00:00"/>
    <s v="Bradley Dillon"/>
    <s v="Crawford LLC"/>
    <s v="Medicare"/>
    <n v="10669.985051244799"/>
    <n v="317"/>
    <x v="2"/>
    <d v="2020-02-08T00:00:00"/>
    <x v="2"/>
    <x v="2"/>
    <n v="26"/>
  </r>
  <r>
    <s v="Kimberly Vargas"/>
    <x v="3"/>
    <n v="27"/>
    <x v="0"/>
    <s v="B+"/>
    <x v="5"/>
    <d v="2018-12-28T00:00:00"/>
    <s v="Donald Nelson"/>
    <s v="Jarvis, Walker and Grant"/>
    <s v="Aetna"/>
    <n v="5319.5427627763202"/>
    <n v="139"/>
    <x v="0"/>
    <d v="2019-01-27T00:00:00"/>
    <x v="3"/>
    <x v="2"/>
    <n v="30"/>
  </r>
  <r>
    <s v="Kimberly Wheeler"/>
    <x v="6"/>
    <n v="71"/>
    <x v="0"/>
    <s v="A+"/>
    <x v="5"/>
    <d v="2022-11-23T00:00:00"/>
    <s v="Amber Hayes"/>
    <s v="White, Mclean and Miller"/>
    <s v="UnitedHealthcare"/>
    <n v="8311.3973892222803"/>
    <n v="205"/>
    <x v="2"/>
    <d v="2022-11-29T00:00:00"/>
    <x v="4"/>
    <x v="2"/>
    <n v="6"/>
  </r>
  <r>
    <s v="Kurt Gordon"/>
    <x v="1"/>
    <n v="18"/>
    <x v="0"/>
    <s v="B-"/>
    <x v="5"/>
    <d v="2022-10-18T00:00:00"/>
    <s v="Thomas Rice"/>
    <s v="Murphy-Mason"/>
    <s v="Aetna"/>
    <n v="30496.551023285101"/>
    <n v="270"/>
    <x v="0"/>
    <d v="2022-11-08T00:00:00"/>
    <x v="0"/>
    <x v="2"/>
    <n v="21"/>
  </r>
  <r>
    <s v="Kurt Sloan"/>
    <x v="3"/>
    <n v="30"/>
    <x v="0"/>
    <s v="AB-"/>
    <x v="5"/>
    <d v="2022-06-14T00:00:00"/>
    <s v="Thomas Smith"/>
    <s v="Hancock, Bryant and Andrews"/>
    <s v="Cigna"/>
    <n v="48995.048838771698"/>
    <n v="299"/>
    <x v="1"/>
    <d v="2022-07-13T00:00:00"/>
    <x v="3"/>
    <x v="0"/>
    <n v="29"/>
  </r>
  <r>
    <s v="Lance Bradley"/>
    <x v="6"/>
    <n v="71"/>
    <x v="0"/>
    <s v="O-"/>
    <x v="5"/>
    <d v="2023-07-03T00:00:00"/>
    <s v="James Hatfield"/>
    <s v="Rhodes Ltd"/>
    <s v="Medicare"/>
    <n v="22722.0003202751"/>
    <n v="232"/>
    <x v="0"/>
    <d v="2023-07-04T00:00:00"/>
    <x v="0"/>
    <x v="0"/>
    <n v="1"/>
  </r>
  <r>
    <s v="Larry Fitzpatrick"/>
    <x v="0"/>
    <n v="83"/>
    <x v="0"/>
    <s v="AB+"/>
    <x v="5"/>
    <d v="2021-12-11T00:00:00"/>
    <s v="Joshua Myers"/>
    <s v="Diaz, Fox and Harper"/>
    <s v="Aetna"/>
    <n v="30663.060917614701"/>
    <n v="350"/>
    <x v="0"/>
    <d v="2021-12-18T00:00:00"/>
    <x v="3"/>
    <x v="2"/>
    <n v="7"/>
  </r>
  <r>
    <s v="Laura Henderson"/>
    <x v="5"/>
    <n v="41"/>
    <x v="0"/>
    <s v="AB-"/>
    <x v="5"/>
    <d v="2021-03-20T00:00:00"/>
    <s v="Dana Payne"/>
    <s v="Schaefer and Sons"/>
    <s v="Cigna"/>
    <n v="40247.689763677699"/>
    <n v="401"/>
    <x v="2"/>
    <d v="2021-03-24T00:00:00"/>
    <x v="4"/>
    <x v="0"/>
    <n v="4"/>
  </r>
  <r>
    <s v="Laurie Mitchell"/>
    <x v="0"/>
    <n v="80"/>
    <x v="0"/>
    <s v="B-"/>
    <x v="5"/>
    <d v="2018-11-10T00:00:00"/>
    <s v="Chris Cobb DVM"/>
    <s v="Smith, Cantrell and Norton"/>
    <s v="Aetna"/>
    <n v="26660.612444034701"/>
    <n v="486"/>
    <x v="0"/>
    <d v="2018-11-14T00:00:00"/>
    <x v="4"/>
    <x v="2"/>
    <n v="4"/>
  </r>
  <r>
    <s v="Leah Harrington"/>
    <x v="6"/>
    <n v="66"/>
    <x v="1"/>
    <s v="AB+"/>
    <x v="5"/>
    <d v="2018-11-28T00:00:00"/>
    <s v="Steven Hawkins"/>
    <s v="Cook, Leach and Fernandez"/>
    <s v="Aetna"/>
    <n v="24362.373960440302"/>
    <n v="424"/>
    <x v="2"/>
    <d v="2018-12-02T00:00:00"/>
    <x v="1"/>
    <x v="2"/>
    <n v="4"/>
  </r>
  <r>
    <s v="Leonard Benton"/>
    <x v="4"/>
    <n v="64"/>
    <x v="1"/>
    <s v="O-"/>
    <x v="5"/>
    <d v="2021-09-05T00:00:00"/>
    <s v="Jessica Yu"/>
    <s v="Stephens Group"/>
    <s v="UnitedHealthcare"/>
    <n v="3672.3107384172999"/>
    <n v="287"/>
    <x v="2"/>
    <d v="2021-09-13T00:00:00"/>
    <x v="4"/>
    <x v="0"/>
    <n v="8"/>
  </r>
  <r>
    <s v="Lindsey Hampton"/>
    <x v="4"/>
    <n v="61"/>
    <x v="1"/>
    <s v="A-"/>
    <x v="5"/>
    <d v="2020-05-30T00:00:00"/>
    <s v="Whitney Gibson"/>
    <s v="Hoover Inc"/>
    <s v="Blue Cross"/>
    <n v="21864.010007428202"/>
    <n v="406"/>
    <x v="0"/>
    <d v="2020-06-15T00:00:00"/>
    <x v="4"/>
    <x v="0"/>
    <n v="16"/>
  </r>
  <r>
    <s v="Lori Lyons"/>
    <x v="5"/>
    <n v="44"/>
    <x v="0"/>
    <s v="AB-"/>
    <x v="5"/>
    <d v="2023-07-06T00:00:00"/>
    <s v="Rhonda Porter"/>
    <s v="White Ltd"/>
    <s v="Blue Cross"/>
    <n v="13108.5108870487"/>
    <n v="209"/>
    <x v="0"/>
    <d v="2023-07-20T00:00:00"/>
    <x v="2"/>
    <x v="2"/>
    <n v="14"/>
  </r>
  <r>
    <s v="Lori Sanders"/>
    <x v="2"/>
    <n v="53"/>
    <x v="1"/>
    <s v="AB-"/>
    <x v="5"/>
    <d v="2020-07-29T00:00:00"/>
    <s v="Victoria Stafford"/>
    <s v="Nguyen-Ball"/>
    <s v="Blue Cross"/>
    <n v="49219.209543074401"/>
    <n v="146"/>
    <x v="0"/>
    <d v="2020-08-20T00:00:00"/>
    <x v="2"/>
    <x v="0"/>
    <n v="22"/>
  </r>
  <r>
    <s v="Louis Campbell"/>
    <x v="0"/>
    <n v="81"/>
    <x v="0"/>
    <s v="A-"/>
    <x v="5"/>
    <d v="2023-06-29T00:00:00"/>
    <s v="Amy Matthews"/>
    <s v="Hayes Inc"/>
    <s v="Blue Cross"/>
    <n v="33399.4656069333"/>
    <n v="274"/>
    <x v="2"/>
    <d v="2023-07-02T00:00:00"/>
    <x v="3"/>
    <x v="2"/>
    <n v="3"/>
  </r>
  <r>
    <s v="Malik Phillips"/>
    <x v="6"/>
    <n v="71"/>
    <x v="0"/>
    <s v="B-"/>
    <x v="5"/>
    <d v="2020-03-03T00:00:00"/>
    <s v="Misty Allen"/>
    <s v="Reyes-Scott"/>
    <s v="Cigna"/>
    <n v="44982.000414836599"/>
    <n v="299"/>
    <x v="1"/>
    <d v="2020-03-18T00:00:00"/>
    <x v="0"/>
    <x v="2"/>
    <n v="15"/>
  </r>
  <r>
    <s v="Marie Cooper"/>
    <x v="3"/>
    <n v="26"/>
    <x v="1"/>
    <s v="B+"/>
    <x v="5"/>
    <d v="2019-09-15T00:00:00"/>
    <s v="Leslie Cook"/>
    <s v="Garrett and Sons"/>
    <s v="Blue Cross"/>
    <n v="42103.263033222604"/>
    <n v="366"/>
    <x v="2"/>
    <d v="2019-10-07T00:00:00"/>
    <x v="4"/>
    <x v="1"/>
    <n v="22"/>
  </r>
  <r>
    <s v="Mark Browning"/>
    <x v="6"/>
    <n v="71"/>
    <x v="0"/>
    <s v="B+"/>
    <x v="5"/>
    <d v="2021-09-05T00:00:00"/>
    <s v="Lindsay Collins"/>
    <s v="Cooper, Warner and Merritt"/>
    <s v="UnitedHealthcare"/>
    <n v="34122.433884829297"/>
    <n v="120"/>
    <x v="1"/>
    <d v="2021-09-19T00:00:00"/>
    <x v="4"/>
    <x v="1"/>
    <n v="14"/>
  </r>
  <r>
    <s v="Mary Jones"/>
    <x v="5"/>
    <n v="44"/>
    <x v="1"/>
    <s v="AB+"/>
    <x v="5"/>
    <d v="2019-06-13T00:00:00"/>
    <s v="Terry Cameron MD"/>
    <s v="Hurley, Henry and Richards"/>
    <s v="Aetna"/>
    <n v="13591.0430874877"/>
    <n v="240"/>
    <x v="1"/>
    <d v="2019-07-02T00:00:00"/>
    <x v="4"/>
    <x v="0"/>
    <n v="19"/>
  </r>
  <r>
    <s v="Megan Gibson DVM"/>
    <x v="0"/>
    <n v="79"/>
    <x v="0"/>
    <s v="B+"/>
    <x v="5"/>
    <d v="2022-04-02T00:00:00"/>
    <s v="Brittany Keith"/>
    <s v="Davis, Barrett and Mitchell"/>
    <s v="Blue Cross"/>
    <n v="12723.420482916599"/>
    <n v="174"/>
    <x v="0"/>
    <d v="2022-04-09T00:00:00"/>
    <x v="2"/>
    <x v="0"/>
    <n v="7"/>
  </r>
  <r>
    <s v="Melissa Robinson"/>
    <x v="5"/>
    <n v="40"/>
    <x v="1"/>
    <s v="A-"/>
    <x v="5"/>
    <d v="2023-03-29T00:00:00"/>
    <s v="Matthew Downs"/>
    <s v="Ellis-Davis"/>
    <s v="Cigna"/>
    <n v="30730.893293449401"/>
    <n v="400"/>
    <x v="2"/>
    <d v="2023-04-14T00:00:00"/>
    <x v="0"/>
    <x v="0"/>
    <n v="16"/>
  </r>
  <r>
    <s v="Michael Russell"/>
    <x v="5"/>
    <n v="36"/>
    <x v="1"/>
    <s v="O-"/>
    <x v="5"/>
    <d v="2022-10-24T00:00:00"/>
    <s v="Jake White"/>
    <s v="Cook-Benton"/>
    <s v="Blue Cross"/>
    <n v="38397.633513422901"/>
    <n v="381"/>
    <x v="1"/>
    <d v="2022-10-27T00:00:00"/>
    <x v="3"/>
    <x v="1"/>
    <n v="3"/>
  </r>
  <r>
    <s v="Michele Thompson"/>
    <x v="1"/>
    <n v="25"/>
    <x v="0"/>
    <s v="B-"/>
    <x v="5"/>
    <d v="2021-08-08T00:00:00"/>
    <s v="Kelly Guerrero"/>
    <s v="Decker-Johnson"/>
    <s v="UnitedHealthcare"/>
    <n v="40812.454056502102"/>
    <n v="374"/>
    <x v="0"/>
    <d v="2021-08-22T00:00:00"/>
    <x v="1"/>
    <x v="1"/>
    <n v="14"/>
  </r>
  <r>
    <s v="Molly Houston"/>
    <x v="3"/>
    <n v="29"/>
    <x v="1"/>
    <s v="A-"/>
    <x v="5"/>
    <d v="2022-02-24T00:00:00"/>
    <s v="Sean Black"/>
    <s v="Collins, Holmes and Everett"/>
    <s v="Blue Cross"/>
    <n v="7364.75096059512"/>
    <n v="270"/>
    <x v="2"/>
    <d v="2022-03-05T00:00:00"/>
    <x v="4"/>
    <x v="0"/>
    <n v="9"/>
  </r>
  <r>
    <s v="Nancy Hodges"/>
    <x v="4"/>
    <n v="61"/>
    <x v="1"/>
    <s v="O-"/>
    <x v="5"/>
    <d v="2019-05-28T00:00:00"/>
    <s v="Laura Herrera"/>
    <s v="Young, Campbell and Price"/>
    <s v="Aetna"/>
    <n v="22938.061375785801"/>
    <n v="363"/>
    <x v="0"/>
    <d v="2019-06-12T00:00:00"/>
    <x v="3"/>
    <x v="1"/>
    <n v="15"/>
  </r>
  <r>
    <s v="Nicholas Lewis"/>
    <x v="2"/>
    <n v="53"/>
    <x v="0"/>
    <s v="A+"/>
    <x v="5"/>
    <d v="2020-04-16T00:00:00"/>
    <s v="Matthew Arnold"/>
    <s v="Jackson, French and Johnson"/>
    <s v="Medicare"/>
    <n v="32979.146245165401"/>
    <n v="313"/>
    <x v="0"/>
    <d v="2020-05-06T00:00:00"/>
    <x v="2"/>
    <x v="2"/>
    <n v="20"/>
  </r>
  <r>
    <s v="Nicole Casey"/>
    <x v="5"/>
    <n v="43"/>
    <x v="1"/>
    <s v="B+"/>
    <x v="5"/>
    <d v="2022-03-07T00:00:00"/>
    <s v="Jared Diaz"/>
    <s v="Zuniga-Johnson"/>
    <s v="Aetna"/>
    <n v="22624.0054607118"/>
    <n v="158"/>
    <x v="1"/>
    <d v="2022-03-09T00:00:00"/>
    <x v="2"/>
    <x v="1"/>
    <n v="2"/>
  </r>
  <r>
    <s v="Paul Brooks"/>
    <x v="1"/>
    <n v="23"/>
    <x v="1"/>
    <s v="AB+"/>
    <x v="5"/>
    <d v="2023-06-21T00:00:00"/>
    <s v="Traci Henderson"/>
    <s v="Richardson Inc"/>
    <s v="Cigna"/>
    <n v="35435.875071456001"/>
    <n v="363"/>
    <x v="1"/>
    <d v="2023-07-16T00:00:00"/>
    <x v="4"/>
    <x v="0"/>
    <n v="25"/>
  </r>
  <r>
    <s v="Paul Greer"/>
    <x v="1"/>
    <n v="21"/>
    <x v="1"/>
    <s v="A+"/>
    <x v="5"/>
    <d v="2020-10-05T00:00:00"/>
    <s v="Amanda Young"/>
    <s v="Robertson PLC"/>
    <s v="Medicare"/>
    <n v="48379.062559042199"/>
    <n v="335"/>
    <x v="2"/>
    <d v="2020-11-03T00:00:00"/>
    <x v="3"/>
    <x v="0"/>
    <n v="29"/>
  </r>
  <r>
    <s v="Rhonda Larson"/>
    <x v="0"/>
    <n v="82"/>
    <x v="1"/>
    <s v="B-"/>
    <x v="5"/>
    <d v="2021-04-18T00:00:00"/>
    <s v="Kristen Henderson"/>
    <s v="Wheeler, Hughes and Perkins"/>
    <s v="Cigna"/>
    <n v="11480.5080938622"/>
    <n v="150"/>
    <x v="0"/>
    <d v="2021-05-06T00:00:00"/>
    <x v="0"/>
    <x v="1"/>
    <n v="18"/>
  </r>
  <r>
    <s v="Ricardo Mcconnell"/>
    <x v="0"/>
    <n v="84"/>
    <x v="1"/>
    <s v="B-"/>
    <x v="5"/>
    <d v="2022-10-06T00:00:00"/>
    <s v="Mrs. Tammy Rose"/>
    <s v="Williams-Zimmerman"/>
    <s v="Cigna"/>
    <n v="17325.665238130099"/>
    <n v="356"/>
    <x v="0"/>
    <d v="2022-10-07T00:00:00"/>
    <x v="4"/>
    <x v="0"/>
    <n v="1"/>
  </r>
  <r>
    <s v="Richard Vega"/>
    <x v="6"/>
    <n v="69"/>
    <x v="1"/>
    <s v="B+"/>
    <x v="5"/>
    <d v="2020-10-31T00:00:00"/>
    <s v="David Dean"/>
    <s v="Harrison PLC"/>
    <s v="Aetna"/>
    <n v="19815.017938770099"/>
    <n v="225"/>
    <x v="1"/>
    <d v="2020-11-11T00:00:00"/>
    <x v="4"/>
    <x v="0"/>
    <n v="11"/>
  </r>
  <r>
    <s v="Roberta Fisher"/>
    <x v="3"/>
    <n v="27"/>
    <x v="0"/>
    <s v="A-"/>
    <x v="5"/>
    <d v="2021-09-19T00:00:00"/>
    <s v="Nathan Mason"/>
    <s v="Harris and Sons"/>
    <s v="Cigna"/>
    <n v="37360.639585599703"/>
    <n v="135"/>
    <x v="0"/>
    <d v="2021-09-29T00:00:00"/>
    <x v="3"/>
    <x v="1"/>
    <n v="10"/>
  </r>
  <r>
    <s v="Roberto Beck"/>
    <x v="3"/>
    <n v="29"/>
    <x v="1"/>
    <s v="O+"/>
    <x v="5"/>
    <d v="2023-09-05T00:00:00"/>
    <s v="Miranda Silva"/>
    <s v="Morris, Schwartz and Wilson"/>
    <s v="Cigna"/>
    <n v="38216.130499696403"/>
    <n v="394"/>
    <x v="1"/>
    <d v="2023-09-22T00:00:00"/>
    <x v="4"/>
    <x v="0"/>
    <n v="17"/>
  </r>
  <r>
    <s v="Rodney Maynard"/>
    <x v="0"/>
    <n v="81"/>
    <x v="1"/>
    <s v="AB-"/>
    <x v="5"/>
    <d v="2023-07-09T00:00:00"/>
    <s v="Dr. Kyle Dickson"/>
    <s v="Nixon, Evans and Bradley"/>
    <s v="Blue Cross"/>
    <n v="21001.274872832098"/>
    <n v="197"/>
    <x v="1"/>
    <d v="2023-07-17T00:00:00"/>
    <x v="4"/>
    <x v="1"/>
    <n v="8"/>
  </r>
  <r>
    <s v="Ronald Rollins"/>
    <x v="5"/>
    <n v="37"/>
    <x v="0"/>
    <s v="O+"/>
    <x v="5"/>
    <d v="2023-03-02T00:00:00"/>
    <s v="Eduardo Ross"/>
    <s v="Montoya Group"/>
    <s v="UnitedHealthcare"/>
    <n v="36379.947147434301"/>
    <n v="181"/>
    <x v="1"/>
    <d v="2023-03-27T00:00:00"/>
    <x v="1"/>
    <x v="2"/>
    <n v="25"/>
  </r>
  <r>
    <s v="Ryan Cross"/>
    <x v="6"/>
    <n v="75"/>
    <x v="1"/>
    <s v="O-"/>
    <x v="5"/>
    <d v="2019-05-18T00:00:00"/>
    <s v="Kevin Morris"/>
    <s v="Moran, Hardy and Zhang"/>
    <s v="Aetna"/>
    <n v="48782.8563156624"/>
    <n v="452"/>
    <x v="1"/>
    <d v="2019-05-31T00:00:00"/>
    <x v="4"/>
    <x v="1"/>
    <n v="13"/>
  </r>
  <r>
    <s v="Ryan Lee"/>
    <x v="3"/>
    <n v="34"/>
    <x v="0"/>
    <s v="AB+"/>
    <x v="5"/>
    <d v="2022-06-02T00:00:00"/>
    <s v="Jamie Wright"/>
    <s v="Reynolds-Miranda"/>
    <s v="Blue Cross"/>
    <n v="1939.31910216341"/>
    <n v="454"/>
    <x v="0"/>
    <d v="2022-06-18T00:00:00"/>
    <x v="2"/>
    <x v="1"/>
    <n v="16"/>
  </r>
  <r>
    <s v="Sabrina Barron"/>
    <x v="5"/>
    <n v="44"/>
    <x v="1"/>
    <s v="AB-"/>
    <x v="5"/>
    <d v="2022-08-07T00:00:00"/>
    <s v="Brittany Gilbert"/>
    <s v="Brown-Ford"/>
    <s v="Cigna"/>
    <n v="46411.598052508103"/>
    <n v="299"/>
    <x v="0"/>
    <d v="2022-09-02T00:00:00"/>
    <x v="2"/>
    <x v="2"/>
    <n v="26"/>
  </r>
  <r>
    <s v="Samantha Patel"/>
    <x v="5"/>
    <n v="41"/>
    <x v="0"/>
    <s v="AB+"/>
    <x v="5"/>
    <d v="2023-09-04T00:00:00"/>
    <s v="Jason Beck"/>
    <s v="Clarke-Gonzalez"/>
    <s v="Cigna"/>
    <n v="41477.444808396896"/>
    <n v="102"/>
    <x v="0"/>
    <d v="2023-09-21T00:00:00"/>
    <x v="3"/>
    <x v="1"/>
    <n v="17"/>
  </r>
  <r>
    <s v="Samantha Simpson"/>
    <x v="6"/>
    <n v="73"/>
    <x v="1"/>
    <s v="O-"/>
    <x v="5"/>
    <d v="2019-07-21T00:00:00"/>
    <s v="Susan Pennington"/>
    <s v="Orr PLC"/>
    <s v="Blue Cross"/>
    <n v="48659.5988317909"/>
    <n v="108"/>
    <x v="2"/>
    <d v="2019-08-10T00:00:00"/>
    <x v="4"/>
    <x v="1"/>
    <n v="20"/>
  </r>
  <r>
    <s v="Sarah Burke"/>
    <x v="0"/>
    <n v="84"/>
    <x v="1"/>
    <s v="O-"/>
    <x v="5"/>
    <d v="2021-08-22T00:00:00"/>
    <s v="Wendy Santiago"/>
    <s v="Jones-Austin"/>
    <s v="Cigna"/>
    <n v="4430.9357578915296"/>
    <n v="283"/>
    <x v="2"/>
    <d v="2021-09-12T00:00:00"/>
    <x v="2"/>
    <x v="2"/>
    <n v="21"/>
  </r>
  <r>
    <s v="Seth Burgess"/>
    <x v="5"/>
    <n v="37"/>
    <x v="1"/>
    <s v="AB-"/>
    <x v="5"/>
    <d v="2022-03-26T00:00:00"/>
    <s v="Michael Sexton"/>
    <s v="Watts Inc"/>
    <s v="Cigna"/>
    <n v="27726.725877822901"/>
    <n v="313"/>
    <x v="0"/>
    <d v="2022-04-23T00:00:00"/>
    <x v="3"/>
    <x v="2"/>
    <n v="28"/>
  </r>
  <r>
    <s v="Shane Black"/>
    <x v="2"/>
    <n v="48"/>
    <x v="1"/>
    <s v="AB+"/>
    <x v="5"/>
    <d v="2018-11-21T00:00:00"/>
    <s v="Heather Burns"/>
    <s v="Johnson, King and Hart"/>
    <s v="Cigna"/>
    <n v="35824.277183371298"/>
    <n v="147"/>
    <x v="1"/>
    <d v="2018-12-17T00:00:00"/>
    <x v="2"/>
    <x v="2"/>
    <n v="26"/>
  </r>
  <r>
    <s v="Sherry Petty"/>
    <x v="5"/>
    <n v="39"/>
    <x v="1"/>
    <s v="B-"/>
    <x v="5"/>
    <d v="2019-03-05T00:00:00"/>
    <s v="Crystal Farmer"/>
    <s v="Brown-Mckee"/>
    <s v="UnitedHealthcare"/>
    <n v="22508.974337063901"/>
    <n v="453"/>
    <x v="1"/>
    <d v="2019-03-07T00:00:00"/>
    <x v="2"/>
    <x v="1"/>
    <n v="2"/>
  </r>
  <r>
    <s v="Stephanie Carter"/>
    <x v="2"/>
    <n v="54"/>
    <x v="1"/>
    <s v="A+"/>
    <x v="5"/>
    <d v="2021-10-29T00:00:00"/>
    <s v="Aaron Taylor"/>
    <s v="Barton, Reed and Fitzpatrick"/>
    <s v="Aetna"/>
    <n v="12586.402694767599"/>
    <n v="440"/>
    <x v="0"/>
    <d v="2021-11-12T00:00:00"/>
    <x v="0"/>
    <x v="0"/>
    <n v="14"/>
  </r>
  <r>
    <s v="Stephanie James"/>
    <x v="3"/>
    <n v="26"/>
    <x v="1"/>
    <s v="AB-"/>
    <x v="5"/>
    <d v="2019-07-08T00:00:00"/>
    <s v="David Gregory"/>
    <s v="Ford PLC"/>
    <s v="Blue Cross"/>
    <n v="34328.250210011698"/>
    <n v="313"/>
    <x v="1"/>
    <d v="2019-07-18T00:00:00"/>
    <x v="4"/>
    <x v="2"/>
    <n v="10"/>
  </r>
  <r>
    <s v="Steven Lyons"/>
    <x v="5"/>
    <n v="37"/>
    <x v="0"/>
    <s v="A-"/>
    <x v="5"/>
    <d v="2019-06-26T00:00:00"/>
    <s v="Kristen Stewart"/>
    <s v="Roberson, Boyd and Harris"/>
    <s v="Blue Cross"/>
    <n v="25974.552828002899"/>
    <n v="317"/>
    <x v="0"/>
    <d v="2019-07-05T00:00:00"/>
    <x v="0"/>
    <x v="0"/>
    <n v="9"/>
  </r>
  <r>
    <s v="Sylvia Johnson"/>
    <x v="5"/>
    <n v="45"/>
    <x v="1"/>
    <s v="A+"/>
    <x v="5"/>
    <d v="2022-03-14T00:00:00"/>
    <s v="Rebecca Myers"/>
    <s v="Carlson Ltd"/>
    <s v="Cigna"/>
    <n v="27639.326063183002"/>
    <n v="162"/>
    <x v="0"/>
    <d v="2022-03-27T00:00:00"/>
    <x v="2"/>
    <x v="2"/>
    <n v="13"/>
  </r>
  <r>
    <s v="Tabitha Price"/>
    <x v="0"/>
    <n v="80"/>
    <x v="1"/>
    <s v="AB-"/>
    <x v="5"/>
    <d v="2021-10-28T00:00:00"/>
    <s v="Mary Carson"/>
    <s v="Jones Inc"/>
    <s v="UnitedHealthcare"/>
    <n v="39053.622943805603"/>
    <n v="481"/>
    <x v="0"/>
    <d v="2021-11-04T00:00:00"/>
    <x v="1"/>
    <x v="2"/>
    <n v="7"/>
  </r>
  <r>
    <s v="Teresa Martinez"/>
    <x v="1"/>
    <n v="22"/>
    <x v="1"/>
    <s v="O+"/>
    <x v="5"/>
    <d v="2019-08-17T00:00:00"/>
    <s v="Kristi Leblanc"/>
    <s v="Mccoy-Mahoney"/>
    <s v="Blue Cross"/>
    <n v="25943.140950768699"/>
    <n v="386"/>
    <x v="2"/>
    <d v="2019-08-30T00:00:00"/>
    <x v="1"/>
    <x v="1"/>
    <n v="13"/>
  </r>
  <r>
    <s v="Teresa Williams"/>
    <x v="0"/>
    <n v="81"/>
    <x v="1"/>
    <s v="O-"/>
    <x v="5"/>
    <d v="2021-12-07T00:00:00"/>
    <s v="Laura Bell"/>
    <s v="Williams Group"/>
    <s v="Cigna"/>
    <n v="24931.510709500799"/>
    <n v="129"/>
    <x v="2"/>
    <d v="2021-12-25T00:00:00"/>
    <x v="0"/>
    <x v="1"/>
    <n v="18"/>
  </r>
  <r>
    <s v="Tiffany White"/>
    <x v="2"/>
    <n v="53"/>
    <x v="0"/>
    <s v="AB-"/>
    <x v="5"/>
    <d v="2020-11-09T00:00:00"/>
    <s v="Shelley Lang"/>
    <s v="Griffin, Williamson and Burton"/>
    <s v="Cigna"/>
    <n v="33919.881462226003"/>
    <n v="153"/>
    <x v="0"/>
    <d v="2020-11-17T00:00:00"/>
    <x v="2"/>
    <x v="2"/>
    <n v="8"/>
  </r>
  <r>
    <s v="Tracey Martin"/>
    <x v="2"/>
    <n v="54"/>
    <x v="0"/>
    <s v="A+"/>
    <x v="5"/>
    <d v="2020-05-31T00:00:00"/>
    <s v="Nicole Johnson"/>
    <s v="Gibbs-Davis"/>
    <s v="Medicare"/>
    <n v="20699.8134361507"/>
    <n v="218"/>
    <x v="0"/>
    <d v="2020-06-17T00:00:00"/>
    <x v="2"/>
    <x v="0"/>
    <n v="17"/>
  </r>
  <r>
    <s v="Travis Dyer"/>
    <x v="3"/>
    <n v="26"/>
    <x v="1"/>
    <s v="AB-"/>
    <x v="5"/>
    <d v="2022-03-16T00:00:00"/>
    <s v="Claire Young"/>
    <s v="Johnson, Hull and Pratt"/>
    <s v="Blue Cross"/>
    <n v="32000.195853033099"/>
    <n v="292"/>
    <x v="1"/>
    <d v="2022-03-31T00:00:00"/>
    <x v="4"/>
    <x v="1"/>
    <n v="15"/>
  </r>
  <r>
    <s v="Wendy Cantu"/>
    <x v="5"/>
    <n v="45"/>
    <x v="0"/>
    <s v="A+"/>
    <x v="5"/>
    <d v="2023-06-01T00:00:00"/>
    <s v="Michael Sutton"/>
    <s v="Lee, Hunter and Stone"/>
    <s v="Medicare"/>
    <n v="14876.215477845801"/>
    <n v="162"/>
    <x v="1"/>
    <d v="2023-06-13T00:00:00"/>
    <x v="4"/>
    <x v="2"/>
    <n v="12"/>
  </r>
  <r>
    <s v="William Cohen"/>
    <x v="1"/>
    <n v="20"/>
    <x v="0"/>
    <s v="O+"/>
    <x v="5"/>
    <d v="2019-02-15T00:00:00"/>
    <s v="Robin Lopez"/>
    <s v="Rogers Group"/>
    <s v="Blue Cross"/>
    <n v="41665.423598671499"/>
    <n v="146"/>
    <x v="0"/>
    <d v="2019-03-11T00:00:00"/>
    <x v="0"/>
    <x v="0"/>
    <n v="24"/>
  </r>
  <r>
    <s v="William Garza"/>
    <x v="3"/>
    <n v="31"/>
    <x v="0"/>
    <s v="O+"/>
    <x v="5"/>
    <d v="2021-03-29T00:00:00"/>
    <s v="Glenn Burns"/>
    <s v="Manning-Brown"/>
    <s v="Aetna"/>
    <n v="44765.716751287102"/>
    <n v="437"/>
    <x v="0"/>
    <d v="2021-04-02T00:00:00"/>
    <x v="1"/>
    <x v="2"/>
    <n v="4"/>
  </r>
  <r>
    <s v="William Osborne"/>
    <x v="0"/>
    <n v="78"/>
    <x v="1"/>
    <s v="AB+"/>
    <x v="5"/>
    <d v="2022-06-13T00:00:00"/>
    <s v="Charles James"/>
    <s v="Wright Group"/>
    <s v="Blue Cross"/>
    <n v="38597.001678769098"/>
    <n v="136"/>
    <x v="2"/>
    <d v="2022-06-15T00:00:00"/>
    <x v="3"/>
    <x v="2"/>
    <n v="2"/>
  </r>
  <r>
    <s v="Yvette Banks"/>
    <x v="3"/>
    <n v="32"/>
    <x v="0"/>
    <s v="B-"/>
    <x v="5"/>
    <d v="2023-07-28T00:00:00"/>
    <s v="John Sloan"/>
    <s v="Hill Ltd"/>
    <s v="Cigna"/>
    <n v="13566.273821021499"/>
    <n v="370"/>
    <x v="2"/>
    <d v="2023-08-02T00:00:00"/>
    <x v="2"/>
    <x v="0"/>
    <n v="5"/>
  </r>
  <r>
    <s v="Zachary Collins"/>
    <x v="6"/>
    <n v="75"/>
    <x v="0"/>
    <s v="B+"/>
    <x v="5"/>
    <d v="2020-02-04T00:00:00"/>
    <s v="Roberta Adams"/>
    <s v="Sharp, Fuller and Cruz"/>
    <s v="Blue Cross"/>
    <n v="47549.050864579098"/>
    <n v="418"/>
    <x v="1"/>
    <d v="2020-02-06T00:00:00"/>
    <x v="3"/>
    <x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76-85"/>
    <n v="79"/>
    <s v="Female"/>
    <x v="0"/>
    <x v="0"/>
    <x v="0"/>
    <s v="Nicholas Valenzuela"/>
    <x v="0"/>
    <x v="0"/>
    <x v="0"/>
    <n v="173"/>
    <s v="Elective"/>
    <d v="2021-04-13T00:00:00"/>
    <s v="Penicillin"/>
    <s v="Inconclusive"/>
    <x v="0"/>
  </r>
  <r>
    <x v="1"/>
    <s v="18-25"/>
    <n v="22"/>
    <s v="Male"/>
    <x v="1"/>
    <x v="0"/>
    <x v="1"/>
    <s v="Sandra Scott"/>
    <x v="1"/>
    <x v="0"/>
    <x v="1"/>
    <n v="490"/>
    <s v="Emergency"/>
    <d v="2022-11-20T00:00:00"/>
    <s v="Ibuprofen"/>
    <s v="Inconclusive"/>
    <x v="1"/>
  </r>
  <r>
    <x v="2"/>
    <s v="46-55"/>
    <n v="53"/>
    <s v="Male"/>
    <x v="1"/>
    <x v="0"/>
    <x v="2"/>
    <s v="Shane Browning"/>
    <x v="2"/>
    <x v="1"/>
    <x v="2"/>
    <n v="489"/>
    <s v="Urgent"/>
    <d v="2022-10-28T00:00:00"/>
    <s v="Penicillin"/>
    <s v="Normal"/>
    <x v="2"/>
  </r>
  <r>
    <x v="3"/>
    <s v="26-35"/>
    <n v="26"/>
    <s v="Male"/>
    <x v="2"/>
    <x v="0"/>
    <x v="3"/>
    <s v="Cassandra Johnson"/>
    <x v="3"/>
    <x v="2"/>
    <x v="3"/>
    <n v="473"/>
    <s v="Elective"/>
    <d v="2019-02-06T00:00:00"/>
    <s v="Ibuprofen"/>
    <s v="Normal"/>
    <x v="0"/>
  </r>
  <r>
    <x v="4"/>
    <s v="56-65"/>
    <n v="62"/>
    <s v="Male"/>
    <x v="0"/>
    <x v="0"/>
    <x v="4"/>
    <s v="Mary Williams"/>
    <x v="4"/>
    <x v="3"/>
    <x v="4"/>
    <n v="241"/>
    <s v="Urgent"/>
    <d v="2023-10-05T00:00:00"/>
    <s v="Penicillin"/>
    <s v="Inconclusive"/>
    <x v="0"/>
  </r>
  <r>
    <x v="5"/>
    <s v="26-35"/>
    <n v="26"/>
    <s v="Female"/>
    <x v="3"/>
    <x v="0"/>
    <x v="5"/>
    <s v="Adam Snyder"/>
    <x v="5"/>
    <x v="1"/>
    <x v="5"/>
    <n v="359"/>
    <s v="Elective"/>
    <d v="2019-06-27T00:00:00"/>
    <s v="Paracetamol"/>
    <s v="Inconclusive"/>
    <x v="1"/>
  </r>
  <r>
    <x v="6"/>
    <s v="18-25"/>
    <n v="24"/>
    <s v="Male"/>
    <x v="2"/>
    <x v="0"/>
    <x v="6"/>
    <s v="Margaret Jacobs"/>
    <x v="6"/>
    <x v="1"/>
    <x v="6"/>
    <n v="230"/>
    <s v="Elective"/>
    <d v="2020-01-04T00:00:00"/>
    <s v="Aspirin"/>
    <s v="Inconclusive"/>
    <x v="3"/>
  </r>
  <r>
    <x v="7"/>
    <s v="56-65"/>
    <n v="62"/>
    <s v="Female"/>
    <x v="3"/>
    <x v="0"/>
    <x v="7"/>
    <s v="Jenna Stone"/>
    <x v="7"/>
    <x v="1"/>
    <x v="7"/>
    <n v="215"/>
    <s v="Emergency"/>
    <d v="2020-04-26T00:00:00"/>
    <s v="Ibuprofen"/>
    <s v="Normal"/>
    <x v="4"/>
  </r>
  <r>
    <x v="8"/>
    <s v="76-85"/>
    <n v="81"/>
    <s v="Female"/>
    <x v="0"/>
    <x v="0"/>
    <x v="8"/>
    <s v="Heather Warner"/>
    <x v="8"/>
    <x v="0"/>
    <x v="8"/>
    <n v="410"/>
    <s v="Emergency"/>
    <d v="2021-06-23T00:00:00"/>
    <s v="Penicillin"/>
    <s v="Abnormal"/>
    <x v="5"/>
  </r>
  <r>
    <x v="9"/>
    <s v="18-25"/>
    <n v="20"/>
    <s v="Male"/>
    <x v="4"/>
    <x v="0"/>
    <x v="9"/>
    <s v="Nathan Hawkins"/>
    <x v="9"/>
    <x v="2"/>
    <x v="9"/>
    <n v="110"/>
    <s v="Urgent"/>
    <d v="2022-08-20T00:00:00"/>
    <s v="Ibuprofen"/>
    <s v="Inconclusive"/>
    <x v="4"/>
  </r>
  <r>
    <x v="10"/>
    <s v="18-25"/>
    <n v="18"/>
    <s v="Female"/>
    <x v="1"/>
    <x v="0"/>
    <x v="10"/>
    <s v="Edward Collins"/>
    <x v="10"/>
    <x v="1"/>
    <x v="10"/>
    <n v="442"/>
    <s v="Emergency"/>
    <d v="2019-08-28T00:00:00"/>
    <s v="Paracetamol"/>
    <s v="Normal"/>
    <x v="6"/>
  </r>
  <r>
    <x v="11"/>
    <s v="76-85"/>
    <n v="83"/>
    <s v="Male"/>
    <x v="1"/>
    <x v="0"/>
    <x v="11"/>
    <s v="Tony Wright"/>
    <x v="11"/>
    <x v="4"/>
    <x v="11"/>
    <n v="495"/>
    <s v="Urgent"/>
    <d v="2019-05-06T00:00:00"/>
    <s v="Aspirin"/>
    <s v="Inconclusive"/>
    <x v="7"/>
  </r>
  <r>
    <x v="12"/>
    <s v="36-45"/>
    <n v="41"/>
    <s v="Female"/>
    <x v="5"/>
    <x v="0"/>
    <x v="12"/>
    <s v="Rachel Wheeler"/>
    <x v="12"/>
    <x v="4"/>
    <x v="12"/>
    <n v="464"/>
    <s v="Urgent"/>
    <d v="2023-08-22T00:00:00"/>
    <s v="Penicillin"/>
    <s v="Inconclusive"/>
    <x v="8"/>
  </r>
  <r>
    <x v="13"/>
    <s v="46-55"/>
    <n v="55"/>
    <s v="Male"/>
    <x v="5"/>
    <x v="0"/>
    <x v="13"/>
    <s v="Kayla Reyes"/>
    <x v="13"/>
    <x v="4"/>
    <x v="13"/>
    <n v="383"/>
    <s v="Urgent"/>
    <d v="2018-12-16T00:00:00"/>
    <s v="Lipitor"/>
    <s v="Normal"/>
    <x v="9"/>
  </r>
  <r>
    <x v="14"/>
    <s v="66-75"/>
    <n v="66"/>
    <s v="Male"/>
    <x v="1"/>
    <x v="0"/>
    <x v="14"/>
    <s v="Anna Adams"/>
    <x v="14"/>
    <x v="3"/>
    <x v="14"/>
    <n v="361"/>
    <s v="Emergency"/>
    <d v="2019-08-27T00:00:00"/>
    <s v="Paracetamol"/>
    <s v="Inconclusive"/>
    <x v="6"/>
  </r>
  <r>
    <x v="15"/>
    <s v="36-45"/>
    <n v="45"/>
    <s v="Female"/>
    <x v="3"/>
    <x v="0"/>
    <x v="15"/>
    <s v="Lisa Hill"/>
    <x v="15"/>
    <x v="2"/>
    <x v="15"/>
    <n v="359"/>
    <s v="Elective"/>
    <d v="2019-12-07T00:00:00"/>
    <s v="Paracetamol"/>
    <s v="Normal"/>
    <x v="10"/>
  </r>
  <r>
    <x v="16"/>
    <s v="26-35"/>
    <n v="32"/>
    <s v="Female"/>
    <x v="6"/>
    <x v="0"/>
    <x v="16"/>
    <s v="Curtis Smith"/>
    <x v="16"/>
    <x v="1"/>
    <x v="16"/>
    <n v="492"/>
    <s v="Emergency"/>
    <d v="2021-08-14T00:00:00"/>
    <s v="Aspirin"/>
    <s v="Inconclusive"/>
    <x v="11"/>
  </r>
  <r>
    <x v="17"/>
    <s v="36-45"/>
    <n v="37"/>
    <s v="Male"/>
    <x v="7"/>
    <x v="0"/>
    <x v="17"/>
    <s v="Kathleen Oconnor DDS"/>
    <x v="17"/>
    <x v="1"/>
    <x v="17"/>
    <n v="216"/>
    <s v="Elective"/>
    <d v="2020-07-25T00:00:00"/>
    <s v="Lipitor"/>
    <s v="Inconclusive"/>
    <x v="12"/>
  </r>
  <r>
    <x v="18"/>
    <s v="36-45"/>
    <n v="36"/>
    <s v="Male"/>
    <x v="5"/>
    <x v="0"/>
    <x v="18"/>
    <s v="Dwayne Mooney"/>
    <x v="18"/>
    <x v="2"/>
    <x v="18"/>
    <n v="315"/>
    <s v="Urgent"/>
    <d v="2021-06-13T00:00:00"/>
    <s v="Penicillin"/>
    <s v="Normal"/>
    <x v="4"/>
  </r>
  <r>
    <x v="19"/>
    <s v="56-65"/>
    <n v="60"/>
    <s v="Male"/>
    <x v="1"/>
    <x v="0"/>
    <x v="19"/>
    <s v="Vanessa Gutierrez"/>
    <x v="19"/>
    <x v="1"/>
    <x v="19"/>
    <n v="435"/>
    <s v="Urgent"/>
    <d v="2020-08-14T00:00:00"/>
    <s v="Ibuprofen"/>
    <s v="Normal"/>
    <x v="3"/>
  </r>
  <r>
    <x v="20"/>
    <s v="56-65"/>
    <n v="59"/>
    <s v="Male"/>
    <x v="4"/>
    <x v="0"/>
    <x v="20"/>
    <s v="Julie Moreno"/>
    <x v="20"/>
    <x v="4"/>
    <x v="20"/>
    <n v="171"/>
    <s v="Elective"/>
    <d v="2022-07-12T00:00:00"/>
    <s v="Lipitor"/>
    <s v="Abnormal"/>
    <x v="12"/>
  </r>
  <r>
    <x v="21"/>
    <s v="26-35"/>
    <n v="28"/>
    <s v="Female"/>
    <x v="2"/>
    <x v="0"/>
    <x v="21"/>
    <s v="Gabriella White"/>
    <x v="21"/>
    <x v="1"/>
    <x v="21"/>
    <n v="188"/>
    <s v="Urgent"/>
    <d v="2021-01-18T00:00:00"/>
    <s v="Paracetamol"/>
    <s v="Normal"/>
    <x v="8"/>
  </r>
  <r>
    <x v="22"/>
    <s v="66-75"/>
    <n v="75"/>
    <s v="Male"/>
    <x v="4"/>
    <x v="0"/>
    <x v="22"/>
    <s v="Jordan Garrett"/>
    <x v="22"/>
    <x v="3"/>
    <x v="22"/>
    <n v="490"/>
    <s v="Urgent"/>
    <d v="2022-11-03T00:00:00"/>
    <s v="Lipitor"/>
    <s v="Inconclusive"/>
    <x v="4"/>
  </r>
  <r>
    <x v="23"/>
    <s v="56-65"/>
    <n v="56"/>
    <s v="Male"/>
    <x v="7"/>
    <x v="0"/>
    <x v="23"/>
    <s v="Joseph Banks"/>
    <x v="23"/>
    <x v="2"/>
    <x v="23"/>
    <n v="451"/>
    <s v="Elective"/>
    <d v="2021-07-22T00:00:00"/>
    <s v="Aspirin"/>
    <s v="Inconclusive"/>
    <x v="13"/>
  </r>
  <r>
    <x v="24"/>
    <s v="36-45"/>
    <n v="37"/>
    <s v="Female"/>
    <x v="4"/>
    <x v="0"/>
    <x v="24"/>
    <s v="Anna Meyers"/>
    <x v="24"/>
    <x v="1"/>
    <x v="24"/>
    <n v="425"/>
    <s v="Urgent"/>
    <d v="2023-09-30T00:00:00"/>
    <s v="Ibuprofen"/>
    <s v="Abnormal"/>
    <x v="14"/>
  </r>
  <r>
    <x v="25"/>
    <s v="18-25"/>
    <n v="18"/>
    <s v="Male"/>
    <x v="0"/>
    <x v="0"/>
    <x v="25"/>
    <s v="Anthony Jones"/>
    <x v="25"/>
    <x v="1"/>
    <x v="25"/>
    <n v="433"/>
    <s v="Emergency"/>
    <d v="2019-02-25T00:00:00"/>
    <s v="Ibuprofen"/>
    <s v="Normal"/>
    <x v="0"/>
  </r>
  <r>
    <x v="26"/>
    <s v="26-35"/>
    <n v="35"/>
    <s v="Female"/>
    <x v="5"/>
    <x v="0"/>
    <x v="26"/>
    <s v="Jessica Daniels"/>
    <x v="26"/>
    <x v="2"/>
    <x v="26"/>
    <n v="483"/>
    <s v="Urgent"/>
    <d v="2019-03-06T00:00:00"/>
    <s v="Ibuprofen"/>
    <s v="Normal"/>
    <x v="9"/>
  </r>
  <r>
    <x v="27"/>
    <s v="66-75"/>
    <n v="68"/>
    <s v="Female"/>
    <x v="6"/>
    <x v="0"/>
    <x v="27"/>
    <s v="Lisa Bennett"/>
    <x v="27"/>
    <x v="1"/>
    <x v="27"/>
    <n v="138"/>
    <s v="Urgent"/>
    <d v="2020-07-27T00:00:00"/>
    <s v="Lipitor"/>
    <s v="Abnormal"/>
    <x v="1"/>
  </r>
  <r>
    <x v="28"/>
    <s v="56-65"/>
    <n v="62"/>
    <s v="Male"/>
    <x v="6"/>
    <x v="0"/>
    <x v="28"/>
    <s v="Russell Soto"/>
    <x v="28"/>
    <x v="0"/>
    <x v="28"/>
    <n v="455"/>
    <s v="Urgent"/>
    <d v="2019-11-13T00:00:00"/>
    <s v="Aspirin"/>
    <s v="Inconclusive"/>
    <x v="15"/>
  </r>
  <r>
    <x v="29"/>
    <s v="56-65"/>
    <n v="65"/>
    <s v="Male"/>
    <x v="7"/>
    <x v="0"/>
    <x v="29"/>
    <s v="Hunter Carter"/>
    <x v="29"/>
    <x v="2"/>
    <x v="29"/>
    <n v="261"/>
    <s v="Urgent"/>
    <d v="2020-04-03T00:00:00"/>
    <s v="Lipitor"/>
    <s v="Abnormal"/>
    <x v="16"/>
  </r>
  <r>
    <x v="30"/>
    <s v="26-35"/>
    <n v="26"/>
    <s v="Female"/>
    <x v="2"/>
    <x v="0"/>
    <x v="30"/>
    <s v="Terri Williams"/>
    <x v="30"/>
    <x v="4"/>
    <x v="30"/>
    <n v="430"/>
    <s v="Emergency"/>
    <d v="2021-04-07T00:00:00"/>
    <s v="Ibuprofen"/>
    <s v="Normal"/>
    <x v="12"/>
  </r>
  <r>
    <x v="31"/>
    <s v="36-45"/>
    <n v="45"/>
    <s v="Male"/>
    <x v="5"/>
    <x v="0"/>
    <x v="31"/>
    <s v="Rachel Jimenez"/>
    <x v="31"/>
    <x v="3"/>
    <x v="31"/>
    <n v="324"/>
    <s v="Urgent"/>
    <d v="2021-03-03T00:00:00"/>
    <s v="Lipitor"/>
    <s v="Abnormal"/>
    <x v="17"/>
  </r>
  <r>
    <x v="32"/>
    <s v="26-35"/>
    <n v="35"/>
    <s v="Female"/>
    <x v="7"/>
    <x v="0"/>
    <x v="32"/>
    <s v="Jared Marshall"/>
    <x v="32"/>
    <x v="3"/>
    <x v="32"/>
    <n v="500"/>
    <s v="Elective"/>
    <d v="2020-01-03T00:00:00"/>
    <s v="Penicillin"/>
    <s v="Abnormal"/>
    <x v="14"/>
  </r>
  <r>
    <x v="33"/>
    <s v="76-85"/>
    <n v="83"/>
    <s v="Male"/>
    <x v="0"/>
    <x v="0"/>
    <x v="33"/>
    <s v="Sherri Vaughn"/>
    <x v="5"/>
    <x v="2"/>
    <x v="33"/>
    <n v="465"/>
    <s v="Emergency"/>
    <d v="2021-11-03T00:00:00"/>
    <s v="Lipitor"/>
    <s v="Inconclusive"/>
    <x v="13"/>
  </r>
  <r>
    <x v="34"/>
    <s v="26-35"/>
    <n v="34"/>
    <s v="Male"/>
    <x v="6"/>
    <x v="0"/>
    <x v="34"/>
    <s v="Sandra Hogan"/>
    <x v="33"/>
    <x v="3"/>
    <x v="34"/>
    <n v="493"/>
    <s v="Emergency"/>
    <d v="2019-08-08T00:00:00"/>
    <s v="Ibuprofen"/>
    <s v="Inconclusive"/>
    <x v="14"/>
  </r>
  <r>
    <x v="35"/>
    <s v="18-25"/>
    <n v="23"/>
    <s v="Female"/>
    <x v="6"/>
    <x v="0"/>
    <x v="35"/>
    <s v="Mrs. Cheryl Gomez"/>
    <x v="34"/>
    <x v="2"/>
    <x v="35"/>
    <n v="355"/>
    <s v="Emergency"/>
    <d v="2019-07-26T00:00:00"/>
    <s v="Lipitor"/>
    <s v="Inconclusive"/>
    <x v="7"/>
  </r>
  <r>
    <x v="36"/>
    <s v="66-75"/>
    <n v="69"/>
    <s v="Male"/>
    <x v="7"/>
    <x v="0"/>
    <x v="36"/>
    <s v="Mrs. Lindsey Howell"/>
    <x v="35"/>
    <x v="1"/>
    <x v="36"/>
    <n v="384"/>
    <s v="Emergency"/>
    <d v="2021-11-04T00:00:00"/>
    <s v="Aspirin"/>
    <s v="Normal"/>
    <x v="10"/>
  </r>
  <r>
    <x v="37"/>
    <s v="46-55"/>
    <n v="51"/>
    <s v="Male"/>
    <x v="5"/>
    <x v="0"/>
    <x v="37"/>
    <s v="Alexandra Robbins"/>
    <x v="36"/>
    <x v="4"/>
    <x v="37"/>
    <n v="148"/>
    <s v="Urgent"/>
    <d v="2020-11-26T00:00:00"/>
    <s v="Aspirin"/>
    <s v="Inconclusive"/>
    <x v="10"/>
  </r>
  <r>
    <x v="38"/>
    <s v="76-85"/>
    <n v="79"/>
    <s v="Female"/>
    <x v="0"/>
    <x v="0"/>
    <x v="38"/>
    <s v="Jennifer Vasquez"/>
    <x v="37"/>
    <x v="3"/>
    <x v="38"/>
    <n v="220"/>
    <s v="Elective"/>
    <d v="2022-05-20T00:00:00"/>
    <s v="Paracetamol"/>
    <s v="Normal"/>
    <x v="1"/>
  </r>
  <r>
    <x v="39"/>
    <s v="56-65"/>
    <n v="57"/>
    <s v="Male"/>
    <x v="7"/>
    <x v="0"/>
    <x v="39"/>
    <s v="Lori Morton"/>
    <x v="38"/>
    <x v="0"/>
    <x v="39"/>
    <n v="111"/>
    <s v="Urgent"/>
    <d v="2023-07-15T00:00:00"/>
    <s v="Aspirin"/>
    <s v="Inconclusive"/>
    <x v="9"/>
  </r>
  <r>
    <x v="40"/>
    <s v="26-35"/>
    <n v="34"/>
    <s v="Male"/>
    <x v="5"/>
    <x v="0"/>
    <x v="40"/>
    <s v="Joseph Santiago"/>
    <x v="39"/>
    <x v="3"/>
    <x v="40"/>
    <n v="142"/>
    <s v="Elective"/>
    <d v="2023-09-15T00:00:00"/>
    <s v="Lipitor"/>
    <s v="Abnormal"/>
    <x v="3"/>
  </r>
  <r>
    <x v="41"/>
    <s v="36-45"/>
    <n v="45"/>
    <s v="Female"/>
    <x v="6"/>
    <x v="0"/>
    <x v="41"/>
    <s v="Nicholas Bailey"/>
    <x v="40"/>
    <x v="3"/>
    <x v="41"/>
    <n v="493"/>
    <s v="Emergency"/>
    <d v="2019-09-20T00:00:00"/>
    <s v="Ibuprofen"/>
    <s v="Inconclusive"/>
    <x v="11"/>
  </r>
  <r>
    <x v="42"/>
    <s v="76-85"/>
    <n v="80"/>
    <s v="Female"/>
    <x v="7"/>
    <x v="0"/>
    <x v="42"/>
    <s v="Holly Chan"/>
    <x v="41"/>
    <x v="3"/>
    <x v="42"/>
    <n v="445"/>
    <s v="Emergency"/>
    <d v="2022-11-24T00:00:00"/>
    <s v="Lipitor"/>
    <s v="Abnormal"/>
    <x v="12"/>
  </r>
  <r>
    <x v="43"/>
    <s v="26-35"/>
    <n v="34"/>
    <s v="Female"/>
    <x v="6"/>
    <x v="0"/>
    <x v="43"/>
    <s v="James May"/>
    <x v="42"/>
    <x v="0"/>
    <x v="43"/>
    <n v="268"/>
    <s v="Elective"/>
    <d v="2020-02-20T00:00:00"/>
    <s v="Penicillin"/>
    <s v="Inconclusive"/>
    <x v="11"/>
  </r>
  <r>
    <x v="44"/>
    <s v="76-85"/>
    <n v="79"/>
    <s v="Female"/>
    <x v="7"/>
    <x v="0"/>
    <x v="44"/>
    <s v="Ryan Castillo"/>
    <x v="43"/>
    <x v="0"/>
    <x v="44"/>
    <n v="175"/>
    <s v="Elective"/>
    <d v="2019-10-22T00:00:00"/>
    <s v="Ibuprofen"/>
    <s v="Abnormal"/>
    <x v="18"/>
  </r>
  <r>
    <x v="45"/>
    <s v="18-25"/>
    <n v="25"/>
    <s v="Female"/>
    <x v="3"/>
    <x v="0"/>
    <x v="45"/>
    <s v="Rebekah Cruz"/>
    <x v="44"/>
    <x v="0"/>
    <x v="45"/>
    <n v="452"/>
    <s v="Emergency"/>
    <d v="2021-09-01T00:00:00"/>
    <s v="Lipitor"/>
    <s v="Normal"/>
    <x v="14"/>
  </r>
  <r>
    <x v="46"/>
    <s v="56-65"/>
    <n v="59"/>
    <s v="Female"/>
    <x v="4"/>
    <x v="0"/>
    <x v="46"/>
    <s v="Chad Riley"/>
    <x v="45"/>
    <x v="4"/>
    <x v="46"/>
    <n v="493"/>
    <s v="Elective"/>
    <d v="2019-01-12T00:00:00"/>
    <s v="Paracetamol"/>
    <s v="Inconclusive"/>
    <x v="19"/>
  </r>
  <r>
    <x v="47"/>
    <s v="66-75"/>
    <n v="74"/>
    <s v="Male"/>
    <x v="4"/>
    <x v="0"/>
    <x v="47"/>
    <s v="Joseph Ortega"/>
    <x v="46"/>
    <x v="2"/>
    <x v="47"/>
    <n v="439"/>
    <s v="Emergency"/>
    <d v="2022-06-10T00:00:00"/>
    <s v="Paracetamol"/>
    <s v="Inconclusive"/>
    <x v="2"/>
  </r>
  <r>
    <x v="48"/>
    <s v="76-85"/>
    <n v="82"/>
    <s v="Female"/>
    <x v="6"/>
    <x v="0"/>
    <x v="48"/>
    <s v="John Leon"/>
    <x v="47"/>
    <x v="2"/>
    <x v="48"/>
    <n v="118"/>
    <s v="Elective"/>
    <d v="2021-07-04T00:00:00"/>
    <s v="Paracetamol"/>
    <s v="Abnormal"/>
    <x v="19"/>
  </r>
  <r>
    <x v="49"/>
    <s v="76-85"/>
    <n v="76"/>
    <s v="Female"/>
    <x v="2"/>
    <x v="0"/>
    <x v="18"/>
    <s v="Nancy Lewis"/>
    <x v="48"/>
    <x v="4"/>
    <x v="49"/>
    <n v="292"/>
    <s v="Elective"/>
    <d v="2021-06-19T00:00:00"/>
    <s v="Paracetamol"/>
    <s v="Inconclusive"/>
    <x v="19"/>
  </r>
  <r>
    <x v="50"/>
    <s v="56-65"/>
    <n v="56"/>
    <s v="Male"/>
    <x v="1"/>
    <x v="0"/>
    <x v="49"/>
    <s v="Andre Watson"/>
    <x v="49"/>
    <x v="1"/>
    <x v="50"/>
    <n v="332"/>
    <s v="Elective"/>
    <d v="2023-11-01T00:00:00"/>
    <s v="Aspirin"/>
    <s v="Normal"/>
    <x v="3"/>
  </r>
  <r>
    <x v="51"/>
    <s v="76-85"/>
    <n v="80"/>
    <s v="Female"/>
    <x v="3"/>
    <x v="0"/>
    <x v="50"/>
    <s v="Mindy Lindsey"/>
    <x v="50"/>
    <x v="0"/>
    <x v="51"/>
    <n v="471"/>
    <s v="Emergency"/>
    <d v="2020-09-07T00:00:00"/>
    <s v="Aspirin"/>
    <s v="Normal"/>
    <x v="20"/>
  </r>
  <r>
    <x v="52"/>
    <s v="26-35"/>
    <n v="26"/>
    <s v="Female"/>
    <x v="6"/>
    <x v="0"/>
    <x v="51"/>
    <s v="William Alexander"/>
    <x v="51"/>
    <x v="0"/>
    <x v="52"/>
    <n v="351"/>
    <s v="Emergency"/>
    <d v="2020-07-11T00:00:00"/>
    <s v="Ibuprofen"/>
    <s v="Normal"/>
    <x v="0"/>
  </r>
  <r>
    <x v="53"/>
    <s v="26-35"/>
    <n v="35"/>
    <s v="Male"/>
    <x v="1"/>
    <x v="0"/>
    <x v="52"/>
    <s v="Geoffrey Diaz"/>
    <x v="52"/>
    <x v="3"/>
    <x v="53"/>
    <n v="155"/>
    <s v="Urgent"/>
    <d v="2021-06-14T00:00:00"/>
    <s v="Aspirin"/>
    <s v="Abnormal"/>
    <x v="14"/>
  </r>
  <r>
    <x v="54"/>
    <s v="26-35"/>
    <n v="32"/>
    <s v="Female"/>
    <x v="2"/>
    <x v="0"/>
    <x v="53"/>
    <s v="Katie Erickson"/>
    <x v="53"/>
    <x v="2"/>
    <x v="54"/>
    <n v="207"/>
    <s v="Urgent"/>
    <d v="2023-03-18T00:00:00"/>
    <s v="Lipitor"/>
    <s v="Normal"/>
    <x v="20"/>
  </r>
  <r>
    <x v="55"/>
    <s v="66-75"/>
    <n v="71"/>
    <s v="Male"/>
    <x v="3"/>
    <x v="0"/>
    <x v="45"/>
    <s v="James Garza"/>
    <x v="54"/>
    <x v="1"/>
    <x v="55"/>
    <n v="162"/>
    <s v="Emergency"/>
    <d v="2021-09-15T00:00:00"/>
    <s v="Aspirin"/>
    <s v="Abnormal"/>
    <x v="19"/>
  </r>
  <r>
    <x v="56"/>
    <s v="56-65"/>
    <n v="59"/>
    <s v="Female"/>
    <x v="6"/>
    <x v="0"/>
    <x v="54"/>
    <s v="Angela Wright"/>
    <x v="55"/>
    <x v="4"/>
    <x v="56"/>
    <n v="336"/>
    <s v="Emergency"/>
    <d v="2020-08-22T00:00:00"/>
    <s v="Ibuprofen"/>
    <s v="Normal"/>
    <x v="21"/>
  </r>
  <r>
    <x v="57"/>
    <s v="66-75"/>
    <n v="71"/>
    <s v="Male"/>
    <x v="3"/>
    <x v="0"/>
    <x v="55"/>
    <s v="Sierra Graves"/>
    <x v="56"/>
    <x v="1"/>
    <x v="57"/>
    <n v="401"/>
    <s v="Emergency"/>
    <d v="2022-12-04T00:00:00"/>
    <s v="Ibuprofen"/>
    <s v="Normal"/>
    <x v="2"/>
  </r>
  <r>
    <x v="58"/>
    <s v="56-65"/>
    <n v="62"/>
    <s v="Female"/>
    <x v="6"/>
    <x v="0"/>
    <x v="56"/>
    <s v="Aaron Johnson"/>
    <x v="57"/>
    <x v="1"/>
    <x v="58"/>
    <n v="430"/>
    <s v="Emergency"/>
    <d v="2020-07-09T00:00:00"/>
    <s v="Ibuprofen"/>
    <s v="Normal"/>
    <x v="14"/>
  </r>
  <r>
    <x v="59"/>
    <s v="76-85"/>
    <n v="81"/>
    <s v="Female"/>
    <x v="5"/>
    <x v="0"/>
    <x v="57"/>
    <s v="David Williams"/>
    <x v="58"/>
    <x v="0"/>
    <x v="59"/>
    <n v="182"/>
    <s v="Urgent"/>
    <d v="2018-12-08T00:00:00"/>
    <s v="Aspirin"/>
    <s v="Inconclusive"/>
    <x v="4"/>
  </r>
  <r>
    <x v="60"/>
    <s v="56-65"/>
    <n v="63"/>
    <s v="Female"/>
    <x v="3"/>
    <x v="0"/>
    <x v="58"/>
    <s v="Jason Chase"/>
    <x v="59"/>
    <x v="3"/>
    <x v="60"/>
    <n v="443"/>
    <s v="Urgent"/>
    <d v="2023-04-25T00:00:00"/>
    <s v="Paracetamol"/>
    <s v="Abnormal"/>
    <x v="22"/>
  </r>
  <r>
    <x v="61"/>
    <s v="66-75"/>
    <n v="70"/>
    <s v="Male"/>
    <x v="2"/>
    <x v="0"/>
    <x v="59"/>
    <s v="Christopher Howard"/>
    <x v="60"/>
    <x v="1"/>
    <x v="61"/>
    <n v="478"/>
    <s v="Urgent"/>
    <d v="2020-12-17T00:00:00"/>
    <s v="Lipitor"/>
    <s v="Abnormal"/>
    <x v="16"/>
  </r>
  <r>
    <x v="62"/>
    <s v="36-45"/>
    <n v="36"/>
    <s v="Male"/>
    <x v="5"/>
    <x v="0"/>
    <x v="60"/>
    <s v="Mr. Aaron Chase"/>
    <x v="61"/>
    <x v="1"/>
    <x v="62"/>
    <n v="470"/>
    <s v="Elective"/>
    <d v="2023-04-03T00:00:00"/>
    <s v="Lipitor"/>
    <s v="Abnormal"/>
    <x v="4"/>
  </r>
  <r>
    <x v="63"/>
    <s v="76-85"/>
    <n v="80"/>
    <s v="Female"/>
    <x v="1"/>
    <x v="0"/>
    <x v="61"/>
    <s v="James Johnson"/>
    <x v="62"/>
    <x v="4"/>
    <x v="63"/>
    <n v="269"/>
    <s v="Urgent"/>
    <d v="2021-05-03T00:00:00"/>
    <s v="Aspirin"/>
    <s v="Inconclusive"/>
    <x v="0"/>
  </r>
  <r>
    <x v="64"/>
    <s v="56-65"/>
    <n v="58"/>
    <s v="Female"/>
    <x v="3"/>
    <x v="0"/>
    <x v="62"/>
    <s v="Michael Harris"/>
    <x v="63"/>
    <x v="2"/>
    <x v="64"/>
    <n v="266"/>
    <s v="Elective"/>
    <d v="2019-09-12T00:00:00"/>
    <s v="Penicillin"/>
    <s v="Inconclusive"/>
    <x v="13"/>
  </r>
  <r>
    <x v="65"/>
    <s v="76-85"/>
    <n v="80"/>
    <s v="Female"/>
    <x v="7"/>
    <x v="0"/>
    <x v="0"/>
    <s v="Carrie Ho"/>
    <x v="64"/>
    <x v="4"/>
    <x v="65"/>
    <n v="268"/>
    <s v="Emergency"/>
    <d v="2021-04-06T00:00:00"/>
    <s v="Penicillin"/>
    <s v="Normal"/>
    <x v="23"/>
  </r>
  <r>
    <x v="66"/>
    <s v="66-75"/>
    <n v="73"/>
    <s v="Male"/>
    <x v="4"/>
    <x v="0"/>
    <x v="63"/>
    <s v="Eric Sellers"/>
    <x v="65"/>
    <x v="0"/>
    <x v="66"/>
    <n v="347"/>
    <s v="Urgent"/>
    <d v="2019-10-22T00:00:00"/>
    <s v="Lipitor"/>
    <s v="Abnormal"/>
    <x v="24"/>
  </r>
  <r>
    <x v="67"/>
    <s v="76-85"/>
    <n v="82"/>
    <s v="Female"/>
    <x v="7"/>
    <x v="0"/>
    <x v="64"/>
    <s v="Victoria Myers"/>
    <x v="66"/>
    <x v="0"/>
    <x v="67"/>
    <n v="443"/>
    <s v="Urgent"/>
    <d v="2021-11-03T00:00:00"/>
    <s v="Aspirin"/>
    <s v="Inconclusive"/>
    <x v="1"/>
  </r>
  <r>
    <x v="68"/>
    <s v="36-45"/>
    <n v="45"/>
    <s v="Female"/>
    <x v="2"/>
    <x v="0"/>
    <x v="65"/>
    <s v="Misty Clark"/>
    <x v="67"/>
    <x v="3"/>
    <x v="68"/>
    <n v="414"/>
    <s v="Urgent"/>
    <d v="2022-08-13T00:00:00"/>
    <s v="Paracetamol"/>
    <s v="Inconclusive"/>
    <x v="15"/>
  </r>
  <r>
    <x v="69"/>
    <s v="76-85"/>
    <n v="84"/>
    <s v="Female"/>
    <x v="0"/>
    <x v="0"/>
    <x v="66"/>
    <s v="Jessica Rodriguez"/>
    <x v="68"/>
    <x v="1"/>
    <x v="69"/>
    <n v="407"/>
    <s v="Elective"/>
    <d v="2021-11-21T00:00:00"/>
    <s v="Paracetamol"/>
    <s v="Normal"/>
    <x v="10"/>
  </r>
  <r>
    <x v="70"/>
    <s v="56-65"/>
    <n v="60"/>
    <s v="Male"/>
    <x v="7"/>
    <x v="0"/>
    <x v="67"/>
    <s v="Timothy Hoffman"/>
    <x v="69"/>
    <x v="4"/>
    <x v="70"/>
    <n v="139"/>
    <s v="Urgent"/>
    <d v="2019-08-16T00:00:00"/>
    <s v="Aspirin"/>
    <s v="Abnormal"/>
    <x v="10"/>
  </r>
  <r>
    <x v="71"/>
    <s v="66-75"/>
    <n v="69"/>
    <s v="Female"/>
    <x v="6"/>
    <x v="0"/>
    <x v="68"/>
    <s v="Adrian Terry"/>
    <x v="70"/>
    <x v="4"/>
    <x v="71"/>
    <n v="356"/>
    <s v="Emergency"/>
    <d v="2021-01-26T00:00:00"/>
    <s v="Penicillin"/>
    <s v="Abnormal"/>
    <x v="9"/>
  </r>
  <r>
    <x v="72"/>
    <s v="76-85"/>
    <n v="78"/>
    <s v="Female"/>
    <x v="7"/>
    <x v="0"/>
    <x v="69"/>
    <s v="Donna Williams"/>
    <x v="71"/>
    <x v="0"/>
    <x v="72"/>
    <n v="500"/>
    <s v="Urgent"/>
    <d v="2019-07-26T00:00:00"/>
    <s v="Penicillin"/>
    <s v="Normal"/>
    <x v="25"/>
  </r>
  <r>
    <x v="73"/>
    <s v="66-75"/>
    <n v="71"/>
    <s v="Female"/>
    <x v="5"/>
    <x v="0"/>
    <x v="70"/>
    <s v="Jordan Lutz"/>
    <x v="72"/>
    <x v="0"/>
    <x v="73"/>
    <n v="447"/>
    <s v="Emergency"/>
    <d v="2021-06-20T00:00:00"/>
    <s v="Lipitor"/>
    <s v="Inconclusive"/>
    <x v="26"/>
  </r>
  <r>
    <x v="74"/>
    <s v="76-85"/>
    <n v="82"/>
    <s v="Female"/>
    <x v="2"/>
    <x v="0"/>
    <x v="71"/>
    <s v="Samuel Sutton"/>
    <x v="73"/>
    <x v="4"/>
    <x v="74"/>
    <n v="222"/>
    <s v="Emergency"/>
    <d v="2019-04-18T00:00:00"/>
    <s v="Ibuprofen"/>
    <s v="Normal"/>
    <x v="3"/>
  </r>
  <r>
    <x v="75"/>
    <s v="76-85"/>
    <n v="76"/>
    <s v="Female"/>
    <x v="3"/>
    <x v="0"/>
    <x v="72"/>
    <s v="Sydney Brown"/>
    <x v="74"/>
    <x v="0"/>
    <x v="75"/>
    <n v="184"/>
    <s v="Emergency"/>
    <d v="2022-04-07T00:00:00"/>
    <s v="Ibuprofen"/>
    <s v="Inconclusive"/>
    <x v="9"/>
  </r>
  <r>
    <x v="76"/>
    <s v="56-65"/>
    <n v="56"/>
    <s v="Female"/>
    <x v="2"/>
    <x v="0"/>
    <x v="73"/>
    <s v="Angelica Houston"/>
    <x v="75"/>
    <x v="1"/>
    <x v="76"/>
    <n v="500"/>
    <s v="Elective"/>
    <d v="2021-10-26T00:00:00"/>
    <s v="Penicillin"/>
    <s v="Inconclusive"/>
    <x v="19"/>
  </r>
  <r>
    <x v="77"/>
    <s v="46-55"/>
    <n v="51"/>
    <s v="Female"/>
    <x v="3"/>
    <x v="0"/>
    <x v="74"/>
    <s v="Allison Mendoza"/>
    <x v="76"/>
    <x v="0"/>
    <x v="77"/>
    <n v="232"/>
    <s v="Urgent"/>
    <d v="2020-10-01T00:00:00"/>
    <s v="Aspirin"/>
    <s v="Inconclusive"/>
    <x v="19"/>
  </r>
  <r>
    <x v="78"/>
    <s v="56-65"/>
    <n v="60"/>
    <s v="Female"/>
    <x v="2"/>
    <x v="0"/>
    <x v="75"/>
    <s v="Nancy Smith"/>
    <x v="77"/>
    <x v="0"/>
    <x v="78"/>
    <n v="126"/>
    <s v="Emergency"/>
    <d v="2019-12-09T00:00:00"/>
    <s v="Lipitor"/>
    <s v="Abnormal"/>
    <x v="7"/>
  </r>
  <r>
    <x v="79"/>
    <s v="76-85"/>
    <n v="85"/>
    <s v="Male"/>
    <x v="3"/>
    <x v="0"/>
    <x v="76"/>
    <s v="Joshua Blackwell"/>
    <x v="78"/>
    <x v="1"/>
    <x v="79"/>
    <n v="108"/>
    <s v="Emergency"/>
    <d v="2019-07-15T00:00:00"/>
    <s v="Lipitor"/>
    <s v="Inconclusive"/>
    <x v="27"/>
  </r>
  <r>
    <x v="80"/>
    <s v="36-45"/>
    <n v="40"/>
    <s v="Female"/>
    <x v="3"/>
    <x v="0"/>
    <x v="77"/>
    <s v="Mary Wagner"/>
    <x v="79"/>
    <x v="0"/>
    <x v="80"/>
    <n v="497"/>
    <s v="Emergency"/>
    <d v="2019-11-06T00:00:00"/>
    <s v="Paracetamol"/>
    <s v="Normal"/>
    <x v="28"/>
  </r>
  <r>
    <x v="81"/>
    <s v="26-35"/>
    <n v="33"/>
    <s v="Female"/>
    <x v="1"/>
    <x v="0"/>
    <x v="78"/>
    <s v="Cassidy Williams"/>
    <x v="80"/>
    <x v="0"/>
    <x v="81"/>
    <n v="130"/>
    <s v="Elective"/>
    <d v="2022-03-24T00:00:00"/>
    <s v="Penicillin"/>
    <s v="Normal"/>
    <x v="14"/>
  </r>
  <r>
    <x v="82"/>
    <s v="36-45"/>
    <n v="43"/>
    <s v="Female"/>
    <x v="7"/>
    <x v="0"/>
    <x v="79"/>
    <s v="Judy Carlson"/>
    <x v="81"/>
    <x v="3"/>
    <x v="82"/>
    <n v="350"/>
    <s v="Urgent"/>
    <d v="2023-05-04T00:00:00"/>
    <s v="Aspirin"/>
    <s v="Abnormal"/>
    <x v="10"/>
  </r>
  <r>
    <x v="83"/>
    <s v="56-65"/>
    <n v="63"/>
    <s v="Female"/>
    <x v="6"/>
    <x v="0"/>
    <x v="80"/>
    <s v="Sheri Mclean"/>
    <x v="82"/>
    <x v="0"/>
    <x v="83"/>
    <n v="497"/>
    <s v="Urgent"/>
    <d v="2021-03-15T00:00:00"/>
    <s v="Penicillin"/>
    <s v="Normal"/>
    <x v="22"/>
  </r>
  <r>
    <x v="84"/>
    <s v="18-25"/>
    <n v="23"/>
    <s v="Female"/>
    <x v="2"/>
    <x v="0"/>
    <x v="81"/>
    <s v="Mark Watkins"/>
    <x v="83"/>
    <x v="4"/>
    <x v="84"/>
    <n v="133"/>
    <s v="Elective"/>
    <d v="2019-05-13T00:00:00"/>
    <s v="Lipitor"/>
    <s v="Abnormal"/>
    <x v="10"/>
  </r>
  <r>
    <x v="85"/>
    <s v="56-65"/>
    <n v="56"/>
    <s v="Male"/>
    <x v="7"/>
    <x v="0"/>
    <x v="82"/>
    <s v="Michael Evans"/>
    <x v="84"/>
    <x v="2"/>
    <x v="85"/>
    <n v="199"/>
    <s v="Urgent"/>
    <d v="2022-10-31T00:00:00"/>
    <s v="Penicillin"/>
    <s v="Inconclusive"/>
    <x v="14"/>
  </r>
  <r>
    <x v="86"/>
    <s v="26-35"/>
    <n v="26"/>
    <s v="Female"/>
    <x v="7"/>
    <x v="0"/>
    <x v="83"/>
    <s v="Elizabeth Clark DDS"/>
    <x v="85"/>
    <x v="4"/>
    <x v="86"/>
    <n v="111"/>
    <s v="Emergency"/>
    <d v="2018-12-28T00:00:00"/>
    <s v="Aspirin"/>
    <s v="Inconclusive"/>
    <x v="25"/>
  </r>
  <r>
    <x v="87"/>
    <s v="46-55"/>
    <n v="48"/>
    <s v="Female"/>
    <x v="4"/>
    <x v="0"/>
    <x v="84"/>
    <s v="Melissa Kelley"/>
    <x v="86"/>
    <x v="1"/>
    <x v="87"/>
    <n v="412"/>
    <s v="Elective"/>
    <d v="2022-11-04T00:00:00"/>
    <s v="Penicillin"/>
    <s v="Abnormal"/>
    <x v="22"/>
  </r>
  <r>
    <x v="88"/>
    <s v="18-25"/>
    <n v="18"/>
    <s v="Male"/>
    <x v="5"/>
    <x v="0"/>
    <x v="85"/>
    <s v="Rebecca Ortiz"/>
    <x v="87"/>
    <x v="4"/>
    <x v="88"/>
    <n v="230"/>
    <s v="Elective"/>
    <d v="2023-01-11T00:00:00"/>
    <s v="Ibuprofen"/>
    <s v="Inconclusive"/>
    <x v="12"/>
  </r>
  <r>
    <x v="89"/>
    <s v="26-35"/>
    <n v="33"/>
    <s v="Female"/>
    <x v="7"/>
    <x v="0"/>
    <x v="86"/>
    <s v="Stephanie Smith"/>
    <x v="88"/>
    <x v="1"/>
    <x v="89"/>
    <n v="262"/>
    <s v="Urgent"/>
    <d v="2020-12-13T00:00:00"/>
    <s v="Aspirin"/>
    <s v="Abnormal"/>
    <x v="23"/>
  </r>
  <r>
    <x v="90"/>
    <s v="26-35"/>
    <n v="33"/>
    <s v="Male"/>
    <x v="0"/>
    <x v="0"/>
    <x v="87"/>
    <s v="Mr. Samuel Burgess"/>
    <x v="89"/>
    <x v="4"/>
    <x v="90"/>
    <n v="436"/>
    <s v="Emergency"/>
    <d v="2023-07-08T00:00:00"/>
    <s v="Lipitor"/>
    <s v="Abnormal"/>
    <x v="10"/>
  </r>
  <r>
    <x v="91"/>
    <s v="56-65"/>
    <n v="56"/>
    <s v="Male"/>
    <x v="0"/>
    <x v="0"/>
    <x v="88"/>
    <s v="Robert Hanson"/>
    <x v="90"/>
    <x v="4"/>
    <x v="91"/>
    <n v="185"/>
    <s v="Emergency"/>
    <d v="2020-09-11T00:00:00"/>
    <s v="Penicillin"/>
    <s v="Normal"/>
    <x v="5"/>
  </r>
  <r>
    <x v="92"/>
    <s v="26-35"/>
    <n v="32"/>
    <s v="Male"/>
    <x v="3"/>
    <x v="0"/>
    <x v="89"/>
    <s v="Aaron Burnett"/>
    <x v="91"/>
    <x v="3"/>
    <x v="92"/>
    <n v="405"/>
    <s v="Emergency"/>
    <d v="2020-06-04T00:00:00"/>
    <s v="Lipitor"/>
    <s v="Abnormal"/>
    <x v="29"/>
  </r>
  <r>
    <x v="93"/>
    <s v="46-55"/>
    <n v="52"/>
    <s v="Male"/>
    <x v="4"/>
    <x v="0"/>
    <x v="90"/>
    <s v="Austin Alvarado"/>
    <x v="92"/>
    <x v="4"/>
    <x v="93"/>
    <n v="120"/>
    <s v="Emergency"/>
    <d v="2021-11-28T00:00:00"/>
    <s v="Penicillin"/>
    <s v="Abnormal"/>
    <x v="0"/>
  </r>
  <r>
    <x v="94"/>
    <s v="46-55"/>
    <n v="52"/>
    <s v="Male"/>
    <x v="1"/>
    <x v="0"/>
    <x v="91"/>
    <s v="Jennifer Newton"/>
    <x v="93"/>
    <x v="0"/>
    <x v="94"/>
    <n v="432"/>
    <s v="Emergency"/>
    <d v="2019-07-21T00:00:00"/>
    <s v="Ibuprofen"/>
    <s v="Normal"/>
    <x v="7"/>
  </r>
  <r>
    <x v="95"/>
    <s v="18-25"/>
    <n v="19"/>
    <s v="Male"/>
    <x v="1"/>
    <x v="0"/>
    <x v="92"/>
    <s v="Adrian Pierce"/>
    <x v="94"/>
    <x v="3"/>
    <x v="95"/>
    <n v="303"/>
    <s v="Emergency"/>
    <d v="2021-07-29T00:00:00"/>
    <s v="Ibuprofen"/>
    <s v="Normal"/>
    <x v="12"/>
  </r>
  <r>
    <x v="96"/>
    <s v="66-75"/>
    <n v="71"/>
    <s v="Male"/>
    <x v="5"/>
    <x v="0"/>
    <x v="93"/>
    <s v="Beverly Carlson"/>
    <x v="95"/>
    <x v="4"/>
    <x v="96"/>
    <n v="413"/>
    <s v="Emergency"/>
    <d v="2020-08-11T00:00:00"/>
    <s v="Penicillin"/>
    <s v="Normal"/>
    <x v="15"/>
  </r>
  <r>
    <x v="97"/>
    <s v="66-75"/>
    <n v="69"/>
    <s v="Female"/>
    <x v="1"/>
    <x v="0"/>
    <x v="94"/>
    <s v="Brenda Lawson"/>
    <x v="96"/>
    <x v="4"/>
    <x v="97"/>
    <n v="337"/>
    <s v="Elective"/>
    <d v="2018-11-25T00:00:00"/>
    <s v="Penicillin"/>
    <s v="Inconclusive"/>
    <x v="9"/>
  </r>
  <r>
    <x v="98"/>
    <s v="56-65"/>
    <n v="63"/>
    <s v="Female"/>
    <x v="5"/>
    <x v="0"/>
    <x v="95"/>
    <s v="Nathaniel Wilson"/>
    <x v="97"/>
    <x v="0"/>
    <x v="98"/>
    <n v="445"/>
    <s v="Urgent"/>
    <d v="2019-02-08T00:00:00"/>
    <s v="Aspirin"/>
    <s v="Abnormal"/>
    <x v="14"/>
  </r>
  <r>
    <x v="99"/>
    <s v="18-25"/>
    <n v="20"/>
    <s v="Female"/>
    <x v="2"/>
    <x v="0"/>
    <x v="96"/>
    <s v="William Hart"/>
    <x v="98"/>
    <x v="2"/>
    <x v="99"/>
    <n v="460"/>
    <s v="Urgent"/>
    <d v="2019-03-26T00:00:00"/>
    <s v="Paracetamol"/>
    <s v="Inconclusive"/>
    <x v="19"/>
  </r>
  <r>
    <x v="100"/>
    <s v="26-35"/>
    <n v="26"/>
    <s v="Male"/>
    <x v="0"/>
    <x v="0"/>
    <x v="97"/>
    <s v="Amy Williams"/>
    <x v="99"/>
    <x v="4"/>
    <x v="100"/>
    <n v="401"/>
    <s v="Urgent"/>
    <d v="2019-09-07T00:00:00"/>
    <s v="Aspirin"/>
    <s v="Inconclusive"/>
    <x v="15"/>
  </r>
  <r>
    <x v="101"/>
    <s v="26-35"/>
    <n v="32"/>
    <s v="Female"/>
    <x v="7"/>
    <x v="0"/>
    <x v="98"/>
    <s v="Ryan Cline"/>
    <x v="100"/>
    <x v="3"/>
    <x v="101"/>
    <n v="209"/>
    <s v="Urgent"/>
    <d v="2020-10-14T00:00:00"/>
    <s v="Aspirin"/>
    <s v="Normal"/>
    <x v="18"/>
  </r>
  <r>
    <x v="102"/>
    <s v="36-45"/>
    <n v="38"/>
    <s v="Male"/>
    <x v="2"/>
    <x v="0"/>
    <x v="99"/>
    <s v="Sarah Mcneil"/>
    <x v="101"/>
    <x v="3"/>
    <x v="102"/>
    <n v="233"/>
    <s v="Elective"/>
    <d v="2021-05-22T00:00:00"/>
    <s v="Aspirin"/>
    <s v="Abnormal"/>
    <x v="6"/>
  </r>
  <r>
    <x v="103"/>
    <s v="76-85"/>
    <n v="79"/>
    <s v="Female"/>
    <x v="3"/>
    <x v="0"/>
    <x v="100"/>
    <s v="Gene Goodman"/>
    <x v="102"/>
    <x v="3"/>
    <x v="103"/>
    <n v="379"/>
    <s v="Emergency"/>
    <d v="2022-06-13T00:00:00"/>
    <s v="Aspirin"/>
    <s v="Inconclusive"/>
    <x v="24"/>
  </r>
  <r>
    <x v="104"/>
    <s v="46-55"/>
    <n v="52"/>
    <s v="Female"/>
    <x v="2"/>
    <x v="0"/>
    <x v="64"/>
    <s v="Zachary Fuentes"/>
    <x v="103"/>
    <x v="1"/>
    <x v="104"/>
    <n v="444"/>
    <s v="Elective"/>
    <d v="2021-10-23T00:00:00"/>
    <s v="Paracetamol"/>
    <s v="Abnormal"/>
    <x v="9"/>
  </r>
  <r>
    <x v="105"/>
    <s v="18-25"/>
    <n v="23"/>
    <s v="Male"/>
    <x v="0"/>
    <x v="0"/>
    <x v="101"/>
    <s v="Mark Hill"/>
    <x v="104"/>
    <x v="4"/>
    <x v="105"/>
    <n v="110"/>
    <s v="Urgent"/>
    <d v="2019-04-08T00:00:00"/>
    <s v="Penicillin"/>
    <s v="Inconclusive"/>
    <x v="15"/>
  </r>
  <r>
    <x v="106"/>
    <s v="56-65"/>
    <n v="61"/>
    <s v="Male"/>
    <x v="2"/>
    <x v="0"/>
    <x v="102"/>
    <s v="Tim Bauer"/>
    <x v="105"/>
    <x v="2"/>
    <x v="106"/>
    <n v="437"/>
    <s v="Urgent"/>
    <d v="2021-12-12T00:00:00"/>
    <s v="Penicillin"/>
    <s v="Normal"/>
    <x v="15"/>
  </r>
  <r>
    <x v="107"/>
    <s v="26-35"/>
    <n v="33"/>
    <s v="Female"/>
    <x v="0"/>
    <x v="0"/>
    <x v="103"/>
    <s v="Mike Allen"/>
    <x v="106"/>
    <x v="4"/>
    <x v="107"/>
    <n v="424"/>
    <s v="Emergency"/>
    <d v="2021-05-16T00:00:00"/>
    <s v="Lipitor"/>
    <s v="Inconclusive"/>
    <x v="16"/>
  </r>
  <r>
    <x v="108"/>
    <s v="46-55"/>
    <n v="51"/>
    <s v="Male"/>
    <x v="0"/>
    <x v="0"/>
    <x v="104"/>
    <s v="Dustin Griffin"/>
    <x v="107"/>
    <x v="4"/>
    <x v="108"/>
    <n v="477"/>
    <s v="Urgent"/>
    <d v="2021-08-02T00:00:00"/>
    <s v="Paracetamol"/>
    <s v="Normal"/>
    <x v="20"/>
  </r>
  <r>
    <x v="109"/>
    <s v="26-35"/>
    <n v="35"/>
    <s v="Female"/>
    <x v="5"/>
    <x v="0"/>
    <x v="105"/>
    <s v="Charles Medina"/>
    <x v="108"/>
    <x v="3"/>
    <x v="109"/>
    <n v="289"/>
    <s v="Elective"/>
    <d v="2022-11-24T00:00:00"/>
    <s v="Ibuprofen"/>
    <s v="Abnormal"/>
    <x v="17"/>
  </r>
  <r>
    <x v="110"/>
    <s v="46-55"/>
    <n v="54"/>
    <s v="Female"/>
    <x v="0"/>
    <x v="0"/>
    <x v="106"/>
    <s v="Gina Beasley"/>
    <x v="109"/>
    <x v="0"/>
    <x v="110"/>
    <n v="265"/>
    <s v="Urgent"/>
    <d v="2021-09-22T00:00:00"/>
    <s v="Lipitor"/>
    <s v="Abnormal"/>
    <x v="12"/>
  </r>
  <r>
    <x v="111"/>
    <s v="18-25"/>
    <n v="19"/>
    <s v="Male"/>
    <x v="6"/>
    <x v="0"/>
    <x v="107"/>
    <s v="Robert Fisher"/>
    <x v="110"/>
    <x v="4"/>
    <x v="111"/>
    <n v="416"/>
    <s v="Emergency"/>
    <d v="2021-07-18T00:00:00"/>
    <s v="Aspirin"/>
    <s v="Inconclusive"/>
    <x v="24"/>
  </r>
  <r>
    <x v="112"/>
    <s v="76-85"/>
    <n v="78"/>
    <s v="Female"/>
    <x v="1"/>
    <x v="0"/>
    <x v="108"/>
    <s v="Deborah Adams"/>
    <x v="111"/>
    <x v="0"/>
    <x v="112"/>
    <n v="487"/>
    <s v="Urgent"/>
    <d v="2020-02-22T00:00:00"/>
    <s v="Penicillin"/>
    <s v="Abnormal"/>
    <x v="4"/>
  </r>
  <r>
    <x v="113"/>
    <s v="56-65"/>
    <n v="56"/>
    <s v="Male"/>
    <x v="7"/>
    <x v="0"/>
    <x v="109"/>
    <s v="Debbie Fisher"/>
    <x v="112"/>
    <x v="0"/>
    <x v="113"/>
    <n v="338"/>
    <s v="Elective"/>
    <d v="2021-09-09T00:00:00"/>
    <s v="Aspirin"/>
    <s v="Normal"/>
    <x v="6"/>
  </r>
  <r>
    <x v="114"/>
    <s v="56-65"/>
    <n v="65"/>
    <s v="Female"/>
    <x v="5"/>
    <x v="0"/>
    <x v="110"/>
    <s v="Justin Lynch"/>
    <x v="113"/>
    <x v="4"/>
    <x v="114"/>
    <n v="123"/>
    <s v="Elective"/>
    <d v="2023-02-11T00:00:00"/>
    <s v="Aspirin"/>
    <s v="Abnormal"/>
    <x v="25"/>
  </r>
  <r>
    <x v="115"/>
    <s v="56-65"/>
    <n v="60"/>
    <s v="Male"/>
    <x v="3"/>
    <x v="0"/>
    <x v="111"/>
    <s v="Leon Price"/>
    <x v="114"/>
    <x v="3"/>
    <x v="115"/>
    <n v="132"/>
    <s v="Elective"/>
    <d v="2022-12-08T00:00:00"/>
    <s v="Penicillin"/>
    <s v="Abnormal"/>
    <x v="14"/>
  </r>
  <r>
    <x v="116"/>
    <s v="66-75"/>
    <n v="74"/>
    <s v="Male"/>
    <x v="5"/>
    <x v="0"/>
    <x v="112"/>
    <s v="Xavier Wright"/>
    <x v="115"/>
    <x v="0"/>
    <x v="116"/>
    <n v="443"/>
    <s v="Emergency"/>
    <d v="2023-08-30T00:00:00"/>
    <s v="Penicillin"/>
    <s v="Inconclusive"/>
    <x v="8"/>
  </r>
  <r>
    <x v="117"/>
    <s v="76-85"/>
    <n v="83"/>
    <s v="Female"/>
    <x v="4"/>
    <x v="0"/>
    <x v="113"/>
    <s v="David Jennings"/>
    <x v="116"/>
    <x v="1"/>
    <x v="117"/>
    <n v="287"/>
    <s v="Elective"/>
    <d v="2020-09-21T00:00:00"/>
    <s v="Paracetamol"/>
    <s v="Normal"/>
    <x v="19"/>
  </r>
  <r>
    <x v="118"/>
    <s v="36-45"/>
    <n v="36"/>
    <s v="Female"/>
    <x v="5"/>
    <x v="0"/>
    <x v="114"/>
    <s v="Sylvia Avery"/>
    <x v="117"/>
    <x v="2"/>
    <x v="118"/>
    <n v="244"/>
    <s v="Elective"/>
    <d v="2021-06-26T00:00:00"/>
    <s v="Paracetamol"/>
    <s v="Inconclusive"/>
    <x v="2"/>
  </r>
  <r>
    <x v="119"/>
    <s v="18-25"/>
    <n v="20"/>
    <s v="Female"/>
    <x v="1"/>
    <x v="0"/>
    <x v="115"/>
    <s v="Claudia Davis"/>
    <x v="118"/>
    <x v="3"/>
    <x v="119"/>
    <n v="157"/>
    <s v="Emergency"/>
    <d v="2019-11-08T00:00:00"/>
    <s v="Ibuprofen"/>
    <s v="Abnormal"/>
    <x v="15"/>
  </r>
  <r>
    <x v="120"/>
    <s v="36-45"/>
    <n v="41"/>
    <s v="Male"/>
    <x v="5"/>
    <x v="0"/>
    <x v="54"/>
    <s v="Robin Green"/>
    <x v="119"/>
    <x v="1"/>
    <x v="120"/>
    <n v="180"/>
    <s v="Urgent"/>
    <d v="2020-08-23T00:00:00"/>
    <s v="Aspirin"/>
    <s v="Abnormal"/>
    <x v="2"/>
  </r>
  <r>
    <x v="121"/>
    <s v="56-65"/>
    <n v="62"/>
    <s v="Female"/>
    <x v="4"/>
    <x v="0"/>
    <x v="116"/>
    <s v="Ronnie Hernandez"/>
    <x v="120"/>
    <x v="0"/>
    <x v="121"/>
    <n v="482"/>
    <s v="Emergency"/>
    <d v="2020-11-27T00:00:00"/>
    <s v="Penicillin"/>
    <s v="Normal"/>
    <x v="13"/>
  </r>
  <r>
    <x v="122"/>
    <s v="46-55"/>
    <n v="55"/>
    <s v="Female"/>
    <x v="0"/>
    <x v="0"/>
    <x v="117"/>
    <s v="Brian Kennedy"/>
    <x v="121"/>
    <x v="3"/>
    <x v="122"/>
    <n v="384"/>
    <s v="Elective"/>
    <d v="2019-06-02T00:00:00"/>
    <s v="Aspirin"/>
    <s v="Normal"/>
    <x v="26"/>
  </r>
  <r>
    <x v="123"/>
    <s v="66-75"/>
    <n v="66"/>
    <s v="Female"/>
    <x v="6"/>
    <x v="0"/>
    <x v="118"/>
    <s v="David Davis"/>
    <x v="122"/>
    <x v="0"/>
    <x v="123"/>
    <n v="344"/>
    <s v="Urgent"/>
    <d v="2022-04-04T00:00:00"/>
    <s v="Lipitor"/>
    <s v="Normal"/>
    <x v="5"/>
  </r>
  <r>
    <x v="124"/>
    <s v="76-85"/>
    <n v="76"/>
    <s v="Male"/>
    <x v="3"/>
    <x v="0"/>
    <x v="119"/>
    <s v="Zachary Rogers"/>
    <x v="123"/>
    <x v="4"/>
    <x v="124"/>
    <n v="400"/>
    <s v="Elective"/>
    <d v="2023-01-25T00:00:00"/>
    <s v="Lipitor"/>
    <s v="Abnormal"/>
    <x v="16"/>
  </r>
  <r>
    <x v="125"/>
    <s v="56-65"/>
    <n v="65"/>
    <s v="Female"/>
    <x v="6"/>
    <x v="0"/>
    <x v="120"/>
    <s v="Alexis Reeves"/>
    <x v="124"/>
    <x v="1"/>
    <x v="125"/>
    <n v="244"/>
    <s v="Emergency"/>
    <d v="2022-01-18T00:00:00"/>
    <s v="Paracetamol"/>
    <s v="Normal"/>
    <x v="4"/>
  </r>
  <r>
    <x v="126"/>
    <s v="36-45"/>
    <n v="44"/>
    <s v="Male"/>
    <x v="2"/>
    <x v="0"/>
    <x v="121"/>
    <s v="Monique Meyer"/>
    <x v="125"/>
    <x v="1"/>
    <x v="126"/>
    <n v="425"/>
    <s v="Elective"/>
    <d v="2019-02-27T00:00:00"/>
    <s v="Paracetamol"/>
    <s v="Inconclusive"/>
    <x v="5"/>
  </r>
  <r>
    <x v="127"/>
    <s v="76-85"/>
    <n v="77"/>
    <s v="Male"/>
    <x v="4"/>
    <x v="0"/>
    <x v="122"/>
    <s v="Mr. Eric Smith"/>
    <x v="126"/>
    <x v="3"/>
    <x v="127"/>
    <n v="280"/>
    <s v="Elective"/>
    <d v="2021-04-07T00:00:00"/>
    <s v="Penicillin"/>
    <s v="Normal"/>
    <x v="9"/>
  </r>
  <r>
    <x v="128"/>
    <s v="36-45"/>
    <n v="37"/>
    <s v="Female"/>
    <x v="2"/>
    <x v="0"/>
    <x v="123"/>
    <s v="Gregory Smith"/>
    <x v="127"/>
    <x v="2"/>
    <x v="128"/>
    <n v="419"/>
    <s v="Elective"/>
    <d v="2022-09-25T00:00:00"/>
    <s v="Aspirin"/>
    <s v="Abnormal"/>
    <x v="16"/>
  </r>
  <r>
    <x v="129"/>
    <s v="36-45"/>
    <n v="42"/>
    <s v="Female"/>
    <x v="6"/>
    <x v="0"/>
    <x v="124"/>
    <s v="Carla Sanchez"/>
    <x v="128"/>
    <x v="4"/>
    <x v="129"/>
    <n v="418"/>
    <s v="Emergency"/>
    <d v="2023-09-01T00:00:00"/>
    <s v="Penicillin"/>
    <s v="Normal"/>
    <x v="3"/>
  </r>
  <r>
    <x v="130"/>
    <s v="36-45"/>
    <n v="40"/>
    <s v="Female"/>
    <x v="5"/>
    <x v="0"/>
    <x v="125"/>
    <s v="Carl Rivera"/>
    <x v="129"/>
    <x v="4"/>
    <x v="130"/>
    <n v="238"/>
    <s v="Emergency"/>
    <d v="2020-08-05T00:00:00"/>
    <s v="Penicillin"/>
    <s v="Abnormal"/>
    <x v="4"/>
  </r>
  <r>
    <x v="131"/>
    <s v="76-85"/>
    <n v="80"/>
    <s v="Male"/>
    <x v="0"/>
    <x v="0"/>
    <x v="126"/>
    <s v="Zachary Horton DDS"/>
    <x v="130"/>
    <x v="3"/>
    <x v="131"/>
    <n v="366"/>
    <s v="Emergency"/>
    <d v="2019-08-07T00:00:00"/>
    <s v="Ibuprofen"/>
    <s v="Inconclusive"/>
    <x v="29"/>
  </r>
  <r>
    <x v="132"/>
    <s v="46-55"/>
    <n v="48"/>
    <s v="Female"/>
    <x v="3"/>
    <x v="0"/>
    <x v="127"/>
    <s v="Jerry Cruz"/>
    <x v="131"/>
    <x v="2"/>
    <x v="132"/>
    <n v="154"/>
    <s v="Elective"/>
    <d v="2022-05-05T00:00:00"/>
    <s v="Aspirin"/>
    <s v="Normal"/>
    <x v="19"/>
  </r>
  <r>
    <x v="133"/>
    <s v="46-55"/>
    <n v="47"/>
    <s v="Male"/>
    <x v="5"/>
    <x v="0"/>
    <x v="128"/>
    <s v="Richard Harris"/>
    <x v="132"/>
    <x v="0"/>
    <x v="133"/>
    <n v="136"/>
    <s v="Emergency"/>
    <d v="2020-04-22T00:00:00"/>
    <s v="Aspirin"/>
    <s v="Inconclusive"/>
    <x v="4"/>
  </r>
  <r>
    <x v="134"/>
    <s v="26-35"/>
    <n v="27"/>
    <s v="Male"/>
    <x v="6"/>
    <x v="0"/>
    <x v="129"/>
    <s v="Ashley Sherman"/>
    <x v="133"/>
    <x v="4"/>
    <x v="134"/>
    <n v="141"/>
    <s v="Urgent"/>
    <d v="2018-12-15T00:00:00"/>
    <s v="Ibuprofen"/>
    <s v="Abnormal"/>
    <x v="9"/>
  </r>
  <r>
    <x v="135"/>
    <s v="56-65"/>
    <n v="57"/>
    <s v="Male"/>
    <x v="0"/>
    <x v="0"/>
    <x v="130"/>
    <s v="Dawn Alvarez"/>
    <x v="134"/>
    <x v="0"/>
    <x v="135"/>
    <n v="240"/>
    <s v="Emergency"/>
    <d v="2019-05-17T00:00:00"/>
    <s v="Lipitor"/>
    <s v="Normal"/>
    <x v="22"/>
  </r>
  <r>
    <x v="136"/>
    <s v="76-85"/>
    <n v="84"/>
    <s v="Female"/>
    <x v="3"/>
    <x v="0"/>
    <x v="131"/>
    <s v="David Richardson"/>
    <x v="135"/>
    <x v="4"/>
    <x v="136"/>
    <n v="171"/>
    <s v="Urgent"/>
    <d v="2021-08-17T00:00:00"/>
    <s v="Aspirin"/>
    <s v="Normal"/>
    <x v="15"/>
  </r>
  <r>
    <x v="137"/>
    <s v="18-25"/>
    <n v="25"/>
    <s v="Female"/>
    <x v="5"/>
    <x v="0"/>
    <x v="132"/>
    <s v="Charles Robinson"/>
    <x v="136"/>
    <x v="2"/>
    <x v="137"/>
    <n v="332"/>
    <s v="Emergency"/>
    <d v="2021-12-05T00:00:00"/>
    <s v="Paracetamol"/>
    <s v="Inconclusive"/>
    <x v="3"/>
  </r>
  <r>
    <x v="138"/>
    <s v="26-35"/>
    <n v="26"/>
    <s v="Male"/>
    <x v="7"/>
    <x v="0"/>
    <x v="133"/>
    <s v="Taylor Braun"/>
    <x v="137"/>
    <x v="4"/>
    <x v="138"/>
    <n v="275"/>
    <s v="Elective"/>
    <d v="2019-02-16T00:00:00"/>
    <s v="Paracetamol"/>
    <s v="Abnormal"/>
    <x v="10"/>
  </r>
  <r>
    <x v="139"/>
    <s v="76-85"/>
    <n v="80"/>
    <s v="Male"/>
    <x v="5"/>
    <x v="0"/>
    <x v="134"/>
    <s v="Matthew Kennedy"/>
    <x v="138"/>
    <x v="0"/>
    <x v="139"/>
    <n v="405"/>
    <s v="Urgent"/>
    <d v="2022-12-18T00:00:00"/>
    <s v="Penicillin"/>
    <s v="Normal"/>
    <x v="20"/>
  </r>
  <r>
    <x v="140"/>
    <s v="36-45"/>
    <n v="42"/>
    <s v="Male"/>
    <x v="7"/>
    <x v="0"/>
    <x v="135"/>
    <s v="Derek Martin"/>
    <x v="139"/>
    <x v="3"/>
    <x v="140"/>
    <n v="315"/>
    <s v="Emergency"/>
    <d v="2018-12-28T00:00:00"/>
    <s v="Penicillin"/>
    <s v="Normal"/>
    <x v="11"/>
  </r>
  <r>
    <x v="141"/>
    <s v="18-25"/>
    <n v="23"/>
    <s v="Male"/>
    <x v="4"/>
    <x v="0"/>
    <x v="136"/>
    <s v="Morgan Johnson"/>
    <x v="140"/>
    <x v="0"/>
    <x v="141"/>
    <n v="277"/>
    <s v="Urgent"/>
    <d v="2021-07-21T00:00:00"/>
    <s v="Ibuprofen"/>
    <s v="Normal"/>
    <x v="11"/>
  </r>
  <r>
    <x v="142"/>
    <s v="36-45"/>
    <n v="38"/>
    <s v="Male"/>
    <x v="7"/>
    <x v="0"/>
    <x v="137"/>
    <s v="Mitchell Bradshaw"/>
    <x v="141"/>
    <x v="2"/>
    <x v="142"/>
    <n v="176"/>
    <s v="Emergency"/>
    <d v="2021-01-09T00:00:00"/>
    <s v="Ibuprofen"/>
    <s v="Abnormal"/>
    <x v="3"/>
  </r>
  <r>
    <x v="143"/>
    <s v="76-85"/>
    <n v="82"/>
    <s v="Male"/>
    <x v="5"/>
    <x v="0"/>
    <x v="138"/>
    <s v="Penny Jones"/>
    <x v="142"/>
    <x v="1"/>
    <x v="143"/>
    <n v="130"/>
    <s v="Emergency"/>
    <d v="2019-10-17T00:00:00"/>
    <s v="Penicillin"/>
    <s v="Normal"/>
    <x v="5"/>
  </r>
  <r>
    <x v="144"/>
    <s v="18-25"/>
    <n v="24"/>
    <s v="Male"/>
    <x v="5"/>
    <x v="0"/>
    <x v="139"/>
    <s v="Eric Knox"/>
    <x v="143"/>
    <x v="4"/>
    <x v="144"/>
    <n v="354"/>
    <s v="Elective"/>
    <d v="2020-12-07T00:00:00"/>
    <s v="Lipitor"/>
    <s v="Abnormal"/>
    <x v="6"/>
  </r>
  <r>
    <x v="145"/>
    <s v="26-35"/>
    <n v="30"/>
    <s v="Male"/>
    <x v="3"/>
    <x v="0"/>
    <x v="140"/>
    <s v="Nicole Rodriguez"/>
    <x v="144"/>
    <x v="3"/>
    <x v="145"/>
    <n v="494"/>
    <s v="Emergency"/>
    <d v="2023-09-16T00:00:00"/>
    <s v="Ibuprofen"/>
    <s v="Normal"/>
    <x v="14"/>
  </r>
  <r>
    <x v="146"/>
    <s v="56-65"/>
    <n v="65"/>
    <s v="Female"/>
    <x v="2"/>
    <x v="0"/>
    <x v="141"/>
    <s v="Steven Melton"/>
    <x v="145"/>
    <x v="0"/>
    <x v="146"/>
    <n v="375"/>
    <s v="Elective"/>
    <d v="2023-08-10T00:00:00"/>
    <s v="Paracetamol"/>
    <s v="Abnormal"/>
    <x v="14"/>
  </r>
  <r>
    <x v="147"/>
    <s v="56-65"/>
    <n v="65"/>
    <s v="Male"/>
    <x v="1"/>
    <x v="0"/>
    <x v="142"/>
    <s v="Adrian Boyd"/>
    <x v="117"/>
    <x v="3"/>
    <x v="147"/>
    <n v="483"/>
    <s v="Emergency"/>
    <d v="2020-01-24T00:00:00"/>
    <s v="Ibuprofen"/>
    <s v="Inconclusive"/>
    <x v="1"/>
  </r>
  <r>
    <x v="148"/>
    <s v="36-45"/>
    <n v="39"/>
    <s v="Male"/>
    <x v="5"/>
    <x v="0"/>
    <x v="143"/>
    <s v="Dustin Martinez"/>
    <x v="146"/>
    <x v="2"/>
    <x v="148"/>
    <n v="442"/>
    <s v="Emergency"/>
    <d v="2022-07-08T00:00:00"/>
    <s v="Aspirin"/>
    <s v="Normal"/>
    <x v="3"/>
  </r>
  <r>
    <x v="149"/>
    <s v="18-25"/>
    <n v="23"/>
    <s v="Male"/>
    <x v="1"/>
    <x v="0"/>
    <x v="144"/>
    <s v="Debra Meyers"/>
    <x v="147"/>
    <x v="2"/>
    <x v="149"/>
    <n v="475"/>
    <s v="Elective"/>
    <d v="2022-03-16T00:00:00"/>
    <s v="Ibuprofen"/>
    <s v="Inconclusive"/>
    <x v="16"/>
  </r>
  <r>
    <x v="150"/>
    <s v="36-45"/>
    <n v="37"/>
    <s v="Female"/>
    <x v="4"/>
    <x v="0"/>
    <x v="145"/>
    <s v="Brian Watson"/>
    <x v="148"/>
    <x v="2"/>
    <x v="150"/>
    <n v="456"/>
    <s v="Emergency"/>
    <d v="2021-11-28T00:00:00"/>
    <s v="Lipitor"/>
    <s v="Abnormal"/>
    <x v="8"/>
  </r>
  <r>
    <x v="151"/>
    <s v="26-35"/>
    <n v="35"/>
    <s v="Male"/>
    <x v="2"/>
    <x v="0"/>
    <x v="146"/>
    <s v="Gregory Casey"/>
    <x v="149"/>
    <x v="1"/>
    <x v="151"/>
    <n v="168"/>
    <s v="Elective"/>
    <d v="2023-09-18T00:00:00"/>
    <s v="Paracetamol"/>
    <s v="Inconclusive"/>
    <x v="16"/>
  </r>
  <r>
    <x v="152"/>
    <s v="76-85"/>
    <n v="77"/>
    <s v="Female"/>
    <x v="2"/>
    <x v="0"/>
    <x v="147"/>
    <s v="Matthew Curtis"/>
    <x v="150"/>
    <x v="2"/>
    <x v="152"/>
    <n v="127"/>
    <s v="Emergency"/>
    <d v="2020-04-22T00:00:00"/>
    <s v="Penicillin"/>
    <s v="Abnormal"/>
    <x v="27"/>
  </r>
  <r>
    <x v="153"/>
    <s v="66-75"/>
    <n v="71"/>
    <s v="Female"/>
    <x v="5"/>
    <x v="0"/>
    <x v="148"/>
    <s v="Gabrielle Pitts"/>
    <x v="151"/>
    <x v="2"/>
    <x v="153"/>
    <n v="145"/>
    <s v="Emergency"/>
    <d v="2021-05-24T00:00:00"/>
    <s v="Aspirin"/>
    <s v="Normal"/>
    <x v="22"/>
  </r>
  <r>
    <x v="154"/>
    <s v="66-75"/>
    <n v="70"/>
    <s v="Female"/>
    <x v="3"/>
    <x v="0"/>
    <x v="149"/>
    <s v="Nathan Colon"/>
    <x v="152"/>
    <x v="2"/>
    <x v="154"/>
    <n v="482"/>
    <s v="Elective"/>
    <d v="2019-02-11T00:00:00"/>
    <s v="Penicillin"/>
    <s v="Normal"/>
    <x v="3"/>
  </r>
  <r>
    <x v="155"/>
    <s v="76-85"/>
    <n v="76"/>
    <s v="Female"/>
    <x v="0"/>
    <x v="0"/>
    <x v="150"/>
    <s v="Amber Flores"/>
    <x v="153"/>
    <x v="2"/>
    <x v="155"/>
    <n v="440"/>
    <s v="Emergency"/>
    <d v="2019-12-07T00:00:00"/>
    <s v="Paracetamol"/>
    <s v="Normal"/>
    <x v="12"/>
  </r>
  <r>
    <x v="156"/>
    <s v="46-55"/>
    <n v="55"/>
    <s v="Female"/>
    <x v="5"/>
    <x v="0"/>
    <x v="151"/>
    <s v="Kelly Thompson"/>
    <x v="154"/>
    <x v="1"/>
    <x v="156"/>
    <n v="238"/>
    <s v="Emergency"/>
    <d v="2023-03-27T00:00:00"/>
    <s v="Penicillin"/>
    <s v="Normal"/>
    <x v="3"/>
  </r>
  <r>
    <x v="157"/>
    <s v="76-85"/>
    <n v="81"/>
    <s v="Female"/>
    <x v="6"/>
    <x v="0"/>
    <x v="152"/>
    <s v="Craig Haley"/>
    <x v="155"/>
    <x v="1"/>
    <x v="157"/>
    <n v="265"/>
    <s v="Elective"/>
    <d v="2022-09-09T00:00:00"/>
    <s v="Lipitor"/>
    <s v="Abnormal"/>
    <x v="27"/>
  </r>
  <r>
    <x v="158"/>
    <s v="76-85"/>
    <n v="78"/>
    <s v="Male"/>
    <x v="1"/>
    <x v="0"/>
    <x v="153"/>
    <s v="Mitchell Holder"/>
    <x v="156"/>
    <x v="3"/>
    <x v="158"/>
    <n v="261"/>
    <s v="Elective"/>
    <d v="2023-10-08T00:00:00"/>
    <s v="Lipitor"/>
    <s v="Normal"/>
    <x v="5"/>
  </r>
  <r>
    <x v="159"/>
    <s v="56-65"/>
    <n v="62"/>
    <s v="Female"/>
    <x v="1"/>
    <x v="0"/>
    <x v="154"/>
    <s v="Danny Mcdaniel"/>
    <x v="157"/>
    <x v="2"/>
    <x v="159"/>
    <n v="381"/>
    <s v="Urgent"/>
    <d v="2020-02-12T00:00:00"/>
    <s v="Aspirin"/>
    <s v="Normal"/>
    <x v="2"/>
  </r>
  <r>
    <x v="160"/>
    <s v="36-45"/>
    <n v="36"/>
    <s v="Male"/>
    <x v="0"/>
    <x v="0"/>
    <x v="114"/>
    <s v="Jessica Smith"/>
    <x v="158"/>
    <x v="1"/>
    <x v="160"/>
    <n v="432"/>
    <s v="Emergency"/>
    <d v="2021-07-03T00:00:00"/>
    <s v="Paracetamol"/>
    <s v="Inconclusive"/>
    <x v="5"/>
  </r>
  <r>
    <x v="161"/>
    <s v="18-25"/>
    <n v="25"/>
    <s v="Male"/>
    <x v="0"/>
    <x v="1"/>
    <x v="86"/>
    <s v="Scott Beck"/>
    <x v="159"/>
    <x v="1"/>
    <x v="161"/>
    <n v="181"/>
    <s v="Elective"/>
    <d v="2020-12-30T00:00:00"/>
    <s v="Aspirin"/>
    <s v="Abnormal"/>
    <x v="19"/>
  </r>
  <r>
    <x v="162"/>
    <s v="36-45"/>
    <n v="42"/>
    <s v="Male"/>
    <x v="6"/>
    <x v="1"/>
    <x v="155"/>
    <s v="Victoria Smith"/>
    <x v="160"/>
    <x v="2"/>
    <x v="162"/>
    <n v="425"/>
    <s v="Emergency"/>
    <d v="2023-06-18T00:00:00"/>
    <s v="Aspirin"/>
    <s v="Abnormal"/>
    <x v="18"/>
  </r>
  <r>
    <x v="163"/>
    <s v="46-55"/>
    <n v="54"/>
    <s v="Female"/>
    <x v="6"/>
    <x v="1"/>
    <x v="156"/>
    <s v="Kathryn Boone"/>
    <x v="161"/>
    <x v="0"/>
    <x v="163"/>
    <n v="358"/>
    <s v="Emergency"/>
    <d v="2019-07-23T00:00:00"/>
    <s v="Lipitor"/>
    <s v="Abnormal"/>
    <x v="17"/>
  </r>
  <r>
    <x v="164"/>
    <s v="66-75"/>
    <n v="70"/>
    <s v="Male"/>
    <x v="3"/>
    <x v="1"/>
    <x v="157"/>
    <s v="Eric Powell"/>
    <x v="162"/>
    <x v="4"/>
    <x v="164"/>
    <n v="144"/>
    <s v="Urgent"/>
    <d v="2022-05-12T00:00:00"/>
    <s v="Lipitor"/>
    <s v="Abnormal"/>
    <x v="22"/>
  </r>
  <r>
    <x v="165"/>
    <s v="46-55"/>
    <n v="54"/>
    <s v="Male"/>
    <x v="0"/>
    <x v="1"/>
    <x v="158"/>
    <s v="Patty Murphy"/>
    <x v="163"/>
    <x v="2"/>
    <x v="165"/>
    <n v="499"/>
    <s v="Emergency"/>
    <d v="2022-09-29T00:00:00"/>
    <s v="Penicillin"/>
    <s v="Normal"/>
    <x v="10"/>
  </r>
  <r>
    <x v="166"/>
    <s v="46-55"/>
    <n v="55"/>
    <s v="Female"/>
    <x v="4"/>
    <x v="1"/>
    <x v="159"/>
    <s v="Eric Marquez"/>
    <x v="164"/>
    <x v="1"/>
    <x v="166"/>
    <n v="210"/>
    <s v="Urgent"/>
    <d v="2022-12-27T00:00:00"/>
    <s v="Lipitor"/>
    <s v="Abnormal"/>
    <x v="10"/>
  </r>
  <r>
    <x v="167"/>
    <s v="76-85"/>
    <n v="82"/>
    <s v="Female"/>
    <x v="4"/>
    <x v="1"/>
    <x v="160"/>
    <s v="Ricky Ryan"/>
    <x v="165"/>
    <x v="3"/>
    <x v="167"/>
    <n v="163"/>
    <s v="Urgent"/>
    <d v="2021-09-29T00:00:00"/>
    <s v="Lipitor"/>
    <s v="Abnormal"/>
    <x v="6"/>
  </r>
  <r>
    <x v="168"/>
    <s v="18-25"/>
    <n v="22"/>
    <s v="Male"/>
    <x v="4"/>
    <x v="1"/>
    <x v="161"/>
    <s v="Jose Harris"/>
    <x v="166"/>
    <x v="0"/>
    <x v="168"/>
    <n v="119"/>
    <s v="Emergency"/>
    <d v="2019-04-25T00:00:00"/>
    <s v="Ibuprofen"/>
    <s v="Abnormal"/>
    <x v="25"/>
  </r>
  <r>
    <x v="169"/>
    <s v="56-65"/>
    <n v="60"/>
    <s v="Female"/>
    <x v="7"/>
    <x v="1"/>
    <x v="162"/>
    <s v="Gregory Schroeder"/>
    <x v="167"/>
    <x v="2"/>
    <x v="169"/>
    <n v="275"/>
    <s v="Elective"/>
    <d v="2021-03-06T00:00:00"/>
    <s v="Ibuprofen"/>
    <s v="Abnormal"/>
    <x v="9"/>
  </r>
  <r>
    <x v="170"/>
    <s v="66-75"/>
    <n v="71"/>
    <s v="Male"/>
    <x v="1"/>
    <x v="1"/>
    <x v="108"/>
    <s v="Kevin Davis"/>
    <x v="168"/>
    <x v="4"/>
    <x v="170"/>
    <n v="372"/>
    <s v="Emergency"/>
    <d v="2020-02-18T00:00:00"/>
    <s v="Penicillin"/>
    <s v="Normal"/>
    <x v="0"/>
  </r>
  <r>
    <x v="171"/>
    <s v="76-85"/>
    <n v="79"/>
    <s v="Male"/>
    <x v="5"/>
    <x v="1"/>
    <x v="163"/>
    <s v="Jason Mcintosh"/>
    <x v="169"/>
    <x v="1"/>
    <x v="171"/>
    <n v="148"/>
    <s v="Urgent"/>
    <d v="2019-05-09T00:00:00"/>
    <s v="Aspirin"/>
    <s v="Abnormal"/>
    <x v="7"/>
  </r>
  <r>
    <x v="172"/>
    <s v="76-85"/>
    <n v="76"/>
    <s v="Male"/>
    <x v="0"/>
    <x v="1"/>
    <x v="164"/>
    <s v="Diane Fuller"/>
    <x v="170"/>
    <x v="2"/>
    <x v="172"/>
    <n v="162"/>
    <s v="Elective"/>
    <d v="2019-05-16T00:00:00"/>
    <s v="Ibuprofen"/>
    <s v="Normal"/>
    <x v="8"/>
  </r>
  <r>
    <x v="173"/>
    <s v="26-35"/>
    <n v="29"/>
    <s v="Female"/>
    <x v="1"/>
    <x v="1"/>
    <x v="165"/>
    <s v="Alexander Cruz"/>
    <x v="171"/>
    <x v="0"/>
    <x v="173"/>
    <n v="469"/>
    <s v="Urgent"/>
    <d v="2022-03-20T00:00:00"/>
    <s v="Ibuprofen"/>
    <s v="Normal"/>
    <x v="0"/>
  </r>
  <r>
    <x v="174"/>
    <s v="26-35"/>
    <n v="31"/>
    <s v="Female"/>
    <x v="6"/>
    <x v="1"/>
    <x v="166"/>
    <s v="Christopher Henry"/>
    <x v="172"/>
    <x v="1"/>
    <x v="174"/>
    <n v="385"/>
    <s v="Emergency"/>
    <d v="2022-10-05T00:00:00"/>
    <s v="Ibuprofen"/>
    <s v="Normal"/>
    <x v="16"/>
  </r>
  <r>
    <x v="175"/>
    <s v="26-35"/>
    <n v="32"/>
    <s v="Female"/>
    <x v="7"/>
    <x v="1"/>
    <x v="167"/>
    <s v="Joshua Wilson"/>
    <x v="173"/>
    <x v="1"/>
    <x v="175"/>
    <n v="322"/>
    <s v="Elective"/>
    <d v="2023-06-28T00:00:00"/>
    <s v="Aspirin"/>
    <s v="Normal"/>
    <x v="2"/>
  </r>
  <r>
    <x v="176"/>
    <s v="56-65"/>
    <n v="60"/>
    <s v="Female"/>
    <x v="6"/>
    <x v="1"/>
    <x v="168"/>
    <s v="Lindsay Curry"/>
    <x v="174"/>
    <x v="3"/>
    <x v="176"/>
    <n v="148"/>
    <s v="Urgent"/>
    <d v="2021-06-26T00:00:00"/>
    <s v="Lipitor"/>
    <s v="Inconclusive"/>
    <x v="3"/>
  </r>
  <r>
    <x v="177"/>
    <s v="46-55"/>
    <n v="47"/>
    <s v="Female"/>
    <x v="5"/>
    <x v="1"/>
    <x v="169"/>
    <s v="Nicole King"/>
    <x v="175"/>
    <x v="4"/>
    <x v="177"/>
    <n v="329"/>
    <s v="Emergency"/>
    <d v="2019-02-21T00:00:00"/>
    <s v="Penicillin"/>
    <s v="Normal"/>
    <x v="5"/>
  </r>
  <r>
    <x v="178"/>
    <s v="46-55"/>
    <n v="48"/>
    <s v="Female"/>
    <x v="6"/>
    <x v="1"/>
    <x v="170"/>
    <s v="Kristin Nash"/>
    <x v="176"/>
    <x v="4"/>
    <x v="178"/>
    <n v="392"/>
    <s v="Emergency"/>
    <d v="2019-11-10T00:00:00"/>
    <s v="Aspirin"/>
    <s v="Normal"/>
    <x v="8"/>
  </r>
  <r>
    <x v="179"/>
    <s v="46-55"/>
    <n v="49"/>
    <s v="Male"/>
    <x v="4"/>
    <x v="1"/>
    <x v="171"/>
    <s v="Brian Chandler"/>
    <x v="177"/>
    <x v="2"/>
    <x v="179"/>
    <n v="480"/>
    <s v="Urgent"/>
    <d v="2020-05-03T00:00:00"/>
    <s v="Penicillin"/>
    <s v="Abnormal"/>
    <x v="24"/>
  </r>
  <r>
    <x v="180"/>
    <s v="56-65"/>
    <n v="63"/>
    <s v="Female"/>
    <x v="1"/>
    <x v="1"/>
    <x v="90"/>
    <s v="Stephen Johnson"/>
    <x v="178"/>
    <x v="0"/>
    <x v="180"/>
    <n v="345"/>
    <s v="Elective"/>
    <d v="2021-11-30T00:00:00"/>
    <s v="Paracetamol"/>
    <s v="Inconclusive"/>
    <x v="7"/>
  </r>
  <r>
    <x v="181"/>
    <s v="76-85"/>
    <n v="83"/>
    <s v="Female"/>
    <x v="3"/>
    <x v="1"/>
    <x v="172"/>
    <s v="Daniel Nelson"/>
    <x v="179"/>
    <x v="1"/>
    <x v="181"/>
    <n v="142"/>
    <s v="Emergency"/>
    <d v="2019-10-18T00:00:00"/>
    <s v="Ibuprofen"/>
    <s v="Abnormal"/>
    <x v="5"/>
  </r>
  <r>
    <x v="182"/>
    <s v="56-65"/>
    <n v="62"/>
    <s v="Male"/>
    <x v="4"/>
    <x v="1"/>
    <x v="173"/>
    <s v="Robert George"/>
    <x v="180"/>
    <x v="0"/>
    <x v="182"/>
    <n v="235"/>
    <s v="Elective"/>
    <d v="2020-07-25T00:00:00"/>
    <s v="Ibuprofen"/>
    <s v="Inconclusive"/>
    <x v="16"/>
  </r>
  <r>
    <x v="183"/>
    <s v="36-45"/>
    <n v="36"/>
    <s v="Female"/>
    <x v="3"/>
    <x v="1"/>
    <x v="174"/>
    <s v="Michelle Kennedy"/>
    <x v="181"/>
    <x v="3"/>
    <x v="183"/>
    <n v="405"/>
    <s v="Urgent"/>
    <d v="2019-06-11T00:00:00"/>
    <s v="Aspirin"/>
    <s v="Normal"/>
    <x v="18"/>
  </r>
  <r>
    <x v="184"/>
    <s v="18-25"/>
    <n v="24"/>
    <s v="Female"/>
    <x v="7"/>
    <x v="1"/>
    <x v="132"/>
    <s v="Stephen Fletcher"/>
    <x v="182"/>
    <x v="4"/>
    <x v="184"/>
    <n v="104"/>
    <s v="Elective"/>
    <d v="2021-11-11T00:00:00"/>
    <s v="Lipitor"/>
    <s v="Abnormal"/>
    <x v="10"/>
  </r>
  <r>
    <x v="185"/>
    <s v="46-55"/>
    <n v="54"/>
    <s v="Male"/>
    <x v="3"/>
    <x v="1"/>
    <x v="175"/>
    <s v="Jodi Holland"/>
    <x v="183"/>
    <x v="0"/>
    <x v="185"/>
    <n v="293"/>
    <s v="Urgent"/>
    <d v="2022-09-03T00:00:00"/>
    <s v="Paracetamol"/>
    <s v="Normal"/>
    <x v="6"/>
  </r>
  <r>
    <x v="186"/>
    <s v="66-75"/>
    <n v="69"/>
    <s v="Male"/>
    <x v="3"/>
    <x v="1"/>
    <x v="176"/>
    <s v="Joe Avery"/>
    <x v="184"/>
    <x v="3"/>
    <x v="186"/>
    <n v="124"/>
    <s v="Elective"/>
    <d v="2022-10-30T00:00:00"/>
    <s v="Penicillin"/>
    <s v="Abnormal"/>
    <x v="29"/>
  </r>
  <r>
    <x v="187"/>
    <s v="56-65"/>
    <n v="61"/>
    <s v="Male"/>
    <x v="2"/>
    <x v="1"/>
    <x v="177"/>
    <s v="Bonnie Weaver"/>
    <x v="185"/>
    <x v="2"/>
    <x v="187"/>
    <n v="276"/>
    <s v="Urgent"/>
    <d v="2022-10-05T00:00:00"/>
    <s v="Lipitor"/>
    <s v="Abnormal"/>
    <x v="28"/>
  </r>
  <r>
    <x v="188"/>
    <s v="36-45"/>
    <n v="41"/>
    <s v="Male"/>
    <x v="1"/>
    <x v="1"/>
    <x v="178"/>
    <s v="Christina Barnes"/>
    <x v="186"/>
    <x v="2"/>
    <x v="188"/>
    <n v="162"/>
    <s v="Elective"/>
    <d v="2021-04-25T00:00:00"/>
    <s v="Ibuprofen"/>
    <s v="Inconclusive"/>
    <x v="13"/>
  </r>
  <r>
    <x v="189"/>
    <s v="66-75"/>
    <n v="75"/>
    <s v="Male"/>
    <x v="5"/>
    <x v="1"/>
    <x v="179"/>
    <s v="Dr. Tyler Anthony"/>
    <x v="187"/>
    <x v="0"/>
    <x v="189"/>
    <n v="464"/>
    <s v="Urgent"/>
    <d v="2022-06-18T00:00:00"/>
    <s v="Paracetamol"/>
    <s v="Abnormal"/>
    <x v="25"/>
  </r>
  <r>
    <x v="190"/>
    <s v="36-45"/>
    <n v="42"/>
    <s v="Male"/>
    <x v="7"/>
    <x v="1"/>
    <x v="180"/>
    <s v="Andre Hernandez"/>
    <x v="188"/>
    <x v="4"/>
    <x v="190"/>
    <n v="366"/>
    <s v="Emergency"/>
    <d v="2022-06-05T00:00:00"/>
    <s v="Ibuprofen"/>
    <s v="Normal"/>
    <x v="20"/>
  </r>
  <r>
    <x v="191"/>
    <s v="66-75"/>
    <n v="73"/>
    <s v="Male"/>
    <x v="0"/>
    <x v="1"/>
    <x v="181"/>
    <s v="Diamond Robbins"/>
    <x v="189"/>
    <x v="1"/>
    <x v="191"/>
    <n v="224"/>
    <s v="Elective"/>
    <d v="2023-03-27T00:00:00"/>
    <s v="Paracetamol"/>
    <s v="Abnormal"/>
    <x v="26"/>
  </r>
  <r>
    <x v="192"/>
    <s v="26-35"/>
    <n v="32"/>
    <s v="Female"/>
    <x v="3"/>
    <x v="1"/>
    <x v="71"/>
    <s v="Cody Osborne"/>
    <x v="190"/>
    <x v="3"/>
    <x v="192"/>
    <n v="481"/>
    <s v="Urgent"/>
    <d v="2019-04-03T00:00:00"/>
    <s v="Aspirin"/>
    <s v="Normal"/>
    <x v="22"/>
  </r>
  <r>
    <x v="193"/>
    <s v="36-45"/>
    <n v="36"/>
    <s v="Female"/>
    <x v="1"/>
    <x v="1"/>
    <x v="182"/>
    <s v="Shannon Perry"/>
    <x v="191"/>
    <x v="1"/>
    <x v="193"/>
    <n v="289"/>
    <s v="Elective"/>
    <d v="2023-02-21T00:00:00"/>
    <s v="Lipitor"/>
    <s v="Abnormal"/>
    <x v="27"/>
  </r>
  <r>
    <x v="194"/>
    <s v="26-35"/>
    <n v="35"/>
    <s v="Female"/>
    <x v="7"/>
    <x v="1"/>
    <x v="183"/>
    <s v="Vickie Brooks"/>
    <x v="192"/>
    <x v="3"/>
    <x v="194"/>
    <n v="359"/>
    <s v="Emergency"/>
    <d v="2023-10-27T00:00:00"/>
    <s v="Penicillin"/>
    <s v="Abnormal"/>
    <x v="0"/>
  </r>
  <r>
    <x v="195"/>
    <s v="26-35"/>
    <n v="28"/>
    <s v="Female"/>
    <x v="4"/>
    <x v="1"/>
    <x v="184"/>
    <s v="Brooke Phillips"/>
    <x v="193"/>
    <x v="4"/>
    <x v="195"/>
    <n v="353"/>
    <s v="Urgent"/>
    <d v="2019-11-25T00:00:00"/>
    <s v="Penicillin"/>
    <s v="Abnormal"/>
    <x v="5"/>
  </r>
  <r>
    <x v="196"/>
    <s v="36-45"/>
    <n v="38"/>
    <s v="Male"/>
    <x v="5"/>
    <x v="1"/>
    <x v="185"/>
    <s v="Mr. Jeffrey Oliver"/>
    <x v="194"/>
    <x v="4"/>
    <x v="196"/>
    <n v="183"/>
    <s v="Emergency"/>
    <d v="2022-12-04T00:00:00"/>
    <s v="Aspirin"/>
    <s v="Normal"/>
    <x v="6"/>
  </r>
  <r>
    <x v="197"/>
    <s v="26-35"/>
    <n v="27"/>
    <s v="Female"/>
    <x v="3"/>
    <x v="1"/>
    <x v="186"/>
    <s v="Mr. Timothy Santiago"/>
    <x v="195"/>
    <x v="4"/>
    <x v="197"/>
    <n v="212"/>
    <s v="Elective"/>
    <d v="2023-08-02T00:00:00"/>
    <s v="Paracetamol"/>
    <s v="Abnormal"/>
    <x v="3"/>
  </r>
  <r>
    <x v="198"/>
    <s v="56-65"/>
    <n v="61"/>
    <s v="Male"/>
    <x v="7"/>
    <x v="1"/>
    <x v="187"/>
    <s v="Mark Dunn"/>
    <x v="196"/>
    <x v="4"/>
    <x v="198"/>
    <n v="460"/>
    <s v="Elective"/>
    <d v="2019-03-24T00:00:00"/>
    <s v="Ibuprofen"/>
    <s v="Normal"/>
    <x v="0"/>
  </r>
  <r>
    <x v="199"/>
    <s v="46-55"/>
    <n v="55"/>
    <s v="Male"/>
    <x v="6"/>
    <x v="1"/>
    <x v="188"/>
    <s v="Joe Leonard"/>
    <x v="197"/>
    <x v="3"/>
    <x v="199"/>
    <n v="259"/>
    <s v="Elective"/>
    <d v="2023-09-10T00:00:00"/>
    <s v="Penicillin"/>
    <s v="Abnormal"/>
    <x v="11"/>
  </r>
  <r>
    <x v="200"/>
    <s v="26-35"/>
    <n v="34"/>
    <s v="Male"/>
    <x v="3"/>
    <x v="1"/>
    <x v="189"/>
    <s v="Sean Bean"/>
    <x v="80"/>
    <x v="0"/>
    <x v="200"/>
    <n v="132"/>
    <s v="Urgent"/>
    <d v="2023-06-07T00:00:00"/>
    <s v="Penicillin"/>
    <s v="Normal"/>
    <x v="18"/>
  </r>
  <r>
    <x v="201"/>
    <s v="26-35"/>
    <n v="32"/>
    <s v="Male"/>
    <x v="4"/>
    <x v="1"/>
    <x v="190"/>
    <s v="Bradley Jones"/>
    <x v="198"/>
    <x v="3"/>
    <x v="201"/>
    <n v="457"/>
    <s v="Emergency"/>
    <d v="2023-07-08T00:00:00"/>
    <s v="Ibuprofen"/>
    <s v="Normal"/>
    <x v="24"/>
  </r>
  <r>
    <x v="202"/>
    <s v="26-35"/>
    <n v="30"/>
    <s v="Female"/>
    <x v="7"/>
    <x v="1"/>
    <x v="191"/>
    <s v="Diana Cooper"/>
    <x v="199"/>
    <x v="1"/>
    <x v="202"/>
    <n v="190"/>
    <s v="Urgent"/>
    <d v="2021-12-30T00:00:00"/>
    <s v="Paracetamol"/>
    <s v="Abnormal"/>
    <x v="16"/>
  </r>
  <r>
    <x v="203"/>
    <s v="26-35"/>
    <n v="26"/>
    <s v="Male"/>
    <x v="4"/>
    <x v="1"/>
    <x v="192"/>
    <s v="Michael Olson"/>
    <x v="200"/>
    <x v="2"/>
    <x v="203"/>
    <n v="386"/>
    <s v="Elective"/>
    <d v="2020-06-28T00:00:00"/>
    <s v="Ibuprofen"/>
    <s v="Normal"/>
    <x v="23"/>
  </r>
  <r>
    <x v="204"/>
    <s v="46-55"/>
    <n v="51"/>
    <s v="Male"/>
    <x v="0"/>
    <x v="1"/>
    <x v="193"/>
    <s v="William Townsend"/>
    <x v="201"/>
    <x v="0"/>
    <x v="204"/>
    <n v="121"/>
    <s v="Emergency"/>
    <d v="2018-12-16T00:00:00"/>
    <s v="Lipitor"/>
    <s v="Inconclusive"/>
    <x v="2"/>
  </r>
  <r>
    <x v="205"/>
    <s v="46-55"/>
    <n v="51"/>
    <s v="Female"/>
    <x v="5"/>
    <x v="1"/>
    <x v="194"/>
    <s v="Dylan Andrews"/>
    <x v="202"/>
    <x v="4"/>
    <x v="205"/>
    <n v="250"/>
    <s v="Elective"/>
    <d v="2022-12-30T00:00:00"/>
    <s v="Penicillin"/>
    <s v="Inconclusive"/>
    <x v="28"/>
  </r>
  <r>
    <x v="206"/>
    <s v="46-55"/>
    <n v="47"/>
    <s v="Female"/>
    <x v="6"/>
    <x v="1"/>
    <x v="195"/>
    <s v="Shannon Gonzales"/>
    <x v="203"/>
    <x v="0"/>
    <x v="206"/>
    <n v="142"/>
    <s v="Urgent"/>
    <d v="2023-04-01T00:00:00"/>
    <s v="Lipitor"/>
    <s v="Abnormal"/>
    <x v="27"/>
  </r>
  <r>
    <x v="207"/>
    <s v="56-65"/>
    <n v="60"/>
    <s v="Female"/>
    <x v="6"/>
    <x v="1"/>
    <x v="196"/>
    <s v="Samuel Francis"/>
    <x v="204"/>
    <x v="0"/>
    <x v="207"/>
    <n v="216"/>
    <s v="Urgent"/>
    <d v="2020-02-17T00:00:00"/>
    <s v="Ibuprofen"/>
    <s v="Inconclusive"/>
    <x v="3"/>
  </r>
  <r>
    <x v="208"/>
    <s v="18-25"/>
    <n v="18"/>
    <s v="Male"/>
    <x v="5"/>
    <x v="1"/>
    <x v="197"/>
    <s v="Michael Chung"/>
    <x v="205"/>
    <x v="0"/>
    <x v="208"/>
    <n v="114"/>
    <s v="Emergency"/>
    <d v="2023-08-04T00:00:00"/>
    <s v="Aspirin"/>
    <s v="Abnormal"/>
    <x v="12"/>
  </r>
  <r>
    <x v="209"/>
    <s v="46-55"/>
    <n v="51"/>
    <s v="Male"/>
    <x v="3"/>
    <x v="1"/>
    <x v="198"/>
    <s v="Marco Gallegos"/>
    <x v="206"/>
    <x v="1"/>
    <x v="209"/>
    <n v="491"/>
    <s v="Emergency"/>
    <d v="2022-10-21T00:00:00"/>
    <s v="Paracetamol"/>
    <s v="Inconclusive"/>
    <x v="16"/>
  </r>
  <r>
    <x v="210"/>
    <s v="76-85"/>
    <n v="80"/>
    <s v="Female"/>
    <x v="0"/>
    <x v="1"/>
    <x v="199"/>
    <s v="Renee Ford"/>
    <x v="102"/>
    <x v="2"/>
    <x v="210"/>
    <n v="194"/>
    <s v="Emergency"/>
    <d v="2019-05-04T00:00:00"/>
    <s v="Penicillin"/>
    <s v="Normal"/>
    <x v="28"/>
  </r>
  <r>
    <x v="211"/>
    <s v="56-65"/>
    <n v="57"/>
    <s v="Female"/>
    <x v="2"/>
    <x v="1"/>
    <x v="200"/>
    <s v="John Martin"/>
    <x v="207"/>
    <x v="4"/>
    <x v="211"/>
    <n v="476"/>
    <s v="Emergency"/>
    <d v="2020-11-19T00:00:00"/>
    <s v="Penicillin"/>
    <s v="Normal"/>
    <x v="29"/>
  </r>
  <r>
    <x v="212"/>
    <s v="66-75"/>
    <n v="66"/>
    <s v="Female"/>
    <x v="1"/>
    <x v="1"/>
    <x v="201"/>
    <s v="Tammy Williamson"/>
    <x v="208"/>
    <x v="2"/>
    <x v="212"/>
    <n v="145"/>
    <s v="Urgent"/>
    <d v="2019-12-14T00:00:00"/>
    <s v="Paracetamol"/>
    <s v="Normal"/>
    <x v="26"/>
  </r>
  <r>
    <x v="213"/>
    <s v="66-75"/>
    <n v="70"/>
    <s v="Male"/>
    <x v="7"/>
    <x v="1"/>
    <x v="202"/>
    <s v="Amber Carter"/>
    <x v="209"/>
    <x v="0"/>
    <x v="213"/>
    <n v="269"/>
    <s v="Elective"/>
    <d v="2023-06-27T00:00:00"/>
    <s v="Paracetamol"/>
    <s v="Abnormal"/>
    <x v="19"/>
  </r>
  <r>
    <x v="214"/>
    <s v="26-35"/>
    <n v="33"/>
    <s v="Male"/>
    <x v="5"/>
    <x v="1"/>
    <x v="94"/>
    <s v="Jordan Wise"/>
    <x v="210"/>
    <x v="0"/>
    <x v="214"/>
    <n v="161"/>
    <s v="Elective"/>
    <d v="2018-12-01T00:00:00"/>
    <s v="Ibuprofen"/>
    <s v="Abnormal"/>
    <x v="26"/>
  </r>
  <r>
    <x v="215"/>
    <s v="76-85"/>
    <n v="80"/>
    <s v="Female"/>
    <x v="6"/>
    <x v="1"/>
    <x v="203"/>
    <s v="Amanda Blackburn"/>
    <x v="211"/>
    <x v="1"/>
    <x v="215"/>
    <n v="230"/>
    <s v="Elective"/>
    <d v="2019-10-18T00:00:00"/>
    <s v="Aspirin"/>
    <s v="Abnormal"/>
    <x v="6"/>
  </r>
  <r>
    <x v="216"/>
    <s v="26-35"/>
    <n v="32"/>
    <s v="Female"/>
    <x v="7"/>
    <x v="1"/>
    <x v="204"/>
    <s v="Tara Jones"/>
    <x v="212"/>
    <x v="1"/>
    <x v="216"/>
    <n v="283"/>
    <s v="Urgent"/>
    <d v="2022-05-09T00:00:00"/>
    <s v="Lipitor"/>
    <s v="Inconclusive"/>
    <x v="23"/>
  </r>
  <r>
    <x v="217"/>
    <s v="46-55"/>
    <n v="53"/>
    <s v="Male"/>
    <x v="2"/>
    <x v="1"/>
    <x v="205"/>
    <s v="Victoria Chavez"/>
    <x v="213"/>
    <x v="4"/>
    <x v="217"/>
    <n v="493"/>
    <s v="Urgent"/>
    <d v="2019-08-23T00:00:00"/>
    <s v="Aspirin"/>
    <s v="Abnormal"/>
    <x v="1"/>
  </r>
  <r>
    <x v="218"/>
    <s v="76-85"/>
    <n v="78"/>
    <s v="Female"/>
    <x v="1"/>
    <x v="1"/>
    <x v="206"/>
    <s v="Karen Mullen"/>
    <x v="214"/>
    <x v="2"/>
    <x v="218"/>
    <n v="300"/>
    <s v="Emergency"/>
    <d v="2022-08-23T00:00:00"/>
    <s v="Aspirin"/>
    <s v="Normal"/>
    <x v="21"/>
  </r>
  <r>
    <x v="219"/>
    <s v="36-45"/>
    <n v="42"/>
    <s v="Female"/>
    <x v="0"/>
    <x v="1"/>
    <x v="207"/>
    <s v="David Sanchez"/>
    <x v="215"/>
    <x v="0"/>
    <x v="219"/>
    <n v="226"/>
    <s v="Elective"/>
    <d v="2021-10-07T00:00:00"/>
    <s v="Penicillin"/>
    <s v="Inconclusive"/>
    <x v="28"/>
  </r>
  <r>
    <x v="220"/>
    <s v="26-35"/>
    <n v="28"/>
    <s v="Male"/>
    <x v="2"/>
    <x v="1"/>
    <x v="208"/>
    <s v="Monica Wright"/>
    <x v="216"/>
    <x v="0"/>
    <x v="220"/>
    <n v="292"/>
    <s v="Urgent"/>
    <d v="2020-08-09T00:00:00"/>
    <s v="Aspirin"/>
    <s v="Abnormal"/>
    <x v="4"/>
  </r>
  <r>
    <x v="221"/>
    <s v="36-45"/>
    <n v="40"/>
    <s v="Female"/>
    <x v="4"/>
    <x v="1"/>
    <x v="209"/>
    <s v="Mark Martin"/>
    <x v="217"/>
    <x v="0"/>
    <x v="221"/>
    <n v="430"/>
    <s v="Elective"/>
    <d v="2021-01-02T00:00:00"/>
    <s v="Lipitor"/>
    <s v="Inconclusive"/>
    <x v="9"/>
  </r>
  <r>
    <x v="222"/>
    <s v="36-45"/>
    <n v="42"/>
    <s v="Female"/>
    <x v="5"/>
    <x v="1"/>
    <x v="210"/>
    <s v="Tonya Castaneda"/>
    <x v="218"/>
    <x v="0"/>
    <x v="222"/>
    <n v="384"/>
    <s v="Elective"/>
    <d v="2019-09-07T00:00:00"/>
    <s v="Lipitor"/>
    <s v="Inconclusive"/>
    <x v="7"/>
  </r>
  <r>
    <x v="223"/>
    <s v="26-35"/>
    <n v="32"/>
    <s v="Male"/>
    <x v="2"/>
    <x v="1"/>
    <x v="211"/>
    <s v="Heather Burke"/>
    <x v="219"/>
    <x v="0"/>
    <x v="223"/>
    <n v="412"/>
    <s v="Elective"/>
    <d v="2023-06-12T00:00:00"/>
    <s v="Paracetamol"/>
    <s v="Normal"/>
    <x v="8"/>
  </r>
  <r>
    <x v="224"/>
    <s v="56-65"/>
    <n v="64"/>
    <s v="Female"/>
    <x v="7"/>
    <x v="1"/>
    <x v="212"/>
    <s v="Michael Pacheco"/>
    <x v="220"/>
    <x v="2"/>
    <x v="224"/>
    <n v="245"/>
    <s v="Elective"/>
    <d v="2020-05-18T00:00:00"/>
    <s v="Ibuprofen"/>
    <s v="Normal"/>
    <x v="8"/>
  </r>
  <r>
    <x v="225"/>
    <s v="18-25"/>
    <n v="21"/>
    <s v="Female"/>
    <x v="2"/>
    <x v="1"/>
    <x v="213"/>
    <s v="Elizabeth Cordova"/>
    <x v="221"/>
    <x v="3"/>
    <x v="225"/>
    <n v="294"/>
    <s v="Elective"/>
    <d v="2022-01-07T00:00:00"/>
    <s v="Penicillin"/>
    <s v="Normal"/>
    <x v="22"/>
  </r>
  <r>
    <x v="226"/>
    <s v="56-65"/>
    <n v="65"/>
    <s v="Female"/>
    <x v="0"/>
    <x v="1"/>
    <x v="214"/>
    <s v="Jeffery Maxwell"/>
    <x v="222"/>
    <x v="2"/>
    <x v="226"/>
    <n v="170"/>
    <s v="Elective"/>
    <d v="2020-05-24T00:00:00"/>
    <s v="Ibuprofen"/>
    <s v="Inconclusive"/>
    <x v="19"/>
  </r>
  <r>
    <x v="227"/>
    <s v="26-35"/>
    <n v="34"/>
    <s v="Male"/>
    <x v="3"/>
    <x v="1"/>
    <x v="215"/>
    <s v="Matthew Rodriguez"/>
    <x v="223"/>
    <x v="0"/>
    <x v="227"/>
    <n v="210"/>
    <s v="Urgent"/>
    <d v="2021-09-11T00:00:00"/>
    <s v="Penicillin"/>
    <s v="Inconclusive"/>
    <x v="5"/>
  </r>
  <r>
    <x v="228"/>
    <s v="36-45"/>
    <n v="43"/>
    <s v="Female"/>
    <x v="6"/>
    <x v="1"/>
    <x v="127"/>
    <s v="Christopher Sullivan"/>
    <x v="224"/>
    <x v="3"/>
    <x v="228"/>
    <n v="238"/>
    <s v="Emergency"/>
    <d v="2022-04-13T00:00:00"/>
    <s v="Ibuprofen"/>
    <s v="Inconclusive"/>
    <x v="18"/>
  </r>
  <r>
    <x v="229"/>
    <s v="26-35"/>
    <n v="26"/>
    <s v="Female"/>
    <x v="7"/>
    <x v="1"/>
    <x v="9"/>
    <s v="Dustin Cunningham"/>
    <x v="225"/>
    <x v="3"/>
    <x v="229"/>
    <n v="467"/>
    <s v="Elective"/>
    <d v="2022-08-10T00:00:00"/>
    <s v="Penicillin"/>
    <s v="Inconclusive"/>
    <x v="5"/>
  </r>
  <r>
    <x v="230"/>
    <s v="76-85"/>
    <n v="79"/>
    <s v="Female"/>
    <x v="4"/>
    <x v="1"/>
    <x v="216"/>
    <s v="Mr. Charles Garcia"/>
    <x v="226"/>
    <x v="2"/>
    <x v="230"/>
    <n v="206"/>
    <s v="Elective"/>
    <d v="2022-06-15T00:00:00"/>
    <s v="Penicillin"/>
    <s v="Inconclusive"/>
    <x v="25"/>
  </r>
  <r>
    <x v="231"/>
    <s v="76-85"/>
    <n v="81"/>
    <s v="Male"/>
    <x v="3"/>
    <x v="1"/>
    <x v="217"/>
    <s v="Jennifer Barry"/>
    <x v="227"/>
    <x v="3"/>
    <x v="231"/>
    <n v="462"/>
    <s v="Elective"/>
    <d v="2022-10-19T00:00:00"/>
    <s v="Ibuprofen"/>
    <s v="Abnormal"/>
    <x v="18"/>
  </r>
  <r>
    <x v="232"/>
    <s v="56-65"/>
    <n v="56"/>
    <s v="Female"/>
    <x v="6"/>
    <x v="1"/>
    <x v="218"/>
    <s v="Angela Garcia"/>
    <x v="228"/>
    <x v="3"/>
    <x v="232"/>
    <n v="394"/>
    <s v="Emergency"/>
    <d v="2020-12-18T00:00:00"/>
    <s v="Paracetamol"/>
    <s v="Abnormal"/>
    <x v="25"/>
  </r>
  <r>
    <x v="233"/>
    <s v="46-55"/>
    <n v="53"/>
    <s v="Male"/>
    <x v="1"/>
    <x v="1"/>
    <x v="219"/>
    <s v="Joann Meyer"/>
    <x v="229"/>
    <x v="0"/>
    <x v="233"/>
    <n v="262"/>
    <s v="Urgent"/>
    <d v="2020-12-05T00:00:00"/>
    <s v="Ibuprofen"/>
    <s v="Normal"/>
    <x v="5"/>
  </r>
  <r>
    <x v="234"/>
    <s v="46-55"/>
    <n v="48"/>
    <s v="Female"/>
    <x v="1"/>
    <x v="1"/>
    <x v="220"/>
    <s v="Karen Rogers"/>
    <x v="230"/>
    <x v="2"/>
    <x v="234"/>
    <n v="288"/>
    <s v="Elective"/>
    <d v="2019-05-04T00:00:00"/>
    <s v="Penicillin"/>
    <s v="Normal"/>
    <x v="2"/>
  </r>
  <r>
    <x v="235"/>
    <s v="66-75"/>
    <n v="69"/>
    <s v="Female"/>
    <x v="6"/>
    <x v="1"/>
    <x v="221"/>
    <s v="Michael Kelly"/>
    <x v="231"/>
    <x v="2"/>
    <x v="235"/>
    <n v="213"/>
    <s v="Emergency"/>
    <d v="2023-01-23T00:00:00"/>
    <s v="Penicillin"/>
    <s v="Abnormal"/>
    <x v="16"/>
  </r>
  <r>
    <x v="236"/>
    <s v="26-35"/>
    <n v="31"/>
    <s v="Male"/>
    <x v="0"/>
    <x v="1"/>
    <x v="222"/>
    <s v="Wesley Mcpherson"/>
    <x v="232"/>
    <x v="0"/>
    <x v="236"/>
    <n v="374"/>
    <s v="Elective"/>
    <d v="2022-08-14T00:00:00"/>
    <s v="Aspirin"/>
    <s v="Abnormal"/>
    <x v="10"/>
  </r>
  <r>
    <x v="237"/>
    <s v="26-35"/>
    <n v="28"/>
    <s v="Female"/>
    <x v="0"/>
    <x v="1"/>
    <x v="223"/>
    <s v="Samantha Wagner"/>
    <x v="233"/>
    <x v="1"/>
    <x v="237"/>
    <n v="247"/>
    <s v="Elective"/>
    <d v="2022-01-21T00:00:00"/>
    <s v="Aspirin"/>
    <s v="Normal"/>
    <x v="26"/>
  </r>
  <r>
    <x v="238"/>
    <s v="46-55"/>
    <n v="48"/>
    <s v="Male"/>
    <x v="0"/>
    <x v="1"/>
    <x v="224"/>
    <s v="Samuel Lowe"/>
    <x v="234"/>
    <x v="1"/>
    <x v="238"/>
    <n v="297"/>
    <s v="Urgent"/>
    <d v="2022-07-28T00:00:00"/>
    <s v="Penicillin"/>
    <s v="Inconclusive"/>
    <x v="7"/>
  </r>
  <r>
    <x v="239"/>
    <s v="36-45"/>
    <n v="36"/>
    <s v="Male"/>
    <x v="7"/>
    <x v="1"/>
    <x v="225"/>
    <s v="Brittany Carter"/>
    <x v="235"/>
    <x v="0"/>
    <x v="239"/>
    <n v="251"/>
    <s v="Emergency"/>
    <d v="2023-08-11T00:00:00"/>
    <s v="Lipitor"/>
    <s v="Abnormal"/>
    <x v="5"/>
  </r>
  <r>
    <x v="240"/>
    <s v="56-65"/>
    <n v="59"/>
    <s v="Female"/>
    <x v="6"/>
    <x v="1"/>
    <x v="226"/>
    <s v="Kenneth Montgomery"/>
    <x v="236"/>
    <x v="4"/>
    <x v="240"/>
    <n v="398"/>
    <s v="Urgent"/>
    <d v="2021-07-06T00:00:00"/>
    <s v="Aspirin"/>
    <s v="Abnormal"/>
    <x v="27"/>
  </r>
  <r>
    <x v="241"/>
    <s v="66-75"/>
    <n v="75"/>
    <s v="Female"/>
    <x v="1"/>
    <x v="1"/>
    <x v="227"/>
    <s v="Ashley Taylor"/>
    <x v="237"/>
    <x v="1"/>
    <x v="241"/>
    <n v="290"/>
    <s v="Urgent"/>
    <d v="2020-04-10T00:00:00"/>
    <s v="Paracetamol"/>
    <s v="Normal"/>
    <x v="0"/>
  </r>
  <r>
    <x v="242"/>
    <s v="76-85"/>
    <n v="81"/>
    <s v="Male"/>
    <x v="1"/>
    <x v="1"/>
    <x v="228"/>
    <s v="Andrew Nash"/>
    <x v="238"/>
    <x v="1"/>
    <x v="242"/>
    <n v="382"/>
    <s v="Elective"/>
    <d v="2022-07-13T00:00:00"/>
    <s v="Ibuprofen"/>
    <s v="Inconclusive"/>
    <x v="11"/>
  </r>
  <r>
    <x v="243"/>
    <s v="26-35"/>
    <n v="35"/>
    <s v="Male"/>
    <x v="2"/>
    <x v="1"/>
    <x v="229"/>
    <s v="Stephanie Bryan"/>
    <x v="239"/>
    <x v="1"/>
    <x v="243"/>
    <n v="462"/>
    <s v="Emergency"/>
    <d v="2022-12-16T00:00:00"/>
    <s v="Ibuprofen"/>
    <s v="Abnormal"/>
    <x v="16"/>
  </r>
  <r>
    <x v="244"/>
    <s v="76-85"/>
    <n v="83"/>
    <s v="Female"/>
    <x v="2"/>
    <x v="1"/>
    <x v="150"/>
    <s v="Rachel Sullivan"/>
    <x v="240"/>
    <x v="0"/>
    <x v="244"/>
    <n v="192"/>
    <s v="Emergency"/>
    <d v="2019-11-24T00:00:00"/>
    <s v="Lipitor"/>
    <s v="Abnormal"/>
    <x v="14"/>
  </r>
  <r>
    <x v="245"/>
    <s v="56-65"/>
    <n v="61"/>
    <s v="Female"/>
    <x v="4"/>
    <x v="1"/>
    <x v="230"/>
    <s v="Linda Tran"/>
    <x v="241"/>
    <x v="4"/>
    <x v="245"/>
    <n v="248"/>
    <s v="Emergency"/>
    <d v="2023-05-19T00:00:00"/>
    <s v="Ibuprofen"/>
    <s v="Inconclusive"/>
    <x v="24"/>
  </r>
  <r>
    <x v="246"/>
    <s v="26-35"/>
    <n v="30"/>
    <s v="Male"/>
    <x v="7"/>
    <x v="1"/>
    <x v="231"/>
    <s v="Brian Barnett"/>
    <x v="242"/>
    <x v="3"/>
    <x v="246"/>
    <n v="310"/>
    <s v="Elective"/>
    <d v="2020-07-13T00:00:00"/>
    <s v="Paracetamol"/>
    <s v="Inconclusive"/>
    <x v="27"/>
  </r>
  <r>
    <x v="247"/>
    <s v="26-35"/>
    <n v="27"/>
    <s v="Female"/>
    <x v="3"/>
    <x v="1"/>
    <x v="232"/>
    <s v="Tim Bradshaw"/>
    <x v="243"/>
    <x v="0"/>
    <x v="247"/>
    <n v="292"/>
    <s v="Elective"/>
    <d v="2020-02-05T00:00:00"/>
    <s v="Penicillin"/>
    <s v="Inconclusive"/>
    <x v="1"/>
  </r>
  <r>
    <x v="248"/>
    <s v="76-85"/>
    <n v="84"/>
    <s v="Male"/>
    <x v="4"/>
    <x v="1"/>
    <x v="233"/>
    <s v="Sara Howard"/>
    <x v="244"/>
    <x v="1"/>
    <x v="248"/>
    <n v="435"/>
    <s v="Urgent"/>
    <d v="2023-07-10T00:00:00"/>
    <s v="Ibuprofen"/>
    <s v="Normal"/>
    <x v="3"/>
  </r>
  <r>
    <x v="249"/>
    <s v="26-35"/>
    <n v="29"/>
    <s v="Female"/>
    <x v="0"/>
    <x v="1"/>
    <x v="234"/>
    <s v="James Roberson"/>
    <x v="245"/>
    <x v="0"/>
    <x v="249"/>
    <n v="358"/>
    <s v="Urgent"/>
    <d v="2022-11-17T00:00:00"/>
    <s v="Lipitor"/>
    <s v="Abnormal"/>
    <x v="23"/>
  </r>
  <r>
    <x v="250"/>
    <s v="66-75"/>
    <n v="71"/>
    <s v="Female"/>
    <x v="5"/>
    <x v="1"/>
    <x v="235"/>
    <s v="Jacob Smith"/>
    <x v="246"/>
    <x v="0"/>
    <x v="250"/>
    <n v="407"/>
    <s v="Emergency"/>
    <d v="2021-04-08T00:00:00"/>
    <s v="Aspirin"/>
    <s v="Inconclusive"/>
    <x v="3"/>
  </r>
  <r>
    <x v="251"/>
    <s v="66-75"/>
    <n v="74"/>
    <s v="Male"/>
    <x v="5"/>
    <x v="1"/>
    <x v="193"/>
    <s v="Kevin Higgins"/>
    <x v="247"/>
    <x v="1"/>
    <x v="251"/>
    <n v="377"/>
    <s v="Urgent"/>
    <d v="2018-12-14T00:00:00"/>
    <s v="Paracetamol"/>
    <s v="Normal"/>
    <x v="24"/>
  </r>
  <r>
    <x v="252"/>
    <s v="66-75"/>
    <n v="74"/>
    <s v="Female"/>
    <x v="6"/>
    <x v="1"/>
    <x v="236"/>
    <s v="Maria Griffin"/>
    <x v="248"/>
    <x v="0"/>
    <x v="252"/>
    <n v="340"/>
    <s v="Emergency"/>
    <d v="2022-12-07T00:00:00"/>
    <s v="Lipitor"/>
    <s v="Normal"/>
    <x v="28"/>
  </r>
  <r>
    <x v="253"/>
    <s v="76-85"/>
    <n v="79"/>
    <s v="Female"/>
    <x v="3"/>
    <x v="1"/>
    <x v="90"/>
    <s v="Randy White"/>
    <x v="249"/>
    <x v="4"/>
    <x v="253"/>
    <n v="357"/>
    <s v="Elective"/>
    <d v="2021-11-28T00:00:00"/>
    <s v="Aspirin"/>
    <s v="Normal"/>
    <x v="0"/>
  </r>
  <r>
    <x v="254"/>
    <s v="36-45"/>
    <n v="38"/>
    <s v="Female"/>
    <x v="6"/>
    <x v="1"/>
    <x v="179"/>
    <s v="Wesley Rice"/>
    <x v="250"/>
    <x v="4"/>
    <x v="254"/>
    <n v="105"/>
    <s v="Emergency"/>
    <d v="2022-06-25T00:00:00"/>
    <s v="Paracetamol"/>
    <s v="Normal"/>
    <x v="4"/>
  </r>
  <r>
    <x v="255"/>
    <s v="56-65"/>
    <n v="56"/>
    <s v="Male"/>
    <x v="1"/>
    <x v="1"/>
    <x v="237"/>
    <s v="Alexander Jones"/>
    <x v="251"/>
    <x v="0"/>
    <x v="255"/>
    <n v="231"/>
    <s v="Urgent"/>
    <d v="2020-12-31T00:00:00"/>
    <s v="Aspirin"/>
    <s v="Normal"/>
    <x v="0"/>
  </r>
  <r>
    <x v="256"/>
    <s v="46-55"/>
    <n v="52"/>
    <s v="Female"/>
    <x v="2"/>
    <x v="1"/>
    <x v="238"/>
    <s v="Jason Wright"/>
    <x v="252"/>
    <x v="0"/>
    <x v="256"/>
    <n v="104"/>
    <s v="Elective"/>
    <d v="2020-04-11T00:00:00"/>
    <s v="Paracetamol"/>
    <s v="Abnormal"/>
    <x v="13"/>
  </r>
  <r>
    <x v="257"/>
    <s v="76-85"/>
    <n v="79"/>
    <s v="Male"/>
    <x v="6"/>
    <x v="1"/>
    <x v="239"/>
    <s v="Allison Schroeder"/>
    <x v="253"/>
    <x v="0"/>
    <x v="257"/>
    <n v="265"/>
    <s v="Emergency"/>
    <d v="2021-09-06T00:00:00"/>
    <s v="Penicillin"/>
    <s v="Inconclusive"/>
    <x v="5"/>
  </r>
  <r>
    <x v="258"/>
    <s v="26-35"/>
    <n v="29"/>
    <s v="Male"/>
    <x v="0"/>
    <x v="1"/>
    <x v="240"/>
    <s v="Elizabeth Chase"/>
    <x v="254"/>
    <x v="1"/>
    <x v="258"/>
    <n v="404"/>
    <s v="Elective"/>
    <d v="2019-12-13T00:00:00"/>
    <s v="Penicillin"/>
    <s v="Abnormal"/>
    <x v="21"/>
  </r>
  <r>
    <x v="259"/>
    <s v="36-45"/>
    <n v="42"/>
    <s v="Female"/>
    <x v="1"/>
    <x v="1"/>
    <x v="241"/>
    <s v="Andrew Mendez"/>
    <x v="255"/>
    <x v="1"/>
    <x v="259"/>
    <n v="155"/>
    <s v="Emergency"/>
    <d v="2020-01-26T00:00:00"/>
    <s v="Penicillin"/>
    <s v="Abnormal"/>
    <x v="13"/>
  </r>
  <r>
    <x v="260"/>
    <s v="56-65"/>
    <n v="62"/>
    <s v="Male"/>
    <x v="0"/>
    <x v="1"/>
    <x v="242"/>
    <s v="Laura Norris"/>
    <x v="256"/>
    <x v="2"/>
    <x v="260"/>
    <n v="292"/>
    <s v="Urgent"/>
    <d v="2019-04-16T00:00:00"/>
    <s v="Lipitor"/>
    <s v="Inconclusive"/>
    <x v="10"/>
  </r>
  <r>
    <x v="261"/>
    <s v="56-65"/>
    <n v="56"/>
    <s v="Male"/>
    <x v="4"/>
    <x v="1"/>
    <x v="45"/>
    <s v="Mark Fischer"/>
    <x v="257"/>
    <x v="2"/>
    <x v="261"/>
    <n v="295"/>
    <s v="Elective"/>
    <d v="2021-08-28T00:00:00"/>
    <s v="Aspirin"/>
    <s v="Abnormal"/>
    <x v="16"/>
  </r>
  <r>
    <x v="262"/>
    <s v="76-85"/>
    <n v="82"/>
    <s v="Male"/>
    <x v="0"/>
    <x v="1"/>
    <x v="243"/>
    <s v="Jennifer Carr"/>
    <x v="258"/>
    <x v="0"/>
    <x v="262"/>
    <n v="491"/>
    <s v="Elective"/>
    <d v="2020-02-16T00:00:00"/>
    <s v="Aspirin"/>
    <s v="Inconclusive"/>
    <x v="5"/>
  </r>
  <r>
    <x v="263"/>
    <s v="36-45"/>
    <n v="40"/>
    <s v="Female"/>
    <x v="1"/>
    <x v="1"/>
    <x v="244"/>
    <s v="Jason Ryan"/>
    <x v="259"/>
    <x v="1"/>
    <x v="263"/>
    <n v="214"/>
    <s v="Emergency"/>
    <d v="2023-04-28T00:00:00"/>
    <s v="Aspirin"/>
    <s v="Abnormal"/>
    <x v="24"/>
  </r>
  <r>
    <x v="264"/>
    <s v="26-35"/>
    <n v="28"/>
    <s v="Female"/>
    <x v="1"/>
    <x v="1"/>
    <x v="245"/>
    <s v="Mike Alvarez"/>
    <x v="260"/>
    <x v="0"/>
    <x v="264"/>
    <n v="155"/>
    <s v="Urgent"/>
    <d v="2020-03-26T00:00:00"/>
    <s v="Aspirin"/>
    <s v="Abnormal"/>
    <x v="26"/>
  </r>
  <r>
    <x v="265"/>
    <s v="46-55"/>
    <n v="48"/>
    <s v="Female"/>
    <x v="6"/>
    <x v="1"/>
    <x v="246"/>
    <s v="Michelle Lopez"/>
    <x v="261"/>
    <x v="0"/>
    <x v="265"/>
    <n v="496"/>
    <s v="Urgent"/>
    <d v="2022-07-25T00:00:00"/>
    <s v="Penicillin"/>
    <s v="Abnormal"/>
    <x v="17"/>
  </r>
  <r>
    <x v="266"/>
    <s v="76-85"/>
    <n v="78"/>
    <s v="Male"/>
    <x v="0"/>
    <x v="1"/>
    <x v="247"/>
    <s v="Michael Smith"/>
    <x v="262"/>
    <x v="2"/>
    <x v="266"/>
    <n v="247"/>
    <s v="Urgent"/>
    <d v="2021-03-03T00:00:00"/>
    <s v="Lipitor"/>
    <s v="Abnormal"/>
    <x v="12"/>
  </r>
  <r>
    <x v="267"/>
    <s v="66-75"/>
    <n v="69"/>
    <s v="Female"/>
    <x v="5"/>
    <x v="1"/>
    <x v="192"/>
    <s v="Dr. Gabriel Gibson"/>
    <x v="263"/>
    <x v="1"/>
    <x v="267"/>
    <n v="303"/>
    <s v="Elective"/>
    <d v="2020-07-05T00:00:00"/>
    <s v="Penicillin"/>
    <s v="Inconclusive"/>
    <x v="0"/>
  </r>
  <r>
    <x v="268"/>
    <s v="46-55"/>
    <n v="55"/>
    <s v="Male"/>
    <x v="7"/>
    <x v="1"/>
    <x v="248"/>
    <s v="Dennis Morris"/>
    <x v="264"/>
    <x v="0"/>
    <x v="268"/>
    <n v="259"/>
    <s v="Urgent"/>
    <d v="2019-02-02T00:00:00"/>
    <s v="Lipitor"/>
    <s v="Abnormal"/>
    <x v="5"/>
  </r>
  <r>
    <x v="269"/>
    <s v="56-65"/>
    <n v="60"/>
    <s v="Male"/>
    <x v="6"/>
    <x v="1"/>
    <x v="249"/>
    <s v="Steven Smith"/>
    <x v="265"/>
    <x v="0"/>
    <x v="269"/>
    <n v="333"/>
    <s v="Urgent"/>
    <d v="2023-09-02T00:00:00"/>
    <s v="Aspirin"/>
    <s v="Normal"/>
    <x v="8"/>
  </r>
  <r>
    <x v="270"/>
    <s v="56-65"/>
    <n v="60"/>
    <s v="Female"/>
    <x v="6"/>
    <x v="1"/>
    <x v="250"/>
    <s v="David Duke"/>
    <x v="266"/>
    <x v="1"/>
    <x v="270"/>
    <n v="175"/>
    <s v="Urgent"/>
    <d v="2023-10-26T00:00:00"/>
    <s v="Lipitor"/>
    <s v="Normal"/>
    <x v="0"/>
  </r>
  <r>
    <x v="271"/>
    <s v="46-55"/>
    <n v="48"/>
    <s v="Male"/>
    <x v="2"/>
    <x v="1"/>
    <x v="251"/>
    <s v="Steven Serrano"/>
    <x v="267"/>
    <x v="2"/>
    <x v="271"/>
    <n v="402"/>
    <s v="Emergency"/>
    <d v="2023-10-14T00:00:00"/>
    <s v="Penicillin"/>
    <s v="Abnormal"/>
    <x v="29"/>
  </r>
  <r>
    <x v="272"/>
    <s v="36-45"/>
    <n v="42"/>
    <s v="Male"/>
    <x v="1"/>
    <x v="1"/>
    <x v="252"/>
    <s v="Gina Maddox"/>
    <x v="268"/>
    <x v="2"/>
    <x v="272"/>
    <n v="223"/>
    <s v="Elective"/>
    <d v="2023-07-30T00:00:00"/>
    <s v="Paracetamol"/>
    <s v="Inconclusive"/>
    <x v="27"/>
  </r>
  <r>
    <x v="273"/>
    <s v="46-55"/>
    <n v="52"/>
    <s v="Female"/>
    <x v="6"/>
    <x v="1"/>
    <x v="194"/>
    <s v="Joyce Cuevas"/>
    <x v="269"/>
    <x v="1"/>
    <x v="273"/>
    <n v="244"/>
    <s v="Urgent"/>
    <d v="2022-12-31T00:00:00"/>
    <s v="Paracetamol"/>
    <s v="Normal"/>
    <x v="10"/>
  </r>
  <r>
    <x v="274"/>
    <s v="56-65"/>
    <n v="63"/>
    <s v="Female"/>
    <x v="3"/>
    <x v="1"/>
    <x v="253"/>
    <s v="James Richard"/>
    <x v="270"/>
    <x v="3"/>
    <x v="274"/>
    <n v="408"/>
    <s v="Emergency"/>
    <d v="2021-12-18T00:00:00"/>
    <s v="Ibuprofen"/>
    <s v="Abnormal"/>
    <x v="17"/>
  </r>
  <r>
    <x v="275"/>
    <s v="76-85"/>
    <n v="81"/>
    <s v="Male"/>
    <x v="5"/>
    <x v="1"/>
    <x v="254"/>
    <s v="Bruce Matthews"/>
    <x v="271"/>
    <x v="4"/>
    <x v="275"/>
    <n v="406"/>
    <s v="Elective"/>
    <d v="2021-05-01T00:00:00"/>
    <s v="Ibuprofen"/>
    <s v="Abnormal"/>
    <x v="3"/>
  </r>
  <r>
    <x v="276"/>
    <s v="46-55"/>
    <n v="46"/>
    <s v="Female"/>
    <x v="5"/>
    <x v="1"/>
    <x v="110"/>
    <s v="Jose Boone"/>
    <x v="272"/>
    <x v="3"/>
    <x v="276"/>
    <n v="266"/>
    <s v="Emergency"/>
    <d v="2023-02-13T00:00:00"/>
    <s v="Penicillin"/>
    <s v="Normal"/>
    <x v="22"/>
  </r>
  <r>
    <x v="277"/>
    <s v="18-25"/>
    <n v="18"/>
    <s v="Female"/>
    <x v="7"/>
    <x v="1"/>
    <x v="255"/>
    <s v="Lisa Salazar"/>
    <x v="273"/>
    <x v="1"/>
    <x v="277"/>
    <n v="136"/>
    <s v="Elective"/>
    <d v="2020-08-30T00:00:00"/>
    <s v="Ibuprofen"/>
    <s v="Normal"/>
    <x v="20"/>
  </r>
  <r>
    <x v="278"/>
    <s v="76-85"/>
    <n v="82"/>
    <s v="Male"/>
    <x v="4"/>
    <x v="1"/>
    <x v="256"/>
    <s v="Anthony Ross"/>
    <x v="274"/>
    <x v="0"/>
    <x v="278"/>
    <n v="450"/>
    <s v="Elective"/>
    <d v="2019-03-22T00:00:00"/>
    <s v="Lipitor"/>
    <s v="Normal"/>
    <x v="17"/>
  </r>
  <r>
    <x v="279"/>
    <s v="26-35"/>
    <n v="35"/>
    <s v="Male"/>
    <x v="4"/>
    <x v="1"/>
    <x v="257"/>
    <s v="James Allison"/>
    <x v="275"/>
    <x v="1"/>
    <x v="279"/>
    <n v="383"/>
    <s v="Emergency"/>
    <d v="2021-10-27T00:00:00"/>
    <s v="Paracetamol"/>
    <s v="Abnormal"/>
    <x v="18"/>
  </r>
  <r>
    <x v="280"/>
    <s v="76-85"/>
    <n v="79"/>
    <s v="Female"/>
    <x v="1"/>
    <x v="1"/>
    <x v="258"/>
    <s v="Deanna Williams MD"/>
    <x v="276"/>
    <x v="0"/>
    <x v="280"/>
    <n v="366"/>
    <s v="Elective"/>
    <d v="2019-12-12T00:00:00"/>
    <s v="Penicillin"/>
    <s v="Abnormal"/>
    <x v="16"/>
  </r>
  <r>
    <x v="281"/>
    <s v="76-85"/>
    <n v="81"/>
    <s v="Female"/>
    <x v="5"/>
    <x v="1"/>
    <x v="259"/>
    <s v="Christopher Owens"/>
    <x v="277"/>
    <x v="0"/>
    <x v="281"/>
    <n v="303"/>
    <s v="Elective"/>
    <d v="2020-10-04T00:00:00"/>
    <s v="Paracetamol"/>
    <s v="Abnormal"/>
    <x v="23"/>
  </r>
  <r>
    <x v="282"/>
    <s v="46-55"/>
    <n v="48"/>
    <s v="Male"/>
    <x v="5"/>
    <x v="1"/>
    <x v="260"/>
    <s v="James Nichols"/>
    <x v="278"/>
    <x v="2"/>
    <x v="282"/>
    <n v="372"/>
    <s v="Urgent"/>
    <d v="2023-03-19T00:00:00"/>
    <s v="Lipitor"/>
    <s v="Normal"/>
    <x v="10"/>
  </r>
  <r>
    <x v="283"/>
    <s v="46-55"/>
    <n v="48"/>
    <s v="Female"/>
    <x v="4"/>
    <x v="1"/>
    <x v="261"/>
    <s v="Maurice Collins"/>
    <x v="279"/>
    <x v="2"/>
    <x v="283"/>
    <n v="101"/>
    <s v="Urgent"/>
    <d v="2022-05-05T00:00:00"/>
    <s v="Lipitor"/>
    <s v="Normal"/>
    <x v="22"/>
  </r>
  <r>
    <x v="284"/>
    <s v="66-75"/>
    <n v="74"/>
    <s v="Female"/>
    <x v="5"/>
    <x v="1"/>
    <x v="262"/>
    <s v="Lindsay Watson"/>
    <x v="280"/>
    <x v="0"/>
    <x v="284"/>
    <n v="130"/>
    <s v="Urgent"/>
    <d v="2021-11-25T00:00:00"/>
    <s v="Ibuprofen"/>
    <s v="Normal"/>
    <x v="8"/>
  </r>
  <r>
    <x v="285"/>
    <s v="56-65"/>
    <n v="61"/>
    <s v="Male"/>
    <x v="2"/>
    <x v="1"/>
    <x v="38"/>
    <s v="Amber Flores"/>
    <x v="281"/>
    <x v="1"/>
    <x v="285"/>
    <n v="465"/>
    <s v="Elective"/>
    <d v="2022-05-25T00:00:00"/>
    <s v="Aspirin"/>
    <s v="Normal"/>
    <x v="13"/>
  </r>
  <r>
    <x v="286"/>
    <s v="76-85"/>
    <n v="78"/>
    <s v="Male"/>
    <x v="4"/>
    <x v="1"/>
    <x v="263"/>
    <s v="Corey Hopkins"/>
    <x v="282"/>
    <x v="0"/>
    <x v="286"/>
    <n v="118"/>
    <s v="Emergency"/>
    <d v="2021-03-29T00:00:00"/>
    <s v="Lipitor"/>
    <s v="Inconclusive"/>
    <x v="26"/>
  </r>
  <r>
    <x v="287"/>
    <s v="66-75"/>
    <n v="72"/>
    <s v="Female"/>
    <x v="3"/>
    <x v="1"/>
    <x v="264"/>
    <s v="Jonathan Mcmillan"/>
    <x v="283"/>
    <x v="3"/>
    <x v="287"/>
    <n v="453"/>
    <s v="Elective"/>
    <d v="2019-05-27T00:00:00"/>
    <s v="Penicillin"/>
    <s v="Normal"/>
    <x v="23"/>
  </r>
  <r>
    <x v="288"/>
    <s v="56-65"/>
    <n v="64"/>
    <s v="Female"/>
    <x v="1"/>
    <x v="1"/>
    <x v="265"/>
    <s v="Ian Hunter"/>
    <x v="284"/>
    <x v="3"/>
    <x v="288"/>
    <n v="137"/>
    <s v="Elective"/>
    <d v="2020-02-27T00:00:00"/>
    <s v="Aspirin"/>
    <s v="Abnormal"/>
    <x v="9"/>
  </r>
  <r>
    <x v="289"/>
    <s v="36-45"/>
    <n v="45"/>
    <s v="Male"/>
    <x v="3"/>
    <x v="1"/>
    <x v="266"/>
    <s v="Adam Gonzales"/>
    <x v="285"/>
    <x v="3"/>
    <x v="289"/>
    <n v="155"/>
    <s v="Emergency"/>
    <d v="2022-05-04T00:00:00"/>
    <s v="Penicillin"/>
    <s v="Inconclusive"/>
    <x v="26"/>
  </r>
  <r>
    <x v="290"/>
    <s v="76-85"/>
    <n v="77"/>
    <s v="Male"/>
    <x v="3"/>
    <x v="1"/>
    <x v="267"/>
    <s v="Tony Bean"/>
    <x v="286"/>
    <x v="1"/>
    <x v="290"/>
    <n v="250"/>
    <s v="Emergency"/>
    <d v="2020-02-17T00:00:00"/>
    <s v="Lipitor"/>
    <s v="Abnormal"/>
    <x v="25"/>
  </r>
  <r>
    <x v="291"/>
    <s v="18-25"/>
    <n v="21"/>
    <s v="Female"/>
    <x v="7"/>
    <x v="1"/>
    <x v="268"/>
    <s v="Eddie Shah"/>
    <x v="287"/>
    <x v="0"/>
    <x v="291"/>
    <n v="359"/>
    <s v="Elective"/>
    <d v="2019-08-08T00:00:00"/>
    <s v="Lipitor"/>
    <s v="Inconclusive"/>
    <x v="16"/>
  </r>
  <r>
    <x v="292"/>
    <s v="46-55"/>
    <n v="54"/>
    <s v="Female"/>
    <x v="3"/>
    <x v="1"/>
    <x v="269"/>
    <s v="Jonathan Rodriguez"/>
    <x v="288"/>
    <x v="4"/>
    <x v="292"/>
    <n v="361"/>
    <s v="Urgent"/>
    <d v="2018-11-19T00:00:00"/>
    <s v="Paracetamol"/>
    <s v="Abnormal"/>
    <x v="5"/>
  </r>
  <r>
    <x v="293"/>
    <s v="76-85"/>
    <n v="81"/>
    <s v="Female"/>
    <x v="6"/>
    <x v="1"/>
    <x v="270"/>
    <s v="Dr. Jessica Castro"/>
    <x v="289"/>
    <x v="3"/>
    <x v="293"/>
    <n v="246"/>
    <s v="Urgent"/>
    <d v="2019-10-17T00:00:00"/>
    <s v="Paracetamol"/>
    <s v="Abnormal"/>
    <x v="28"/>
  </r>
  <r>
    <x v="294"/>
    <s v="36-45"/>
    <n v="45"/>
    <s v="Male"/>
    <x v="2"/>
    <x v="1"/>
    <x v="271"/>
    <s v="Kayla Hernandez"/>
    <x v="290"/>
    <x v="4"/>
    <x v="294"/>
    <n v="269"/>
    <s v="Urgent"/>
    <d v="2022-08-02T00:00:00"/>
    <s v="Aspirin"/>
    <s v="Abnormal"/>
    <x v="26"/>
  </r>
  <r>
    <x v="295"/>
    <s v="66-75"/>
    <n v="74"/>
    <s v="Female"/>
    <x v="2"/>
    <x v="1"/>
    <x v="272"/>
    <s v="Michael Lloyd"/>
    <x v="291"/>
    <x v="0"/>
    <x v="295"/>
    <n v="355"/>
    <s v="Elective"/>
    <d v="2021-11-18T00:00:00"/>
    <s v="Lipitor"/>
    <s v="Inconclusive"/>
    <x v="13"/>
  </r>
  <r>
    <x v="296"/>
    <s v="56-65"/>
    <n v="65"/>
    <s v="Female"/>
    <x v="6"/>
    <x v="1"/>
    <x v="273"/>
    <s v="Christopher Wallace"/>
    <x v="292"/>
    <x v="4"/>
    <x v="296"/>
    <n v="424"/>
    <s v="Emergency"/>
    <d v="2021-12-26T00:00:00"/>
    <s v="Ibuprofen"/>
    <s v="Normal"/>
    <x v="5"/>
  </r>
  <r>
    <x v="297"/>
    <s v="76-85"/>
    <n v="85"/>
    <s v="Female"/>
    <x v="7"/>
    <x v="1"/>
    <x v="211"/>
    <s v="Joseph Navarro"/>
    <x v="293"/>
    <x v="4"/>
    <x v="297"/>
    <n v="264"/>
    <s v="Elective"/>
    <d v="2023-05-27T00:00:00"/>
    <s v="Aspirin"/>
    <s v="Inconclusive"/>
    <x v="2"/>
  </r>
  <r>
    <x v="298"/>
    <s v="66-75"/>
    <n v="71"/>
    <s v="Female"/>
    <x v="7"/>
    <x v="1"/>
    <x v="106"/>
    <s v="Donald Williams"/>
    <x v="294"/>
    <x v="0"/>
    <x v="298"/>
    <n v="291"/>
    <s v="Urgent"/>
    <d v="2021-09-01T00:00:00"/>
    <s v="Aspirin"/>
    <s v="Normal"/>
    <x v="18"/>
  </r>
  <r>
    <x v="299"/>
    <s v="46-55"/>
    <n v="51"/>
    <s v="Male"/>
    <x v="4"/>
    <x v="1"/>
    <x v="274"/>
    <s v="Pamela Brown"/>
    <x v="295"/>
    <x v="3"/>
    <x v="299"/>
    <n v="228"/>
    <s v="Elective"/>
    <d v="2021-02-23T00:00:00"/>
    <s v="Paracetamol"/>
    <s v="Abnormal"/>
    <x v="12"/>
  </r>
  <r>
    <x v="300"/>
    <s v="36-45"/>
    <n v="45"/>
    <s v="Female"/>
    <x v="2"/>
    <x v="1"/>
    <x v="275"/>
    <s v="Karen Baker"/>
    <x v="296"/>
    <x v="3"/>
    <x v="300"/>
    <n v="495"/>
    <s v="Emergency"/>
    <d v="2023-10-01T00:00:00"/>
    <s v="Aspirin"/>
    <s v="Normal"/>
    <x v="1"/>
  </r>
  <r>
    <x v="301"/>
    <s v="56-65"/>
    <n v="57"/>
    <s v="Male"/>
    <x v="1"/>
    <x v="1"/>
    <x v="168"/>
    <s v="Pedro Harmon"/>
    <x v="297"/>
    <x v="2"/>
    <x v="301"/>
    <n v="357"/>
    <s v="Urgent"/>
    <d v="2021-06-12T00:00:00"/>
    <s v="Paracetamol"/>
    <s v="Abnormal"/>
    <x v="0"/>
  </r>
  <r>
    <x v="302"/>
    <s v="46-55"/>
    <n v="50"/>
    <s v="Male"/>
    <x v="4"/>
    <x v="1"/>
    <x v="276"/>
    <s v="Chris Torres"/>
    <x v="298"/>
    <x v="2"/>
    <x v="302"/>
    <n v="496"/>
    <s v="Emergency"/>
    <d v="2021-05-14T00:00:00"/>
    <s v="Ibuprofen"/>
    <s v="Abnormal"/>
    <x v="23"/>
  </r>
  <r>
    <x v="303"/>
    <s v="18-25"/>
    <n v="19"/>
    <s v="Male"/>
    <x v="7"/>
    <x v="1"/>
    <x v="277"/>
    <s v="Scott Martin"/>
    <x v="299"/>
    <x v="1"/>
    <x v="303"/>
    <n v="270"/>
    <s v="Elective"/>
    <d v="2021-01-20T00:00:00"/>
    <s v="Ibuprofen"/>
    <s v="Inconclusive"/>
    <x v="5"/>
  </r>
  <r>
    <x v="304"/>
    <s v="18-25"/>
    <n v="18"/>
    <s v="Male"/>
    <x v="7"/>
    <x v="1"/>
    <x v="278"/>
    <s v="Dean Hart"/>
    <x v="300"/>
    <x v="1"/>
    <x v="304"/>
    <n v="312"/>
    <s v="Emergency"/>
    <d v="2023-08-20T00:00:00"/>
    <s v="Penicillin"/>
    <s v="Inconclusive"/>
    <x v="21"/>
  </r>
  <r>
    <x v="305"/>
    <s v="66-75"/>
    <n v="73"/>
    <s v="Male"/>
    <x v="7"/>
    <x v="1"/>
    <x v="279"/>
    <s v="Jason Kelley"/>
    <x v="301"/>
    <x v="4"/>
    <x v="305"/>
    <n v="153"/>
    <s v="Elective"/>
    <d v="2022-09-13T00:00:00"/>
    <s v="Aspirin"/>
    <s v="Inconclusive"/>
    <x v="26"/>
  </r>
  <r>
    <x v="306"/>
    <s v="26-35"/>
    <n v="35"/>
    <s v="Male"/>
    <x v="6"/>
    <x v="1"/>
    <x v="202"/>
    <s v="Diane Jackson"/>
    <x v="302"/>
    <x v="4"/>
    <x v="306"/>
    <n v="404"/>
    <s v="Emergency"/>
    <d v="2023-06-15T00:00:00"/>
    <s v="Lipitor"/>
    <s v="Normal"/>
    <x v="15"/>
  </r>
  <r>
    <x v="307"/>
    <s v="66-75"/>
    <n v="66"/>
    <s v="Male"/>
    <x v="2"/>
    <x v="1"/>
    <x v="280"/>
    <s v="Matthew Stafford"/>
    <x v="303"/>
    <x v="1"/>
    <x v="307"/>
    <n v="252"/>
    <s v="Elective"/>
    <d v="2023-05-18T00:00:00"/>
    <s v="Paracetamol"/>
    <s v="Abnormal"/>
    <x v="8"/>
  </r>
  <r>
    <x v="308"/>
    <s v="26-35"/>
    <n v="33"/>
    <s v="Male"/>
    <x v="3"/>
    <x v="1"/>
    <x v="281"/>
    <s v="John Brown"/>
    <x v="304"/>
    <x v="3"/>
    <x v="308"/>
    <n v="152"/>
    <s v="Elective"/>
    <d v="2019-10-24T00:00:00"/>
    <s v="Ibuprofen"/>
    <s v="Inconclusive"/>
    <x v="9"/>
  </r>
  <r>
    <x v="309"/>
    <s v="66-75"/>
    <n v="73"/>
    <s v="Male"/>
    <x v="4"/>
    <x v="1"/>
    <x v="191"/>
    <s v="Brian Adams"/>
    <x v="305"/>
    <x v="0"/>
    <x v="309"/>
    <n v="436"/>
    <s v="Urgent"/>
    <d v="2022-01-15T00:00:00"/>
    <s v="Ibuprofen"/>
    <s v="Normal"/>
    <x v="20"/>
  </r>
  <r>
    <x v="310"/>
    <s v="76-85"/>
    <n v="81"/>
    <s v="Male"/>
    <x v="7"/>
    <x v="1"/>
    <x v="282"/>
    <s v="Dana Davidson"/>
    <x v="306"/>
    <x v="4"/>
    <x v="310"/>
    <n v="159"/>
    <s v="Urgent"/>
    <d v="2019-07-04T00:00:00"/>
    <s v="Ibuprofen"/>
    <s v="Normal"/>
    <x v="8"/>
  </r>
  <r>
    <x v="311"/>
    <s v="46-55"/>
    <n v="54"/>
    <s v="Female"/>
    <x v="3"/>
    <x v="1"/>
    <x v="283"/>
    <s v="Allen Powers"/>
    <x v="307"/>
    <x v="0"/>
    <x v="311"/>
    <n v="395"/>
    <s v="Emergency"/>
    <d v="2020-06-07T00:00:00"/>
    <s v="Ibuprofen"/>
    <s v="Inconclusive"/>
    <x v="19"/>
  </r>
  <r>
    <x v="312"/>
    <s v="26-35"/>
    <n v="29"/>
    <s v="Male"/>
    <x v="2"/>
    <x v="1"/>
    <x v="263"/>
    <s v="Luis Cabrera"/>
    <x v="308"/>
    <x v="4"/>
    <x v="312"/>
    <n v="290"/>
    <s v="Emergency"/>
    <d v="2021-03-18T00:00:00"/>
    <s v="Aspirin"/>
    <s v="Abnormal"/>
    <x v="10"/>
  </r>
  <r>
    <x v="313"/>
    <s v="66-75"/>
    <n v="72"/>
    <s v="Male"/>
    <x v="7"/>
    <x v="1"/>
    <x v="92"/>
    <s v="Michael Hodges"/>
    <x v="309"/>
    <x v="0"/>
    <x v="313"/>
    <n v="475"/>
    <s v="Urgent"/>
    <d v="2021-07-10T00:00:00"/>
    <s v="Aspirin"/>
    <s v="Normal"/>
    <x v="10"/>
  </r>
  <r>
    <x v="314"/>
    <s v="36-45"/>
    <n v="39"/>
    <s v="Female"/>
    <x v="0"/>
    <x v="1"/>
    <x v="284"/>
    <s v="Jessica Bailey"/>
    <x v="310"/>
    <x v="3"/>
    <x v="314"/>
    <n v="310"/>
    <s v="Urgent"/>
    <d v="2022-12-16T00:00:00"/>
    <s v="Aspirin"/>
    <s v="Normal"/>
    <x v="24"/>
  </r>
  <r>
    <x v="315"/>
    <s v="26-35"/>
    <n v="31"/>
    <s v="Female"/>
    <x v="6"/>
    <x v="1"/>
    <x v="285"/>
    <s v="Michelle Robinson MD"/>
    <x v="311"/>
    <x v="4"/>
    <x v="315"/>
    <n v="263"/>
    <s v="Emergency"/>
    <d v="2023-04-02T00:00:00"/>
    <s v="Penicillin"/>
    <s v="Inconclusive"/>
    <x v="21"/>
  </r>
  <r>
    <x v="316"/>
    <s v="18-25"/>
    <n v="21"/>
    <s v="Female"/>
    <x v="1"/>
    <x v="1"/>
    <x v="286"/>
    <s v="Carol Brown"/>
    <x v="312"/>
    <x v="2"/>
    <x v="316"/>
    <n v="245"/>
    <s v="Urgent"/>
    <d v="2022-06-29T00:00:00"/>
    <s v="Ibuprofen"/>
    <s v="Abnormal"/>
    <x v="29"/>
  </r>
  <r>
    <x v="317"/>
    <s v="56-65"/>
    <n v="57"/>
    <s v="Female"/>
    <x v="1"/>
    <x v="1"/>
    <x v="287"/>
    <s v="William Oconnor"/>
    <x v="313"/>
    <x v="2"/>
    <x v="317"/>
    <n v="458"/>
    <s v="Urgent"/>
    <d v="2022-12-09T00:00:00"/>
    <s v="Paracetamol"/>
    <s v="Normal"/>
    <x v="26"/>
  </r>
  <r>
    <x v="318"/>
    <s v="36-45"/>
    <n v="39"/>
    <s v="Male"/>
    <x v="3"/>
    <x v="1"/>
    <x v="288"/>
    <s v="Toni Hoover"/>
    <x v="314"/>
    <x v="4"/>
    <x v="318"/>
    <n v="443"/>
    <s v="Urgent"/>
    <d v="2020-03-07T00:00:00"/>
    <s v="Aspirin"/>
    <s v="Abnormal"/>
    <x v="5"/>
  </r>
  <r>
    <x v="319"/>
    <s v="18-25"/>
    <n v="22"/>
    <s v="Female"/>
    <x v="3"/>
    <x v="1"/>
    <x v="289"/>
    <s v="Jacqueline Steele"/>
    <x v="315"/>
    <x v="3"/>
    <x v="319"/>
    <n v="399"/>
    <s v="Urgent"/>
    <d v="2023-02-11T00:00:00"/>
    <s v="Ibuprofen"/>
    <s v="Abnormal"/>
    <x v="10"/>
  </r>
  <r>
    <x v="320"/>
    <s v="76-85"/>
    <n v="79"/>
    <s v="Male"/>
    <x v="0"/>
    <x v="1"/>
    <x v="290"/>
    <s v="Michael Chang"/>
    <x v="316"/>
    <x v="3"/>
    <x v="320"/>
    <n v="364"/>
    <s v="Urgent"/>
    <d v="2022-12-26T00:00:00"/>
    <s v="Penicillin"/>
    <s v="Abnormal"/>
    <x v="15"/>
  </r>
  <r>
    <x v="321"/>
    <s v="56-65"/>
    <n v="63"/>
    <s v="Male"/>
    <x v="1"/>
    <x v="1"/>
    <x v="291"/>
    <s v="Madeline Smith"/>
    <x v="317"/>
    <x v="2"/>
    <x v="321"/>
    <n v="441"/>
    <s v="Emergency"/>
    <d v="2019-08-25T00:00:00"/>
    <s v="Ibuprofen"/>
    <s v="Inconclusive"/>
    <x v="17"/>
  </r>
  <r>
    <x v="322"/>
    <s v="26-35"/>
    <n v="26"/>
    <s v="Female"/>
    <x v="3"/>
    <x v="1"/>
    <x v="289"/>
    <s v="Anna Knapp"/>
    <x v="318"/>
    <x v="0"/>
    <x v="322"/>
    <n v="445"/>
    <s v="Emergency"/>
    <d v="2023-02-18T00:00:00"/>
    <s v="Ibuprofen"/>
    <s v="Abnormal"/>
    <x v="25"/>
  </r>
  <r>
    <x v="323"/>
    <s v="76-85"/>
    <n v="80"/>
    <s v="Male"/>
    <x v="4"/>
    <x v="1"/>
    <x v="292"/>
    <s v="Wanda Warren"/>
    <x v="319"/>
    <x v="1"/>
    <x v="323"/>
    <n v="361"/>
    <s v="Emergency"/>
    <d v="2021-03-02T00:00:00"/>
    <s v="Ibuprofen"/>
    <s v="Abnormal"/>
    <x v="26"/>
  </r>
  <r>
    <x v="324"/>
    <s v="26-35"/>
    <n v="31"/>
    <s v="Female"/>
    <x v="6"/>
    <x v="1"/>
    <x v="293"/>
    <s v="Daniel Mack"/>
    <x v="320"/>
    <x v="3"/>
    <x v="324"/>
    <n v="272"/>
    <s v="Elective"/>
    <d v="2019-07-23T00:00:00"/>
    <s v="Lipitor"/>
    <s v="Normal"/>
    <x v="0"/>
  </r>
  <r>
    <x v="325"/>
    <s v="56-65"/>
    <n v="65"/>
    <s v="Male"/>
    <x v="1"/>
    <x v="1"/>
    <x v="294"/>
    <s v="Paul Tanner"/>
    <x v="321"/>
    <x v="0"/>
    <x v="325"/>
    <n v="227"/>
    <s v="Elective"/>
    <d v="2022-06-24T00:00:00"/>
    <s v="Penicillin"/>
    <s v="Inconclusive"/>
    <x v="20"/>
  </r>
  <r>
    <x v="326"/>
    <s v="46-55"/>
    <n v="46"/>
    <s v="Female"/>
    <x v="1"/>
    <x v="1"/>
    <x v="295"/>
    <s v="Wendy Galloway"/>
    <x v="322"/>
    <x v="1"/>
    <x v="326"/>
    <n v="469"/>
    <s v="Urgent"/>
    <d v="2023-03-05T00:00:00"/>
    <s v="Penicillin"/>
    <s v="Inconclusive"/>
    <x v="21"/>
  </r>
  <r>
    <x v="327"/>
    <s v="76-85"/>
    <n v="84"/>
    <s v="Female"/>
    <x v="6"/>
    <x v="1"/>
    <x v="166"/>
    <s v="Carol Park"/>
    <x v="323"/>
    <x v="3"/>
    <x v="327"/>
    <n v="357"/>
    <s v="Elective"/>
    <d v="2022-10-26T00:00:00"/>
    <s v="Ibuprofen"/>
    <s v="Abnormal"/>
    <x v="6"/>
  </r>
  <r>
    <x v="328"/>
    <s v="56-65"/>
    <n v="64"/>
    <s v="Female"/>
    <x v="5"/>
    <x v="1"/>
    <x v="296"/>
    <s v="Travis Davidson"/>
    <x v="324"/>
    <x v="2"/>
    <x v="328"/>
    <n v="232"/>
    <s v="Urgent"/>
    <d v="2018-11-05T00:00:00"/>
    <s v="Lipitor"/>
    <s v="Normal"/>
    <x v="18"/>
  </r>
  <r>
    <x v="329"/>
    <s v="36-45"/>
    <n v="39"/>
    <s v="Female"/>
    <x v="0"/>
    <x v="1"/>
    <x v="297"/>
    <s v="Anna Mclean"/>
    <x v="325"/>
    <x v="2"/>
    <x v="329"/>
    <n v="312"/>
    <s v="Elective"/>
    <d v="2021-05-20T00:00:00"/>
    <s v="Penicillin"/>
    <s v="Normal"/>
    <x v="11"/>
  </r>
  <r>
    <x v="330"/>
    <s v="56-65"/>
    <n v="60"/>
    <s v="Male"/>
    <x v="1"/>
    <x v="1"/>
    <x v="18"/>
    <s v="Latoya Knapp"/>
    <x v="326"/>
    <x v="2"/>
    <x v="330"/>
    <n v="456"/>
    <s v="Elective"/>
    <d v="2021-06-21T00:00:00"/>
    <s v="Ibuprofen"/>
    <s v="Normal"/>
    <x v="29"/>
  </r>
  <r>
    <x v="331"/>
    <s v="18-25"/>
    <n v="22"/>
    <s v="Male"/>
    <x v="3"/>
    <x v="1"/>
    <x v="207"/>
    <s v="Dawn Waller"/>
    <x v="33"/>
    <x v="3"/>
    <x v="331"/>
    <n v="497"/>
    <s v="Elective"/>
    <d v="2021-10-15T00:00:00"/>
    <s v="Ibuprofen"/>
    <s v="Inconclusive"/>
    <x v="25"/>
  </r>
  <r>
    <x v="332"/>
    <s v="66-75"/>
    <n v="68"/>
    <s v="Female"/>
    <x v="4"/>
    <x v="1"/>
    <x v="298"/>
    <s v="Kenneth Nunez"/>
    <x v="327"/>
    <x v="3"/>
    <x v="332"/>
    <n v="340"/>
    <s v="Urgent"/>
    <d v="2020-03-20T00:00:00"/>
    <s v="Penicillin"/>
    <s v="Inconclusive"/>
    <x v="7"/>
  </r>
  <r>
    <x v="333"/>
    <s v="18-25"/>
    <n v="24"/>
    <s v="Male"/>
    <x v="2"/>
    <x v="1"/>
    <x v="299"/>
    <s v="Pamela Patel"/>
    <x v="328"/>
    <x v="3"/>
    <x v="333"/>
    <n v="347"/>
    <s v="Elective"/>
    <d v="2022-11-09T00:00:00"/>
    <s v="Aspirin"/>
    <s v="Abnormal"/>
    <x v="10"/>
  </r>
  <r>
    <x v="334"/>
    <s v="26-35"/>
    <n v="34"/>
    <s v="Female"/>
    <x v="5"/>
    <x v="1"/>
    <x v="300"/>
    <s v="Allison Bond"/>
    <x v="329"/>
    <x v="0"/>
    <x v="334"/>
    <n v="398"/>
    <s v="Urgent"/>
    <d v="2019-01-13T00:00:00"/>
    <s v="Lipitor"/>
    <s v="Normal"/>
    <x v="27"/>
  </r>
  <r>
    <x v="335"/>
    <s v="36-45"/>
    <n v="39"/>
    <s v="Female"/>
    <x v="0"/>
    <x v="2"/>
    <x v="301"/>
    <s v="Cory Campbell"/>
    <x v="330"/>
    <x v="3"/>
    <x v="335"/>
    <n v="121"/>
    <s v="Emergency"/>
    <d v="2020-10-18T00:00:00"/>
    <s v="Aspirin"/>
    <s v="Normal"/>
    <x v="22"/>
  </r>
  <r>
    <x v="336"/>
    <s v="18-25"/>
    <n v="18"/>
    <s v="Male"/>
    <x v="0"/>
    <x v="2"/>
    <x v="302"/>
    <s v="Norman Williams"/>
    <x v="331"/>
    <x v="0"/>
    <x v="336"/>
    <n v="142"/>
    <s v="Urgent"/>
    <d v="2018-12-07T00:00:00"/>
    <s v="Paracetamol"/>
    <s v="Normal"/>
    <x v="26"/>
  </r>
  <r>
    <x v="337"/>
    <s v="46-55"/>
    <n v="50"/>
    <s v="Female"/>
    <x v="3"/>
    <x v="2"/>
    <x v="13"/>
    <s v="Russell Smith"/>
    <x v="332"/>
    <x v="3"/>
    <x v="337"/>
    <n v="310"/>
    <s v="Urgent"/>
    <d v="2018-12-12T00:00:00"/>
    <s v="Penicillin"/>
    <s v="Inconclusive"/>
    <x v="11"/>
  </r>
  <r>
    <x v="338"/>
    <s v="26-35"/>
    <n v="35"/>
    <s v="Male"/>
    <x v="1"/>
    <x v="2"/>
    <x v="156"/>
    <s v="John Chavez MD"/>
    <x v="33"/>
    <x v="1"/>
    <x v="338"/>
    <n v="141"/>
    <s v="Urgent"/>
    <d v="2019-07-20T00:00:00"/>
    <s v="Lipitor"/>
    <s v="Abnormal"/>
    <x v="4"/>
  </r>
  <r>
    <x v="339"/>
    <s v="18-25"/>
    <n v="19"/>
    <s v="Male"/>
    <x v="0"/>
    <x v="2"/>
    <x v="303"/>
    <s v="Karen Cox"/>
    <x v="333"/>
    <x v="3"/>
    <x v="339"/>
    <n v="303"/>
    <s v="Emergency"/>
    <d v="2019-02-05T00:00:00"/>
    <s v="Lipitor"/>
    <s v="Abnormal"/>
    <x v="2"/>
  </r>
  <r>
    <x v="340"/>
    <s v="36-45"/>
    <n v="42"/>
    <s v="Female"/>
    <x v="6"/>
    <x v="2"/>
    <x v="304"/>
    <s v="Amber Jennings"/>
    <x v="334"/>
    <x v="2"/>
    <x v="340"/>
    <n v="292"/>
    <s v="Elective"/>
    <d v="2020-07-23T00:00:00"/>
    <s v="Penicillin"/>
    <s v="Normal"/>
    <x v="12"/>
  </r>
  <r>
    <x v="341"/>
    <s v="76-85"/>
    <n v="79"/>
    <s v="Female"/>
    <x v="7"/>
    <x v="2"/>
    <x v="305"/>
    <s v="Brittany Lewis"/>
    <x v="335"/>
    <x v="0"/>
    <x v="341"/>
    <n v="262"/>
    <s v="Urgent"/>
    <d v="2019-01-24T00:00:00"/>
    <s v="Aspirin"/>
    <s v="Normal"/>
    <x v="17"/>
  </r>
  <r>
    <x v="342"/>
    <s v="76-85"/>
    <n v="77"/>
    <s v="Female"/>
    <x v="0"/>
    <x v="2"/>
    <x v="306"/>
    <s v="Laurie Floyd"/>
    <x v="336"/>
    <x v="0"/>
    <x v="342"/>
    <n v="231"/>
    <s v="Emergency"/>
    <d v="2022-03-23T00:00:00"/>
    <s v="Ibuprofen"/>
    <s v="Abnormal"/>
    <x v="20"/>
  </r>
  <r>
    <x v="343"/>
    <s v="36-45"/>
    <n v="45"/>
    <s v="Male"/>
    <x v="4"/>
    <x v="2"/>
    <x v="307"/>
    <s v="Anthony Roberts"/>
    <x v="337"/>
    <x v="1"/>
    <x v="343"/>
    <n v="306"/>
    <s v="Emergency"/>
    <d v="2021-05-11T00:00:00"/>
    <s v="Penicillin"/>
    <s v="Abnormal"/>
    <x v="29"/>
  </r>
  <r>
    <x v="344"/>
    <s v="36-45"/>
    <n v="37"/>
    <s v="Male"/>
    <x v="5"/>
    <x v="2"/>
    <x v="0"/>
    <s v="Colleen Velazquez"/>
    <x v="338"/>
    <x v="2"/>
    <x v="344"/>
    <n v="148"/>
    <s v="Emergency"/>
    <d v="2021-04-04T00:00:00"/>
    <s v="Lipitor"/>
    <s v="Normal"/>
    <x v="11"/>
  </r>
  <r>
    <x v="345"/>
    <s v="18-25"/>
    <n v="23"/>
    <s v="Male"/>
    <x v="7"/>
    <x v="2"/>
    <x v="308"/>
    <s v="Christopher Flores"/>
    <x v="339"/>
    <x v="3"/>
    <x v="345"/>
    <n v="237"/>
    <s v="Emergency"/>
    <d v="2019-09-21T00:00:00"/>
    <s v="Lipitor"/>
    <s v="Normal"/>
    <x v="5"/>
  </r>
  <r>
    <x v="346"/>
    <s v="76-85"/>
    <n v="81"/>
    <s v="Male"/>
    <x v="6"/>
    <x v="2"/>
    <x v="309"/>
    <s v="Kimberly Henry"/>
    <x v="340"/>
    <x v="0"/>
    <x v="346"/>
    <n v="326"/>
    <s v="Emergency"/>
    <d v="2023-04-18T00:00:00"/>
    <s v="Ibuprofen"/>
    <s v="Normal"/>
    <x v="19"/>
  </r>
  <r>
    <x v="347"/>
    <s v="56-65"/>
    <n v="62"/>
    <s v="Male"/>
    <x v="4"/>
    <x v="2"/>
    <x v="241"/>
    <s v="Joseph Park"/>
    <x v="341"/>
    <x v="3"/>
    <x v="347"/>
    <n v="178"/>
    <s v="Urgent"/>
    <d v="2020-01-07T00:00:00"/>
    <s v="Lipitor"/>
    <s v="Inconclusive"/>
    <x v="16"/>
  </r>
  <r>
    <x v="348"/>
    <s v="18-25"/>
    <n v="20"/>
    <s v="Female"/>
    <x v="1"/>
    <x v="2"/>
    <x v="310"/>
    <s v="Ronald Chen"/>
    <x v="342"/>
    <x v="4"/>
    <x v="348"/>
    <n v="295"/>
    <s v="Emergency"/>
    <d v="2021-06-28T00:00:00"/>
    <s v="Paracetamol"/>
    <s v="Normal"/>
    <x v="8"/>
  </r>
  <r>
    <x v="349"/>
    <s v="56-65"/>
    <n v="59"/>
    <s v="Female"/>
    <x v="5"/>
    <x v="2"/>
    <x v="311"/>
    <s v="Julia Perez"/>
    <x v="343"/>
    <x v="0"/>
    <x v="349"/>
    <n v="249"/>
    <s v="Emergency"/>
    <d v="2022-07-28T00:00:00"/>
    <s v="Ibuprofen"/>
    <s v="Normal"/>
    <x v="18"/>
  </r>
  <r>
    <x v="350"/>
    <s v="46-55"/>
    <n v="55"/>
    <s v="Male"/>
    <x v="3"/>
    <x v="2"/>
    <x v="312"/>
    <s v="James Garcia"/>
    <x v="344"/>
    <x v="3"/>
    <x v="350"/>
    <n v="442"/>
    <s v="Emergency"/>
    <d v="2020-10-18T00:00:00"/>
    <s v="Lipitor"/>
    <s v="Abnormal"/>
    <x v="6"/>
  </r>
  <r>
    <x v="351"/>
    <s v="56-65"/>
    <n v="57"/>
    <s v="Male"/>
    <x v="4"/>
    <x v="2"/>
    <x v="313"/>
    <s v="Nicole George"/>
    <x v="345"/>
    <x v="4"/>
    <x v="351"/>
    <n v="372"/>
    <s v="Urgent"/>
    <d v="2020-01-17T00:00:00"/>
    <s v="Lipitor"/>
    <s v="Normal"/>
    <x v="16"/>
  </r>
  <r>
    <x v="352"/>
    <s v="56-65"/>
    <n v="57"/>
    <s v="Female"/>
    <x v="5"/>
    <x v="2"/>
    <x v="314"/>
    <s v="Lindsey Gentry"/>
    <x v="346"/>
    <x v="1"/>
    <x v="352"/>
    <n v="278"/>
    <s v="Elective"/>
    <d v="2023-06-13T00:00:00"/>
    <s v="Penicillin"/>
    <s v="Abnormal"/>
    <x v="12"/>
  </r>
  <r>
    <x v="353"/>
    <s v="56-65"/>
    <n v="61"/>
    <s v="Female"/>
    <x v="2"/>
    <x v="2"/>
    <x v="315"/>
    <s v="Philip Torres"/>
    <x v="347"/>
    <x v="3"/>
    <x v="353"/>
    <n v="230"/>
    <s v="Urgent"/>
    <d v="2020-01-30T00:00:00"/>
    <s v="Lipitor"/>
    <s v="Abnormal"/>
    <x v="13"/>
  </r>
  <r>
    <x v="354"/>
    <s v="26-35"/>
    <n v="33"/>
    <s v="Male"/>
    <x v="0"/>
    <x v="2"/>
    <x v="316"/>
    <s v="Kathy Walker"/>
    <x v="348"/>
    <x v="4"/>
    <x v="354"/>
    <n v="474"/>
    <s v="Urgent"/>
    <d v="2023-10-27T00:00:00"/>
    <s v="Aspirin"/>
    <s v="Abnormal"/>
    <x v="2"/>
  </r>
  <r>
    <x v="355"/>
    <s v="36-45"/>
    <n v="44"/>
    <s v="Male"/>
    <x v="0"/>
    <x v="2"/>
    <x v="317"/>
    <s v="Theresa Santana"/>
    <x v="349"/>
    <x v="4"/>
    <x v="355"/>
    <n v="230"/>
    <s v="Elective"/>
    <d v="2019-09-25T00:00:00"/>
    <s v="Penicillin"/>
    <s v="Normal"/>
    <x v="9"/>
  </r>
  <r>
    <x v="356"/>
    <s v="76-85"/>
    <n v="78"/>
    <s v="Male"/>
    <x v="7"/>
    <x v="2"/>
    <x v="318"/>
    <s v="Tina Stevenson"/>
    <x v="350"/>
    <x v="0"/>
    <x v="356"/>
    <n v="153"/>
    <s v="Emergency"/>
    <d v="2021-05-19T00:00:00"/>
    <s v="Penicillin"/>
    <s v="Inconclusive"/>
    <x v="14"/>
  </r>
  <r>
    <x v="357"/>
    <s v="66-75"/>
    <n v="68"/>
    <s v="Male"/>
    <x v="2"/>
    <x v="2"/>
    <x v="319"/>
    <s v="Duane Lane"/>
    <x v="351"/>
    <x v="2"/>
    <x v="357"/>
    <n v="153"/>
    <s v="Emergency"/>
    <d v="2023-04-26T00:00:00"/>
    <s v="Paracetamol"/>
    <s v="Normal"/>
    <x v="29"/>
  </r>
  <r>
    <x v="358"/>
    <s v="18-25"/>
    <n v="20"/>
    <s v="Male"/>
    <x v="7"/>
    <x v="2"/>
    <x v="186"/>
    <s v="Catherine Russell"/>
    <x v="352"/>
    <x v="3"/>
    <x v="358"/>
    <n v="484"/>
    <s v="Urgent"/>
    <d v="2023-07-19T00:00:00"/>
    <s v="Aspirin"/>
    <s v="Inconclusive"/>
    <x v="0"/>
  </r>
  <r>
    <x v="359"/>
    <s v="36-45"/>
    <n v="41"/>
    <s v="Male"/>
    <x v="0"/>
    <x v="2"/>
    <x v="253"/>
    <s v="Jennifer Wade"/>
    <x v="353"/>
    <x v="1"/>
    <x v="359"/>
    <n v="349"/>
    <s v="Urgent"/>
    <d v="2021-12-04T00:00:00"/>
    <s v="Aspirin"/>
    <s v="Normal"/>
    <x v="23"/>
  </r>
  <r>
    <x v="360"/>
    <s v="18-25"/>
    <n v="20"/>
    <s v="Male"/>
    <x v="5"/>
    <x v="2"/>
    <x v="54"/>
    <s v="Nicholas Glover"/>
    <x v="354"/>
    <x v="4"/>
    <x v="360"/>
    <n v="409"/>
    <s v="Urgent"/>
    <d v="2020-09-14T00:00:00"/>
    <s v="Lipitor"/>
    <s v="Inconclusive"/>
    <x v="12"/>
  </r>
  <r>
    <x v="361"/>
    <s v="76-85"/>
    <n v="81"/>
    <s v="Female"/>
    <x v="7"/>
    <x v="2"/>
    <x v="320"/>
    <s v="Aaron Padilla"/>
    <x v="355"/>
    <x v="0"/>
    <x v="361"/>
    <n v="425"/>
    <s v="Urgent"/>
    <d v="2020-02-01T00:00:00"/>
    <s v="Aspirin"/>
    <s v="Inconclusive"/>
    <x v="21"/>
  </r>
  <r>
    <x v="362"/>
    <s v="46-55"/>
    <n v="55"/>
    <s v="Male"/>
    <x v="1"/>
    <x v="2"/>
    <x v="321"/>
    <s v="Wendy King"/>
    <x v="356"/>
    <x v="4"/>
    <x v="362"/>
    <n v="417"/>
    <s v="Urgent"/>
    <d v="2019-08-28T00:00:00"/>
    <s v="Penicillin"/>
    <s v="Abnormal"/>
    <x v="8"/>
  </r>
  <r>
    <x v="363"/>
    <s v="36-45"/>
    <n v="40"/>
    <s v="Female"/>
    <x v="2"/>
    <x v="2"/>
    <x v="322"/>
    <s v="Alyssa Collins"/>
    <x v="357"/>
    <x v="0"/>
    <x v="363"/>
    <n v="325"/>
    <s v="Elective"/>
    <d v="2020-11-08T00:00:00"/>
    <s v="Ibuprofen"/>
    <s v="Inconclusive"/>
    <x v="5"/>
  </r>
  <r>
    <x v="364"/>
    <s v="76-85"/>
    <n v="77"/>
    <s v="Female"/>
    <x v="4"/>
    <x v="2"/>
    <x v="323"/>
    <s v="John Duncan"/>
    <x v="358"/>
    <x v="0"/>
    <x v="364"/>
    <n v="119"/>
    <s v="Urgent"/>
    <d v="2023-06-06T00:00:00"/>
    <s v="Ibuprofen"/>
    <s v="Normal"/>
    <x v="29"/>
  </r>
  <r>
    <x v="365"/>
    <s v="66-75"/>
    <n v="72"/>
    <s v="Male"/>
    <x v="2"/>
    <x v="2"/>
    <x v="324"/>
    <s v="George Jones"/>
    <x v="359"/>
    <x v="4"/>
    <x v="365"/>
    <n v="415"/>
    <s v="Elective"/>
    <d v="2019-03-16T00:00:00"/>
    <s v="Penicillin"/>
    <s v="Abnormal"/>
    <x v="11"/>
  </r>
  <r>
    <x v="366"/>
    <s v="46-55"/>
    <n v="53"/>
    <s v="Male"/>
    <x v="5"/>
    <x v="2"/>
    <x v="325"/>
    <s v="Sarah Williams"/>
    <x v="360"/>
    <x v="3"/>
    <x v="366"/>
    <n v="485"/>
    <s v="Elective"/>
    <d v="2020-07-22T00:00:00"/>
    <s v="Ibuprofen"/>
    <s v="Abnormal"/>
    <x v="18"/>
  </r>
  <r>
    <x v="367"/>
    <s v="36-45"/>
    <n v="42"/>
    <s v="Female"/>
    <x v="4"/>
    <x v="2"/>
    <x v="142"/>
    <s v="Dr. Sean Russell"/>
    <x v="361"/>
    <x v="2"/>
    <x v="367"/>
    <n v="483"/>
    <s v="Emergency"/>
    <d v="2020-01-30T00:00:00"/>
    <s v="Ibuprofen"/>
    <s v="Inconclusive"/>
    <x v="29"/>
  </r>
  <r>
    <x v="368"/>
    <s v="18-25"/>
    <n v="21"/>
    <s v="Male"/>
    <x v="1"/>
    <x v="2"/>
    <x v="326"/>
    <s v="Sara Watts"/>
    <x v="362"/>
    <x v="0"/>
    <x v="368"/>
    <n v="439"/>
    <s v="Emergency"/>
    <d v="2022-01-09T00:00:00"/>
    <s v="Lipitor"/>
    <s v="Abnormal"/>
    <x v="14"/>
  </r>
  <r>
    <x v="369"/>
    <s v="46-55"/>
    <n v="52"/>
    <s v="Male"/>
    <x v="5"/>
    <x v="2"/>
    <x v="1"/>
    <s v="Mr. Mark Nguyen"/>
    <x v="363"/>
    <x v="1"/>
    <x v="369"/>
    <n v="187"/>
    <s v="Elective"/>
    <d v="2022-11-05T00:00:00"/>
    <s v="Penicillin"/>
    <s v="Abnormal"/>
    <x v="11"/>
  </r>
  <r>
    <x v="370"/>
    <s v="18-25"/>
    <n v="23"/>
    <s v="Male"/>
    <x v="5"/>
    <x v="2"/>
    <x v="327"/>
    <s v="Monica Peters"/>
    <x v="364"/>
    <x v="4"/>
    <x v="370"/>
    <n v="110"/>
    <s v="Urgent"/>
    <d v="2019-10-24T00:00:00"/>
    <s v="Aspirin"/>
    <s v="Inconclusive"/>
    <x v="12"/>
  </r>
  <r>
    <x v="371"/>
    <s v="46-55"/>
    <n v="52"/>
    <s v="Male"/>
    <x v="0"/>
    <x v="2"/>
    <x v="328"/>
    <s v="William Hart"/>
    <x v="365"/>
    <x v="3"/>
    <x v="371"/>
    <n v="454"/>
    <s v="Emergency"/>
    <d v="2019-07-06T00:00:00"/>
    <s v="Paracetamol"/>
    <s v="Abnormal"/>
    <x v="9"/>
  </r>
  <r>
    <x v="372"/>
    <s v="46-55"/>
    <n v="55"/>
    <s v="Male"/>
    <x v="2"/>
    <x v="2"/>
    <x v="329"/>
    <s v="Ryan Wilkins"/>
    <x v="366"/>
    <x v="4"/>
    <x v="372"/>
    <n v="247"/>
    <s v="Elective"/>
    <d v="2019-03-24T00:00:00"/>
    <s v="Penicillin"/>
    <s v="Inconclusive"/>
    <x v="4"/>
  </r>
  <r>
    <x v="373"/>
    <s v="36-45"/>
    <n v="41"/>
    <s v="Female"/>
    <x v="2"/>
    <x v="2"/>
    <x v="330"/>
    <s v="Kyle Miller"/>
    <x v="367"/>
    <x v="2"/>
    <x v="373"/>
    <n v="355"/>
    <s v="Emergency"/>
    <d v="2021-04-05T00:00:00"/>
    <s v="Penicillin"/>
    <s v="Abnormal"/>
    <x v="6"/>
  </r>
  <r>
    <x v="374"/>
    <s v="18-25"/>
    <n v="24"/>
    <s v="Male"/>
    <x v="4"/>
    <x v="2"/>
    <x v="331"/>
    <s v="Jason Little"/>
    <x v="368"/>
    <x v="1"/>
    <x v="374"/>
    <n v="394"/>
    <s v="Elective"/>
    <d v="2022-02-15T00:00:00"/>
    <s v="Aspirin"/>
    <s v="Normal"/>
    <x v="15"/>
  </r>
  <r>
    <x v="375"/>
    <s v="46-55"/>
    <n v="54"/>
    <s v="Male"/>
    <x v="6"/>
    <x v="2"/>
    <x v="184"/>
    <s v="Sheri Ramirez"/>
    <x v="369"/>
    <x v="1"/>
    <x v="375"/>
    <n v="193"/>
    <s v="Urgent"/>
    <d v="2019-12-12T00:00:00"/>
    <s v="Ibuprofen"/>
    <s v="Normal"/>
    <x v="13"/>
  </r>
  <r>
    <x v="376"/>
    <s v="56-65"/>
    <n v="57"/>
    <s v="Male"/>
    <x v="4"/>
    <x v="2"/>
    <x v="332"/>
    <s v="Wendy Hooper"/>
    <x v="370"/>
    <x v="1"/>
    <x v="376"/>
    <n v="115"/>
    <s v="Elective"/>
    <d v="2020-06-28T00:00:00"/>
    <s v="Ibuprofen"/>
    <s v="Normal"/>
    <x v="15"/>
  </r>
  <r>
    <x v="377"/>
    <s v="36-45"/>
    <n v="41"/>
    <s v="Male"/>
    <x v="2"/>
    <x v="2"/>
    <x v="333"/>
    <s v="Alex Sutton"/>
    <x v="371"/>
    <x v="4"/>
    <x v="377"/>
    <n v="472"/>
    <s v="Emergency"/>
    <d v="2023-05-23T00:00:00"/>
    <s v="Ibuprofen"/>
    <s v="Normal"/>
    <x v="10"/>
  </r>
  <r>
    <x v="378"/>
    <s v="18-25"/>
    <n v="18"/>
    <s v="Female"/>
    <x v="0"/>
    <x v="2"/>
    <x v="334"/>
    <s v="James Copeland"/>
    <x v="372"/>
    <x v="2"/>
    <x v="378"/>
    <n v="434"/>
    <s v="Urgent"/>
    <d v="2020-02-28T00:00:00"/>
    <s v="Lipitor"/>
    <s v="Abnormal"/>
    <x v="12"/>
  </r>
  <r>
    <x v="379"/>
    <s v="76-85"/>
    <n v="84"/>
    <s v="Female"/>
    <x v="2"/>
    <x v="2"/>
    <x v="335"/>
    <s v="Jessica Jackson"/>
    <x v="373"/>
    <x v="0"/>
    <x v="379"/>
    <n v="304"/>
    <s v="Emergency"/>
    <d v="2018-11-17T00:00:00"/>
    <s v="Lipitor"/>
    <s v="Abnormal"/>
    <x v="5"/>
  </r>
  <r>
    <x v="380"/>
    <s v="56-65"/>
    <n v="59"/>
    <s v="Female"/>
    <x v="7"/>
    <x v="2"/>
    <x v="336"/>
    <s v="Sandra Cross"/>
    <x v="374"/>
    <x v="3"/>
    <x v="380"/>
    <n v="405"/>
    <s v="Emergency"/>
    <d v="2022-06-18T00:00:00"/>
    <s v="Penicillin"/>
    <s v="Abnormal"/>
    <x v="1"/>
  </r>
  <r>
    <x v="381"/>
    <s v="76-85"/>
    <n v="77"/>
    <s v="Male"/>
    <x v="3"/>
    <x v="2"/>
    <x v="337"/>
    <s v="Justin Carter"/>
    <x v="375"/>
    <x v="3"/>
    <x v="381"/>
    <n v="344"/>
    <s v="Urgent"/>
    <d v="2020-08-04T00:00:00"/>
    <s v="Paracetamol"/>
    <s v="Abnormal"/>
    <x v="28"/>
  </r>
  <r>
    <x v="382"/>
    <s v="46-55"/>
    <n v="47"/>
    <s v="Female"/>
    <x v="3"/>
    <x v="2"/>
    <x v="338"/>
    <s v="Nathaniel White"/>
    <x v="376"/>
    <x v="1"/>
    <x v="382"/>
    <n v="196"/>
    <s v="Emergency"/>
    <d v="2021-07-04T00:00:00"/>
    <s v="Lipitor"/>
    <s v="Normal"/>
    <x v="26"/>
  </r>
  <r>
    <x v="383"/>
    <s v="46-55"/>
    <n v="47"/>
    <s v="Male"/>
    <x v="4"/>
    <x v="2"/>
    <x v="339"/>
    <s v="Ashley Edwards"/>
    <x v="377"/>
    <x v="2"/>
    <x v="383"/>
    <n v="437"/>
    <s v="Emergency"/>
    <d v="2019-07-13T00:00:00"/>
    <s v="Penicillin"/>
    <s v="Inconclusive"/>
    <x v="6"/>
  </r>
  <r>
    <x v="384"/>
    <s v="18-25"/>
    <n v="20"/>
    <s v="Male"/>
    <x v="1"/>
    <x v="2"/>
    <x v="340"/>
    <s v="Tricia Mcclure"/>
    <x v="378"/>
    <x v="3"/>
    <x v="384"/>
    <n v="109"/>
    <s v="Elective"/>
    <d v="2021-05-13T00:00:00"/>
    <s v="Paracetamol"/>
    <s v="Inconclusive"/>
    <x v="11"/>
  </r>
  <r>
    <x v="385"/>
    <s v="36-45"/>
    <n v="45"/>
    <s v="Male"/>
    <x v="3"/>
    <x v="2"/>
    <x v="341"/>
    <s v="Lee Evans"/>
    <x v="379"/>
    <x v="2"/>
    <x v="385"/>
    <n v="252"/>
    <s v="Elective"/>
    <d v="2021-12-18T00:00:00"/>
    <s v="Aspirin"/>
    <s v="Inconclusive"/>
    <x v="10"/>
  </r>
  <r>
    <x v="386"/>
    <s v="46-55"/>
    <n v="55"/>
    <s v="Female"/>
    <x v="5"/>
    <x v="2"/>
    <x v="342"/>
    <s v="Renee Brown"/>
    <x v="380"/>
    <x v="3"/>
    <x v="386"/>
    <n v="262"/>
    <s v="Urgent"/>
    <d v="2020-12-17T00:00:00"/>
    <s v="Penicillin"/>
    <s v="Abnormal"/>
    <x v="17"/>
  </r>
  <r>
    <x v="387"/>
    <s v="36-45"/>
    <n v="41"/>
    <s v="Male"/>
    <x v="4"/>
    <x v="2"/>
    <x v="233"/>
    <s v="Donna Vasquez"/>
    <x v="381"/>
    <x v="3"/>
    <x v="387"/>
    <n v="460"/>
    <s v="Elective"/>
    <d v="2023-07-01T00:00:00"/>
    <s v="Penicillin"/>
    <s v="Inconclusive"/>
    <x v="27"/>
  </r>
  <r>
    <x v="388"/>
    <s v="76-85"/>
    <n v="84"/>
    <s v="Male"/>
    <x v="6"/>
    <x v="2"/>
    <x v="343"/>
    <s v="Lori Horton"/>
    <x v="382"/>
    <x v="4"/>
    <x v="388"/>
    <n v="203"/>
    <s v="Urgent"/>
    <d v="2023-05-09T00:00:00"/>
    <s v="Penicillin"/>
    <s v="Abnormal"/>
    <x v="29"/>
  </r>
  <r>
    <x v="389"/>
    <s v="36-45"/>
    <n v="36"/>
    <s v="Female"/>
    <x v="2"/>
    <x v="2"/>
    <x v="344"/>
    <s v="Richard Rhodes"/>
    <x v="383"/>
    <x v="3"/>
    <x v="389"/>
    <n v="319"/>
    <s v="Urgent"/>
    <d v="2022-03-27T00:00:00"/>
    <s v="Ibuprofen"/>
    <s v="Normal"/>
    <x v="10"/>
  </r>
  <r>
    <x v="390"/>
    <s v="56-65"/>
    <n v="57"/>
    <s v="Female"/>
    <x v="5"/>
    <x v="2"/>
    <x v="20"/>
    <s v="Misty Lopez"/>
    <x v="384"/>
    <x v="3"/>
    <x v="390"/>
    <n v="221"/>
    <s v="Urgent"/>
    <d v="2022-07-04T00:00:00"/>
    <s v="Penicillin"/>
    <s v="Inconclusive"/>
    <x v="26"/>
  </r>
  <r>
    <x v="391"/>
    <s v="76-85"/>
    <n v="78"/>
    <s v="Male"/>
    <x v="6"/>
    <x v="2"/>
    <x v="345"/>
    <s v="Karen Nelson"/>
    <x v="385"/>
    <x v="3"/>
    <x v="391"/>
    <n v="134"/>
    <s v="Urgent"/>
    <d v="2021-01-06T00:00:00"/>
    <s v="Lipitor"/>
    <s v="Abnormal"/>
    <x v="10"/>
  </r>
  <r>
    <x v="392"/>
    <s v="18-25"/>
    <n v="21"/>
    <s v="Female"/>
    <x v="7"/>
    <x v="2"/>
    <x v="346"/>
    <s v="Richard Shaw"/>
    <x v="386"/>
    <x v="0"/>
    <x v="392"/>
    <n v="309"/>
    <s v="Emergency"/>
    <d v="2021-12-11T00:00:00"/>
    <s v="Penicillin"/>
    <s v="Inconclusive"/>
    <x v="15"/>
  </r>
  <r>
    <x v="393"/>
    <s v="66-75"/>
    <n v="68"/>
    <s v="Male"/>
    <x v="5"/>
    <x v="2"/>
    <x v="347"/>
    <s v="Tina Rogers"/>
    <x v="387"/>
    <x v="2"/>
    <x v="393"/>
    <n v="380"/>
    <s v="Emergency"/>
    <d v="2020-03-12T00:00:00"/>
    <s v="Paracetamol"/>
    <s v="Normal"/>
    <x v="14"/>
  </r>
  <r>
    <x v="394"/>
    <s v="36-45"/>
    <n v="36"/>
    <s v="Male"/>
    <x v="4"/>
    <x v="2"/>
    <x v="177"/>
    <s v="Joshua Harris"/>
    <x v="388"/>
    <x v="4"/>
    <x v="394"/>
    <n v="125"/>
    <s v="Urgent"/>
    <d v="2022-10-18T00:00:00"/>
    <s v="Lipitor"/>
    <s v="Abnormal"/>
    <x v="7"/>
  </r>
  <r>
    <x v="395"/>
    <s v="66-75"/>
    <n v="72"/>
    <s v="Male"/>
    <x v="1"/>
    <x v="2"/>
    <x v="348"/>
    <s v="Stephanie Avila"/>
    <x v="389"/>
    <x v="2"/>
    <x v="395"/>
    <n v="139"/>
    <s v="Urgent"/>
    <d v="2019-10-19T00:00:00"/>
    <s v="Paracetamol"/>
    <s v="Inconclusive"/>
    <x v="6"/>
  </r>
  <r>
    <x v="396"/>
    <s v="76-85"/>
    <n v="79"/>
    <s v="Female"/>
    <x v="2"/>
    <x v="2"/>
    <x v="349"/>
    <s v="Brittany Weaver"/>
    <x v="390"/>
    <x v="2"/>
    <x v="396"/>
    <n v="152"/>
    <s v="Elective"/>
    <d v="2020-12-16T00:00:00"/>
    <s v="Ibuprofen"/>
    <s v="Abnormal"/>
    <x v="21"/>
  </r>
  <r>
    <x v="397"/>
    <s v="46-55"/>
    <n v="50"/>
    <s v="Female"/>
    <x v="3"/>
    <x v="2"/>
    <x v="350"/>
    <s v="Christopher Sandoval"/>
    <x v="391"/>
    <x v="3"/>
    <x v="397"/>
    <n v="348"/>
    <s v="Elective"/>
    <d v="2022-08-05T00:00:00"/>
    <s v="Penicillin"/>
    <s v="Inconclusive"/>
    <x v="6"/>
  </r>
  <r>
    <x v="398"/>
    <s v="76-85"/>
    <n v="79"/>
    <s v="Female"/>
    <x v="5"/>
    <x v="2"/>
    <x v="251"/>
    <s v="Elaine Medina"/>
    <x v="392"/>
    <x v="3"/>
    <x v="398"/>
    <n v="180"/>
    <s v="Urgent"/>
    <d v="2023-09-27T00:00:00"/>
    <s v="Paracetamol"/>
    <s v="Inconclusive"/>
    <x v="9"/>
  </r>
  <r>
    <x v="399"/>
    <s v="56-65"/>
    <n v="56"/>
    <s v="Male"/>
    <x v="5"/>
    <x v="2"/>
    <x v="351"/>
    <s v="John Webb"/>
    <x v="393"/>
    <x v="1"/>
    <x v="399"/>
    <n v="440"/>
    <s v="Urgent"/>
    <d v="2023-07-20T00:00:00"/>
    <s v="Lipitor"/>
    <s v="Normal"/>
    <x v="15"/>
  </r>
  <r>
    <x v="400"/>
    <s v="56-65"/>
    <n v="57"/>
    <s v="Female"/>
    <x v="2"/>
    <x v="2"/>
    <x v="44"/>
    <s v="James Phillips"/>
    <x v="394"/>
    <x v="2"/>
    <x v="400"/>
    <n v="150"/>
    <s v="Elective"/>
    <d v="2019-11-07T00:00:00"/>
    <s v="Penicillin"/>
    <s v="Inconclusive"/>
    <x v="4"/>
  </r>
  <r>
    <x v="401"/>
    <s v="18-25"/>
    <n v="21"/>
    <s v="Female"/>
    <x v="1"/>
    <x v="2"/>
    <x v="352"/>
    <s v="Gloria Hernandez"/>
    <x v="395"/>
    <x v="2"/>
    <x v="401"/>
    <n v="401"/>
    <s v="Urgent"/>
    <d v="2022-04-21T00:00:00"/>
    <s v="Lipitor"/>
    <s v="Normal"/>
    <x v="0"/>
  </r>
  <r>
    <x v="402"/>
    <s v="46-55"/>
    <n v="50"/>
    <s v="Female"/>
    <x v="1"/>
    <x v="2"/>
    <x v="353"/>
    <s v="Alexander Hamilton"/>
    <x v="396"/>
    <x v="4"/>
    <x v="402"/>
    <n v="107"/>
    <s v="Emergency"/>
    <d v="2023-09-16T00:00:00"/>
    <s v="Ibuprofen"/>
    <s v="Inconclusive"/>
    <x v="27"/>
  </r>
  <r>
    <x v="403"/>
    <s v="76-85"/>
    <n v="79"/>
    <s v="Male"/>
    <x v="7"/>
    <x v="2"/>
    <x v="354"/>
    <s v="Sherry Lara"/>
    <x v="397"/>
    <x v="3"/>
    <x v="403"/>
    <n v="449"/>
    <s v="Urgent"/>
    <d v="2023-03-14T00:00:00"/>
    <s v="Ibuprofen"/>
    <s v="Abnormal"/>
    <x v="1"/>
  </r>
  <r>
    <x v="404"/>
    <s v="66-75"/>
    <n v="68"/>
    <s v="Male"/>
    <x v="4"/>
    <x v="2"/>
    <x v="97"/>
    <s v="Shannon Hall"/>
    <x v="398"/>
    <x v="0"/>
    <x v="404"/>
    <n v="260"/>
    <s v="Emergency"/>
    <d v="2019-09-05T00:00:00"/>
    <s v="Paracetamol"/>
    <s v="Abnormal"/>
    <x v="14"/>
  </r>
  <r>
    <x v="405"/>
    <s v="36-45"/>
    <n v="40"/>
    <s v="Female"/>
    <x v="0"/>
    <x v="2"/>
    <x v="355"/>
    <s v="Michele Cruz"/>
    <x v="399"/>
    <x v="4"/>
    <x v="405"/>
    <n v="233"/>
    <s v="Urgent"/>
    <d v="2019-07-05T00:00:00"/>
    <s v="Penicillin"/>
    <s v="Normal"/>
    <x v="8"/>
  </r>
  <r>
    <x v="406"/>
    <s v="76-85"/>
    <n v="84"/>
    <s v="Male"/>
    <x v="0"/>
    <x v="2"/>
    <x v="343"/>
    <s v="Gregory Anderson"/>
    <x v="400"/>
    <x v="3"/>
    <x v="406"/>
    <n v="270"/>
    <s v="Elective"/>
    <d v="2023-05-06T00:00:00"/>
    <s v="Penicillin"/>
    <s v="Normal"/>
    <x v="12"/>
  </r>
  <r>
    <x v="407"/>
    <s v="36-45"/>
    <n v="43"/>
    <s v="Female"/>
    <x v="0"/>
    <x v="2"/>
    <x v="257"/>
    <s v="Randy Scott"/>
    <x v="401"/>
    <x v="3"/>
    <x v="407"/>
    <n v="131"/>
    <s v="Urgent"/>
    <d v="2021-11-10T00:00:00"/>
    <s v="Penicillin"/>
    <s v="Inconclusive"/>
    <x v="7"/>
  </r>
  <r>
    <x v="408"/>
    <s v="46-55"/>
    <n v="50"/>
    <s v="Male"/>
    <x v="7"/>
    <x v="2"/>
    <x v="356"/>
    <s v="Teresa Griffith DDS"/>
    <x v="402"/>
    <x v="0"/>
    <x v="408"/>
    <n v="479"/>
    <s v="Elective"/>
    <d v="2022-01-22T00:00:00"/>
    <s v="Penicillin"/>
    <s v="Abnormal"/>
    <x v="21"/>
  </r>
  <r>
    <x v="409"/>
    <s v="56-65"/>
    <n v="65"/>
    <s v="Male"/>
    <x v="5"/>
    <x v="2"/>
    <x v="357"/>
    <s v="Antonio Richardson"/>
    <x v="403"/>
    <x v="2"/>
    <x v="409"/>
    <n v="285"/>
    <s v="Emergency"/>
    <d v="2018-12-08T00:00:00"/>
    <s v="Penicillin"/>
    <s v="Abnormal"/>
    <x v="27"/>
  </r>
  <r>
    <x v="410"/>
    <s v="76-85"/>
    <n v="78"/>
    <s v="Female"/>
    <x v="4"/>
    <x v="2"/>
    <x v="358"/>
    <s v="Kelsey Clark"/>
    <x v="404"/>
    <x v="1"/>
    <x v="410"/>
    <n v="359"/>
    <s v="Emergency"/>
    <d v="2020-04-06T00:00:00"/>
    <s v="Lipitor"/>
    <s v="Normal"/>
    <x v="2"/>
  </r>
  <r>
    <x v="411"/>
    <s v="56-65"/>
    <n v="61"/>
    <s v="Male"/>
    <x v="6"/>
    <x v="2"/>
    <x v="62"/>
    <s v="Matthew Olsen"/>
    <x v="405"/>
    <x v="4"/>
    <x v="411"/>
    <n v="469"/>
    <s v="Elective"/>
    <d v="2019-09-10T00:00:00"/>
    <s v="Ibuprofen"/>
    <s v="Normal"/>
    <x v="12"/>
  </r>
  <r>
    <x v="412"/>
    <s v="18-25"/>
    <n v="20"/>
    <s v="Male"/>
    <x v="0"/>
    <x v="2"/>
    <x v="110"/>
    <s v="Amanda Stout"/>
    <x v="406"/>
    <x v="3"/>
    <x v="412"/>
    <n v="193"/>
    <s v="Urgent"/>
    <d v="2023-02-02T00:00:00"/>
    <s v="Paracetamol"/>
    <s v="Normal"/>
    <x v="18"/>
  </r>
  <r>
    <x v="413"/>
    <s v="76-85"/>
    <n v="81"/>
    <s v="Male"/>
    <x v="1"/>
    <x v="2"/>
    <x v="359"/>
    <s v="Michael Goodman"/>
    <x v="407"/>
    <x v="3"/>
    <x v="413"/>
    <n v="290"/>
    <s v="Emergency"/>
    <d v="2019-07-13T00:00:00"/>
    <s v="Paracetamol"/>
    <s v="Normal"/>
    <x v="18"/>
  </r>
  <r>
    <x v="414"/>
    <s v="76-85"/>
    <n v="85"/>
    <s v="Male"/>
    <x v="4"/>
    <x v="2"/>
    <x v="360"/>
    <s v="Anthony Miller"/>
    <x v="408"/>
    <x v="3"/>
    <x v="414"/>
    <n v="387"/>
    <s v="Urgent"/>
    <d v="2019-08-19T00:00:00"/>
    <s v="Aspirin"/>
    <s v="Normal"/>
    <x v="19"/>
  </r>
  <r>
    <x v="415"/>
    <s v="66-75"/>
    <n v="67"/>
    <s v="Male"/>
    <x v="1"/>
    <x v="2"/>
    <x v="361"/>
    <s v="Kimberly Garcia"/>
    <x v="409"/>
    <x v="1"/>
    <x v="415"/>
    <n v="118"/>
    <s v="Urgent"/>
    <d v="2020-03-18T00:00:00"/>
    <s v="Lipitor"/>
    <s v="Abnormal"/>
    <x v="17"/>
  </r>
  <r>
    <x v="416"/>
    <s v="76-85"/>
    <n v="80"/>
    <s v="Female"/>
    <x v="7"/>
    <x v="2"/>
    <x v="362"/>
    <s v="Philip Mullins"/>
    <x v="410"/>
    <x v="3"/>
    <x v="416"/>
    <n v="385"/>
    <s v="Elective"/>
    <d v="2021-07-08T00:00:00"/>
    <s v="Lipitor"/>
    <s v="Inconclusive"/>
    <x v="24"/>
  </r>
  <r>
    <x v="417"/>
    <s v="66-75"/>
    <n v="70"/>
    <s v="Female"/>
    <x v="4"/>
    <x v="2"/>
    <x v="363"/>
    <s v="Paul Hill"/>
    <x v="411"/>
    <x v="0"/>
    <x v="417"/>
    <n v="150"/>
    <s v="Elective"/>
    <d v="2020-05-29T00:00:00"/>
    <s v="Aspirin"/>
    <s v="Abnormal"/>
    <x v="11"/>
  </r>
  <r>
    <x v="418"/>
    <s v="46-55"/>
    <n v="52"/>
    <s v="Female"/>
    <x v="3"/>
    <x v="2"/>
    <x v="364"/>
    <s v="Natasha Valenzuela"/>
    <x v="412"/>
    <x v="0"/>
    <x v="418"/>
    <n v="265"/>
    <s v="Elective"/>
    <d v="2023-01-18T00:00:00"/>
    <s v="Lipitor"/>
    <s v="Normal"/>
    <x v="7"/>
  </r>
  <r>
    <x v="419"/>
    <s v="76-85"/>
    <n v="79"/>
    <s v="Female"/>
    <x v="6"/>
    <x v="2"/>
    <x v="365"/>
    <s v="Heather Lewis"/>
    <x v="413"/>
    <x v="0"/>
    <x v="419"/>
    <n v="368"/>
    <s v="Elective"/>
    <d v="2022-04-21T00:00:00"/>
    <s v="Lipitor"/>
    <s v="Abnormal"/>
    <x v="17"/>
  </r>
  <r>
    <x v="420"/>
    <s v="66-75"/>
    <n v="72"/>
    <s v="Female"/>
    <x v="0"/>
    <x v="2"/>
    <x v="366"/>
    <s v="Kristy Reynolds"/>
    <x v="414"/>
    <x v="2"/>
    <x v="420"/>
    <n v="334"/>
    <s v="Emergency"/>
    <d v="2023-02-18T00:00:00"/>
    <s v="Paracetamol"/>
    <s v="Abnormal"/>
    <x v="12"/>
  </r>
  <r>
    <x v="421"/>
    <s v="26-35"/>
    <n v="34"/>
    <s v="Male"/>
    <x v="3"/>
    <x v="2"/>
    <x v="367"/>
    <s v="Gary Baldwin"/>
    <x v="415"/>
    <x v="1"/>
    <x v="421"/>
    <n v="369"/>
    <s v="Emergency"/>
    <d v="2023-01-11T00:00:00"/>
    <s v="Penicillin"/>
    <s v="Normal"/>
    <x v="22"/>
  </r>
  <r>
    <x v="422"/>
    <s v="26-35"/>
    <n v="27"/>
    <s v="Female"/>
    <x v="3"/>
    <x v="2"/>
    <x v="368"/>
    <s v="Miranda Robinson"/>
    <x v="416"/>
    <x v="0"/>
    <x v="422"/>
    <n v="120"/>
    <s v="Urgent"/>
    <d v="2020-01-24T00:00:00"/>
    <s v="Ibuprofen"/>
    <s v="Inconclusive"/>
    <x v="28"/>
  </r>
  <r>
    <x v="423"/>
    <s v="26-35"/>
    <n v="34"/>
    <s v="Female"/>
    <x v="2"/>
    <x v="2"/>
    <x v="199"/>
    <s v="Dr. Lori Lowe"/>
    <x v="417"/>
    <x v="0"/>
    <x v="423"/>
    <n v="236"/>
    <s v="Emergency"/>
    <d v="2019-05-24T00:00:00"/>
    <s v="Ibuprofen"/>
    <s v="Inconclusive"/>
    <x v="12"/>
  </r>
  <r>
    <x v="424"/>
    <s v="36-45"/>
    <n v="40"/>
    <s v="Female"/>
    <x v="0"/>
    <x v="2"/>
    <x v="369"/>
    <s v="Brian Walsh"/>
    <x v="418"/>
    <x v="0"/>
    <x v="424"/>
    <n v="119"/>
    <s v="Urgent"/>
    <d v="2019-05-25T00:00:00"/>
    <s v="Lipitor"/>
    <s v="Normal"/>
    <x v="25"/>
  </r>
  <r>
    <x v="266"/>
    <s v="66-75"/>
    <n v="74"/>
    <s v="Male"/>
    <x v="4"/>
    <x v="2"/>
    <x v="370"/>
    <s v="Alexis Alexander"/>
    <x v="419"/>
    <x v="3"/>
    <x v="425"/>
    <n v="492"/>
    <s v="Emergency"/>
    <d v="2022-10-28T00:00:00"/>
    <s v="Ibuprofen"/>
    <s v="Abnormal"/>
    <x v="13"/>
  </r>
  <r>
    <x v="425"/>
    <s v="76-85"/>
    <n v="76"/>
    <s v="Male"/>
    <x v="2"/>
    <x v="2"/>
    <x v="371"/>
    <s v="Adrian Davis"/>
    <x v="420"/>
    <x v="4"/>
    <x v="426"/>
    <n v="478"/>
    <s v="Elective"/>
    <d v="2019-04-12T00:00:00"/>
    <s v="Lipitor"/>
    <s v="Inconclusive"/>
    <x v="27"/>
  </r>
  <r>
    <x v="426"/>
    <s v="56-65"/>
    <n v="64"/>
    <s v="Female"/>
    <x v="0"/>
    <x v="2"/>
    <x v="372"/>
    <s v="Kevin Ryan"/>
    <x v="421"/>
    <x v="1"/>
    <x v="427"/>
    <n v="163"/>
    <s v="Emergency"/>
    <d v="2023-07-22T00:00:00"/>
    <s v="Aspirin"/>
    <s v="Abnormal"/>
    <x v="24"/>
  </r>
  <r>
    <x v="427"/>
    <s v="36-45"/>
    <n v="39"/>
    <s v="Male"/>
    <x v="3"/>
    <x v="2"/>
    <x v="108"/>
    <s v="Nicole Fernandez"/>
    <x v="422"/>
    <x v="1"/>
    <x v="428"/>
    <n v="416"/>
    <s v="Emergency"/>
    <d v="2020-02-15T00:00:00"/>
    <s v="Lipitor"/>
    <s v="Abnormal"/>
    <x v="25"/>
  </r>
  <r>
    <x v="428"/>
    <s v="26-35"/>
    <n v="28"/>
    <s v="Male"/>
    <x v="6"/>
    <x v="2"/>
    <x v="142"/>
    <s v="Aaron Smith"/>
    <x v="423"/>
    <x v="4"/>
    <x v="429"/>
    <n v="184"/>
    <s v="Urgent"/>
    <d v="2020-01-09T00:00:00"/>
    <s v="Ibuprofen"/>
    <s v="Normal"/>
    <x v="11"/>
  </r>
  <r>
    <x v="429"/>
    <s v="26-35"/>
    <n v="33"/>
    <s v="Male"/>
    <x v="3"/>
    <x v="2"/>
    <x v="15"/>
    <s v="Tiffany Crawford"/>
    <x v="424"/>
    <x v="0"/>
    <x v="430"/>
    <n v="137"/>
    <s v="Emergency"/>
    <d v="2019-12-18T00:00:00"/>
    <s v="Penicillin"/>
    <s v="Abnormal"/>
    <x v="26"/>
  </r>
  <r>
    <x v="430"/>
    <s v="26-35"/>
    <n v="34"/>
    <s v="Male"/>
    <x v="3"/>
    <x v="2"/>
    <x v="259"/>
    <s v="Brent Murray"/>
    <x v="425"/>
    <x v="2"/>
    <x v="431"/>
    <n v="233"/>
    <s v="Urgent"/>
    <d v="2020-10-21T00:00:00"/>
    <s v="Lipitor"/>
    <s v="Inconclusive"/>
    <x v="19"/>
  </r>
  <r>
    <x v="431"/>
    <s v="26-35"/>
    <n v="30"/>
    <s v="Male"/>
    <x v="7"/>
    <x v="2"/>
    <x v="373"/>
    <s v="John Ryan MD"/>
    <x v="426"/>
    <x v="0"/>
    <x v="432"/>
    <n v="189"/>
    <s v="Emergency"/>
    <d v="2023-09-07T00:00:00"/>
    <s v="Paracetamol"/>
    <s v="Normal"/>
    <x v="10"/>
  </r>
  <r>
    <x v="432"/>
    <s v="56-65"/>
    <n v="60"/>
    <s v="Male"/>
    <x v="2"/>
    <x v="2"/>
    <x v="374"/>
    <s v="Paula Chavez"/>
    <x v="427"/>
    <x v="4"/>
    <x v="433"/>
    <n v="230"/>
    <s v="Elective"/>
    <d v="2023-06-30T00:00:00"/>
    <s v="Ibuprofen"/>
    <s v="Inconclusive"/>
    <x v="1"/>
  </r>
  <r>
    <x v="433"/>
    <s v="18-25"/>
    <n v="21"/>
    <s v="Female"/>
    <x v="3"/>
    <x v="2"/>
    <x v="375"/>
    <s v="Derrick Krause"/>
    <x v="428"/>
    <x v="4"/>
    <x v="434"/>
    <n v="203"/>
    <s v="Urgent"/>
    <d v="2019-07-15T00:00:00"/>
    <s v="Lipitor"/>
    <s v="Abnormal"/>
    <x v="24"/>
  </r>
  <r>
    <x v="434"/>
    <s v="66-75"/>
    <n v="71"/>
    <s v="Female"/>
    <x v="5"/>
    <x v="2"/>
    <x v="376"/>
    <s v="Denise Costa"/>
    <x v="429"/>
    <x v="3"/>
    <x v="435"/>
    <n v="129"/>
    <s v="Urgent"/>
    <d v="2021-03-03T00:00:00"/>
    <s v="Penicillin"/>
    <s v="Inconclusive"/>
    <x v="29"/>
  </r>
  <r>
    <x v="435"/>
    <s v="56-65"/>
    <n v="59"/>
    <s v="Female"/>
    <x v="3"/>
    <x v="2"/>
    <x v="330"/>
    <s v="Christopher Blair"/>
    <x v="117"/>
    <x v="2"/>
    <x v="436"/>
    <n v="181"/>
    <s v="Elective"/>
    <d v="2021-03-14T00:00:00"/>
    <s v="Penicillin"/>
    <s v="Abnormal"/>
    <x v="11"/>
  </r>
  <r>
    <x v="436"/>
    <s v="76-85"/>
    <n v="77"/>
    <s v="Male"/>
    <x v="4"/>
    <x v="2"/>
    <x v="135"/>
    <s v="Christine Smith"/>
    <x v="430"/>
    <x v="3"/>
    <x v="437"/>
    <n v="443"/>
    <s v="Emergency"/>
    <d v="2018-12-26T00:00:00"/>
    <s v="Paracetamol"/>
    <s v="Normal"/>
    <x v="28"/>
  </r>
  <r>
    <x v="437"/>
    <s v="76-85"/>
    <n v="78"/>
    <s v="Male"/>
    <x v="3"/>
    <x v="2"/>
    <x v="315"/>
    <s v="Ashley Kim"/>
    <x v="431"/>
    <x v="2"/>
    <x v="438"/>
    <n v="481"/>
    <s v="Urgent"/>
    <d v="2020-01-30T00:00:00"/>
    <s v="Lipitor"/>
    <s v="Normal"/>
    <x v="13"/>
  </r>
  <r>
    <x v="438"/>
    <s v="66-75"/>
    <n v="67"/>
    <s v="Male"/>
    <x v="7"/>
    <x v="2"/>
    <x v="377"/>
    <s v="Brandon Ray"/>
    <x v="432"/>
    <x v="3"/>
    <x v="439"/>
    <n v="416"/>
    <s v="Elective"/>
    <d v="2022-04-04T00:00:00"/>
    <s v="Ibuprofen"/>
    <s v="Inconclusive"/>
    <x v="14"/>
  </r>
  <r>
    <x v="439"/>
    <s v="26-35"/>
    <n v="31"/>
    <s v="Male"/>
    <x v="1"/>
    <x v="2"/>
    <x v="378"/>
    <s v="Dennis Mitchell"/>
    <x v="433"/>
    <x v="1"/>
    <x v="440"/>
    <n v="194"/>
    <s v="Urgent"/>
    <d v="2021-05-06T00:00:00"/>
    <s v="Aspirin"/>
    <s v="Inconclusive"/>
    <x v="11"/>
  </r>
  <r>
    <x v="440"/>
    <s v="36-45"/>
    <n v="36"/>
    <s v="Male"/>
    <x v="0"/>
    <x v="2"/>
    <x v="379"/>
    <s v="Pamela Davis MD"/>
    <x v="434"/>
    <x v="0"/>
    <x v="441"/>
    <n v="450"/>
    <s v="Urgent"/>
    <d v="2020-04-01T00:00:00"/>
    <s v="Aspirin"/>
    <s v="Normal"/>
    <x v="8"/>
  </r>
  <r>
    <x v="441"/>
    <s v="36-45"/>
    <n v="36"/>
    <s v="Male"/>
    <x v="6"/>
    <x v="2"/>
    <x v="142"/>
    <s v="Cheryl Palmer"/>
    <x v="435"/>
    <x v="3"/>
    <x v="442"/>
    <n v="247"/>
    <s v="Urgent"/>
    <d v="2020-01-27T00:00:00"/>
    <s v="Lipitor"/>
    <s v="Inconclusive"/>
    <x v="12"/>
  </r>
  <r>
    <x v="442"/>
    <s v="36-45"/>
    <n v="43"/>
    <s v="Female"/>
    <x v="2"/>
    <x v="2"/>
    <x v="161"/>
    <s v="Jose Richard"/>
    <x v="436"/>
    <x v="3"/>
    <x v="443"/>
    <n v="425"/>
    <s v="Elective"/>
    <d v="2019-05-08T00:00:00"/>
    <s v="Ibuprofen"/>
    <s v="Normal"/>
    <x v="19"/>
  </r>
  <r>
    <x v="443"/>
    <s v="76-85"/>
    <n v="81"/>
    <s v="Female"/>
    <x v="5"/>
    <x v="2"/>
    <x v="380"/>
    <s v="Kristin Young"/>
    <x v="117"/>
    <x v="4"/>
    <x v="444"/>
    <n v="180"/>
    <s v="Urgent"/>
    <d v="2023-10-29T00:00:00"/>
    <s v="Paracetamol"/>
    <s v="Abnormal"/>
    <x v="25"/>
  </r>
  <r>
    <x v="444"/>
    <s v="56-65"/>
    <n v="65"/>
    <s v="Female"/>
    <x v="5"/>
    <x v="2"/>
    <x v="381"/>
    <s v="Katherine Lowe"/>
    <x v="437"/>
    <x v="0"/>
    <x v="445"/>
    <n v="120"/>
    <s v="Emergency"/>
    <d v="2021-06-25T00:00:00"/>
    <s v="Ibuprofen"/>
    <s v="Inconclusive"/>
    <x v="4"/>
  </r>
  <r>
    <x v="445"/>
    <s v="18-25"/>
    <n v="19"/>
    <s v="Male"/>
    <x v="4"/>
    <x v="2"/>
    <x v="382"/>
    <s v="Janice Vargas"/>
    <x v="438"/>
    <x v="1"/>
    <x v="446"/>
    <n v="414"/>
    <s v="Emergency"/>
    <d v="2021-07-14T00:00:00"/>
    <s v="Lipitor"/>
    <s v="Inconclusive"/>
    <x v="15"/>
  </r>
  <r>
    <x v="446"/>
    <s v="26-35"/>
    <n v="26"/>
    <s v="Female"/>
    <x v="4"/>
    <x v="2"/>
    <x v="383"/>
    <s v="Raymond Moore Jr."/>
    <x v="439"/>
    <x v="2"/>
    <x v="447"/>
    <n v="245"/>
    <s v="Elective"/>
    <d v="2021-02-21T00:00:00"/>
    <s v="Ibuprofen"/>
    <s v="Inconclusive"/>
    <x v="9"/>
  </r>
  <r>
    <x v="447"/>
    <s v="56-65"/>
    <n v="59"/>
    <s v="Female"/>
    <x v="4"/>
    <x v="2"/>
    <x v="384"/>
    <s v="Jeffrey Steele"/>
    <x v="440"/>
    <x v="3"/>
    <x v="448"/>
    <n v="439"/>
    <s v="Emergency"/>
    <d v="2021-07-11T00:00:00"/>
    <s v="Ibuprofen"/>
    <s v="Inconclusive"/>
    <x v="26"/>
  </r>
  <r>
    <x v="448"/>
    <s v="56-65"/>
    <n v="62"/>
    <s v="Male"/>
    <x v="5"/>
    <x v="2"/>
    <x v="385"/>
    <s v="Shane Cabrera"/>
    <x v="441"/>
    <x v="4"/>
    <x v="449"/>
    <n v="468"/>
    <s v="Emergency"/>
    <d v="2020-04-13T00:00:00"/>
    <s v="Aspirin"/>
    <s v="Inconclusive"/>
    <x v="25"/>
  </r>
  <r>
    <x v="449"/>
    <s v="66-75"/>
    <n v="69"/>
    <s v="Male"/>
    <x v="4"/>
    <x v="2"/>
    <x v="247"/>
    <s v="Mr. Adam Ramirez"/>
    <x v="442"/>
    <x v="0"/>
    <x v="450"/>
    <n v="362"/>
    <s v="Emergency"/>
    <d v="2021-02-13T00:00:00"/>
    <s v="Ibuprofen"/>
    <s v="Inconclusive"/>
    <x v="11"/>
  </r>
  <r>
    <x v="450"/>
    <s v="26-35"/>
    <n v="35"/>
    <s v="Female"/>
    <x v="6"/>
    <x v="2"/>
    <x v="386"/>
    <s v="Kelly Smith"/>
    <x v="443"/>
    <x v="1"/>
    <x v="451"/>
    <n v="133"/>
    <s v="Emergency"/>
    <d v="2019-10-12T00:00:00"/>
    <s v="Aspirin"/>
    <s v="Abnormal"/>
    <x v="16"/>
  </r>
  <r>
    <x v="451"/>
    <s v="18-25"/>
    <n v="21"/>
    <s v="Male"/>
    <x v="5"/>
    <x v="2"/>
    <x v="387"/>
    <s v="Karen Garrison"/>
    <x v="444"/>
    <x v="2"/>
    <x v="452"/>
    <n v="230"/>
    <s v="Elective"/>
    <d v="2019-09-15T00:00:00"/>
    <s v="Penicillin"/>
    <s v="Inconclusive"/>
    <x v="17"/>
  </r>
  <r>
    <x v="452"/>
    <s v="66-75"/>
    <n v="73"/>
    <s v="Male"/>
    <x v="7"/>
    <x v="2"/>
    <x v="388"/>
    <s v="Linda Gomez"/>
    <x v="445"/>
    <x v="4"/>
    <x v="453"/>
    <n v="197"/>
    <s v="Elective"/>
    <d v="2019-09-14T00:00:00"/>
    <s v="Penicillin"/>
    <s v="Normal"/>
    <x v="5"/>
  </r>
  <r>
    <x v="453"/>
    <s v="56-65"/>
    <n v="56"/>
    <s v="Male"/>
    <x v="2"/>
    <x v="2"/>
    <x v="389"/>
    <s v="Jimmy Brown"/>
    <x v="446"/>
    <x v="3"/>
    <x v="454"/>
    <n v="112"/>
    <s v="Elective"/>
    <d v="2019-11-17T00:00:00"/>
    <s v="Penicillin"/>
    <s v="Abnormal"/>
    <x v="24"/>
  </r>
  <r>
    <x v="454"/>
    <s v="66-75"/>
    <n v="74"/>
    <s v="Female"/>
    <x v="7"/>
    <x v="2"/>
    <x v="390"/>
    <s v="David Patel"/>
    <x v="447"/>
    <x v="2"/>
    <x v="455"/>
    <n v="284"/>
    <s v="Elective"/>
    <d v="2021-02-22T00:00:00"/>
    <s v="Penicillin"/>
    <s v="Inconclusive"/>
    <x v="7"/>
  </r>
  <r>
    <x v="455"/>
    <s v="18-25"/>
    <n v="22"/>
    <s v="Female"/>
    <x v="4"/>
    <x v="2"/>
    <x v="391"/>
    <s v="Paul Walker"/>
    <x v="448"/>
    <x v="0"/>
    <x v="456"/>
    <n v="172"/>
    <s v="Elective"/>
    <d v="2019-02-09T00:00:00"/>
    <s v="Lipitor"/>
    <s v="Abnormal"/>
    <x v="18"/>
  </r>
  <r>
    <x v="456"/>
    <s v="36-45"/>
    <n v="37"/>
    <s v="Female"/>
    <x v="2"/>
    <x v="2"/>
    <x v="392"/>
    <s v="Crystal Wallace"/>
    <x v="449"/>
    <x v="0"/>
    <x v="457"/>
    <n v="235"/>
    <s v="Emergency"/>
    <d v="2019-07-18T00:00:00"/>
    <s v="Ibuprofen"/>
    <s v="Normal"/>
    <x v="0"/>
  </r>
  <r>
    <x v="457"/>
    <s v="66-75"/>
    <n v="66"/>
    <s v="Male"/>
    <x v="4"/>
    <x v="2"/>
    <x v="393"/>
    <s v="Peggy Bailey"/>
    <x v="450"/>
    <x v="3"/>
    <x v="458"/>
    <n v="145"/>
    <s v="Elective"/>
    <d v="2021-10-14T00:00:00"/>
    <s v="Paracetamol"/>
    <s v="Abnormal"/>
    <x v="18"/>
  </r>
  <r>
    <x v="458"/>
    <s v="26-35"/>
    <n v="35"/>
    <s v="Male"/>
    <x v="4"/>
    <x v="2"/>
    <x v="394"/>
    <s v="Gabriel Hopkins"/>
    <x v="451"/>
    <x v="0"/>
    <x v="459"/>
    <n v="483"/>
    <s v="Emergency"/>
    <d v="2023-10-14T00:00:00"/>
    <s v="Penicillin"/>
    <s v="Normal"/>
    <x v="4"/>
  </r>
  <r>
    <x v="459"/>
    <s v="56-65"/>
    <n v="64"/>
    <s v="Male"/>
    <x v="3"/>
    <x v="2"/>
    <x v="395"/>
    <s v="Michael Robinson"/>
    <x v="452"/>
    <x v="0"/>
    <x v="460"/>
    <n v="239"/>
    <s v="Emergency"/>
    <d v="2020-11-02T00:00:00"/>
    <s v="Paracetamol"/>
    <s v="Normal"/>
    <x v="26"/>
  </r>
  <r>
    <x v="460"/>
    <s v="76-85"/>
    <n v="79"/>
    <s v="Female"/>
    <x v="3"/>
    <x v="2"/>
    <x v="396"/>
    <s v="Cynthia Brown"/>
    <x v="453"/>
    <x v="4"/>
    <x v="461"/>
    <n v="374"/>
    <s v="Urgent"/>
    <d v="2022-02-15T00:00:00"/>
    <s v="Paracetamol"/>
    <s v="Abnormal"/>
    <x v="8"/>
  </r>
  <r>
    <x v="461"/>
    <s v="18-25"/>
    <n v="22"/>
    <s v="Female"/>
    <x v="4"/>
    <x v="2"/>
    <x v="39"/>
    <s v="Samuel Carrillo"/>
    <x v="454"/>
    <x v="1"/>
    <x v="462"/>
    <n v="462"/>
    <s v="Elective"/>
    <d v="2023-07-26T00:00:00"/>
    <s v="Paracetamol"/>
    <s v="Normal"/>
    <x v="1"/>
  </r>
  <r>
    <x v="462"/>
    <s v="26-35"/>
    <n v="26"/>
    <s v="Female"/>
    <x v="4"/>
    <x v="2"/>
    <x v="397"/>
    <s v="Christopher Garcia"/>
    <x v="455"/>
    <x v="0"/>
    <x v="463"/>
    <n v="205"/>
    <s v="Elective"/>
    <d v="2023-08-02T00:00:00"/>
    <s v="Penicillin"/>
    <s v="Abnormal"/>
    <x v="1"/>
  </r>
  <r>
    <x v="463"/>
    <s v="66-75"/>
    <n v="66"/>
    <s v="Female"/>
    <x v="1"/>
    <x v="2"/>
    <x v="398"/>
    <s v="Anne White"/>
    <x v="456"/>
    <x v="2"/>
    <x v="464"/>
    <n v="264"/>
    <s v="Urgent"/>
    <d v="2021-04-12T00:00:00"/>
    <s v="Ibuprofen"/>
    <s v="Inconclusive"/>
    <x v="8"/>
  </r>
  <r>
    <x v="464"/>
    <s v="26-35"/>
    <n v="32"/>
    <s v="Male"/>
    <x v="7"/>
    <x v="2"/>
    <x v="252"/>
    <s v="Jillian Marshall"/>
    <x v="457"/>
    <x v="3"/>
    <x v="465"/>
    <n v="413"/>
    <s v="Emergency"/>
    <d v="2023-07-17T00:00:00"/>
    <s v="Penicillin"/>
    <s v="Normal"/>
    <x v="16"/>
  </r>
  <r>
    <x v="465"/>
    <s v="26-35"/>
    <n v="34"/>
    <s v="Female"/>
    <x v="5"/>
    <x v="2"/>
    <x v="399"/>
    <s v="Robert Leblanc"/>
    <x v="458"/>
    <x v="0"/>
    <x v="466"/>
    <n v="199"/>
    <s v="Emergency"/>
    <d v="2021-09-09T00:00:00"/>
    <s v="Penicillin"/>
    <s v="Abnormal"/>
    <x v="1"/>
  </r>
  <r>
    <x v="466"/>
    <s v="66-75"/>
    <n v="70"/>
    <s v="Female"/>
    <x v="0"/>
    <x v="2"/>
    <x v="274"/>
    <s v="Brandon Hines"/>
    <x v="459"/>
    <x v="2"/>
    <x v="467"/>
    <n v="468"/>
    <s v="Emergency"/>
    <d v="2021-02-15T00:00:00"/>
    <s v="Lipitor"/>
    <s v="Inconclusive"/>
    <x v="26"/>
  </r>
  <r>
    <x v="467"/>
    <s v="56-65"/>
    <n v="57"/>
    <s v="Female"/>
    <x v="0"/>
    <x v="2"/>
    <x v="365"/>
    <s v="Jared Harmon"/>
    <x v="460"/>
    <x v="0"/>
    <x v="468"/>
    <n v="361"/>
    <s v="Emergency"/>
    <d v="2022-04-02T00:00:00"/>
    <s v="Aspirin"/>
    <s v="Normal"/>
    <x v="18"/>
  </r>
  <r>
    <x v="468"/>
    <s v="66-75"/>
    <n v="71"/>
    <s v="Male"/>
    <x v="0"/>
    <x v="2"/>
    <x v="400"/>
    <s v="Tamara Carter"/>
    <x v="461"/>
    <x v="1"/>
    <x v="469"/>
    <n v="360"/>
    <s v="Emergency"/>
    <d v="2019-06-28T00:00:00"/>
    <s v="Penicillin"/>
    <s v="Normal"/>
    <x v="16"/>
  </r>
  <r>
    <x v="469"/>
    <s v="18-25"/>
    <n v="18"/>
    <s v="Male"/>
    <x v="3"/>
    <x v="2"/>
    <x v="401"/>
    <s v="Teresa Cannon"/>
    <x v="462"/>
    <x v="2"/>
    <x v="470"/>
    <n v="451"/>
    <s v="Elective"/>
    <d v="2021-03-08T00:00:00"/>
    <s v="Lipitor"/>
    <s v="Inconclusive"/>
    <x v="21"/>
  </r>
  <r>
    <x v="470"/>
    <s v="46-55"/>
    <n v="47"/>
    <s v="Female"/>
    <x v="5"/>
    <x v="2"/>
    <x v="402"/>
    <s v="Michael Villanueva"/>
    <x v="463"/>
    <x v="0"/>
    <x v="471"/>
    <n v="209"/>
    <s v="Urgent"/>
    <d v="2018-12-15T00:00:00"/>
    <s v="Ibuprofen"/>
    <s v="Abnormal"/>
    <x v="11"/>
  </r>
  <r>
    <x v="471"/>
    <s v="56-65"/>
    <n v="56"/>
    <s v="Female"/>
    <x v="3"/>
    <x v="2"/>
    <x v="403"/>
    <s v="Nicole Mcclain"/>
    <x v="464"/>
    <x v="1"/>
    <x v="472"/>
    <n v="392"/>
    <s v="Elective"/>
    <d v="2019-06-11T00:00:00"/>
    <s v="Penicillin"/>
    <s v="Abnormal"/>
    <x v="29"/>
  </r>
  <r>
    <x v="472"/>
    <s v="66-75"/>
    <n v="75"/>
    <s v="Female"/>
    <x v="4"/>
    <x v="2"/>
    <x v="404"/>
    <s v="Lucas Phillips"/>
    <x v="465"/>
    <x v="2"/>
    <x v="473"/>
    <n v="130"/>
    <s v="Elective"/>
    <d v="2023-04-30T00:00:00"/>
    <s v="Lipitor"/>
    <s v="Abnormal"/>
    <x v="28"/>
  </r>
  <r>
    <x v="473"/>
    <s v="76-85"/>
    <n v="84"/>
    <s v="Male"/>
    <x v="3"/>
    <x v="2"/>
    <x v="405"/>
    <s v="Sean Thomas"/>
    <x v="466"/>
    <x v="0"/>
    <x v="474"/>
    <n v="213"/>
    <s v="Emergency"/>
    <d v="2020-04-03T00:00:00"/>
    <s v="Aspirin"/>
    <s v="Abnormal"/>
    <x v="10"/>
  </r>
  <r>
    <x v="474"/>
    <s v="66-75"/>
    <n v="73"/>
    <s v="Female"/>
    <x v="3"/>
    <x v="2"/>
    <x v="210"/>
    <s v="John Brown"/>
    <x v="467"/>
    <x v="2"/>
    <x v="475"/>
    <n v="233"/>
    <s v="Urgent"/>
    <d v="2019-09-06T00:00:00"/>
    <s v="Penicillin"/>
    <s v="Abnormal"/>
    <x v="26"/>
  </r>
  <r>
    <x v="475"/>
    <s v="18-25"/>
    <n v="25"/>
    <s v="Male"/>
    <x v="3"/>
    <x v="2"/>
    <x v="406"/>
    <s v="Kelly Scott MD"/>
    <x v="468"/>
    <x v="3"/>
    <x v="476"/>
    <n v="360"/>
    <s v="Emergency"/>
    <d v="2020-11-07T00:00:00"/>
    <s v="Paracetamol"/>
    <s v="Inconclusive"/>
    <x v="18"/>
  </r>
  <r>
    <x v="476"/>
    <s v="46-55"/>
    <n v="53"/>
    <s v="Female"/>
    <x v="1"/>
    <x v="2"/>
    <x v="407"/>
    <s v="Craig Harris"/>
    <x v="469"/>
    <x v="4"/>
    <x v="477"/>
    <n v="183"/>
    <s v="Urgent"/>
    <d v="2022-02-10T00:00:00"/>
    <s v="Lipitor"/>
    <s v="Normal"/>
    <x v="21"/>
  </r>
  <r>
    <x v="477"/>
    <s v="36-45"/>
    <n v="43"/>
    <s v="Female"/>
    <x v="5"/>
    <x v="2"/>
    <x v="383"/>
    <s v="Jacob Olson"/>
    <x v="470"/>
    <x v="0"/>
    <x v="478"/>
    <n v="315"/>
    <s v="Emergency"/>
    <d v="2021-03-09T00:00:00"/>
    <s v="Aspirin"/>
    <s v="Normal"/>
    <x v="13"/>
  </r>
  <r>
    <x v="478"/>
    <s v="46-55"/>
    <n v="51"/>
    <s v="Female"/>
    <x v="4"/>
    <x v="2"/>
    <x v="408"/>
    <s v="Amber Young"/>
    <x v="471"/>
    <x v="3"/>
    <x v="479"/>
    <n v="258"/>
    <s v="Urgent"/>
    <d v="2019-03-06T00:00:00"/>
    <s v="Aspirin"/>
    <s v="Inconclusive"/>
    <x v="7"/>
  </r>
  <r>
    <x v="479"/>
    <s v="56-65"/>
    <n v="64"/>
    <s v="Female"/>
    <x v="6"/>
    <x v="2"/>
    <x v="409"/>
    <s v="Laura Cruz"/>
    <x v="472"/>
    <x v="1"/>
    <x v="480"/>
    <n v="262"/>
    <s v="Urgent"/>
    <d v="2022-09-02T00:00:00"/>
    <s v="Aspirin"/>
    <s v="Normal"/>
    <x v="7"/>
  </r>
  <r>
    <x v="480"/>
    <s v="36-45"/>
    <n v="40"/>
    <s v="Male"/>
    <x v="6"/>
    <x v="2"/>
    <x v="410"/>
    <s v="Stephanie Bennett"/>
    <x v="473"/>
    <x v="0"/>
    <x v="481"/>
    <n v="334"/>
    <s v="Elective"/>
    <d v="2022-07-02T00:00:00"/>
    <s v="Lipitor"/>
    <s v="Normal"/>
    <x v="28"/>
  </r>
  <r>
    <x v="481"/>
    <s v="46-55"/>
    <n v="46"/>
    <s v="Female"/>
    <x v="6"/>
    <x v="2"/>
    <x v="411"/>
    <s v="Jasmine Russell"/>
    <x v="474"/>
    <x v="3"/>
    <x v="482"/>
    <n v="213"/>
    <s v="Urgent"/>
    <d v="2020-09-12T00:00:00"/>
    <s v="Lipitor"/>
    <s v="Inconclusive"/>
    <x v="4"/>
  </r>
  <r>
    <x v="482"/>
    <s v="36-45"/>
    <n v="36"/>
    <s v="Male"/>
    <x v="3"/>
    <x v="2"/>
    <x v="412"/>
    <s v="Kristi Chan"/>
    <x v="475"/>
    <x v="3"/>
    <x v="483"/>
    <n v="226"/>
    <s v="Urgent"/>
    <d v="2020-02-22T00:00:00"/>
    <s v="Lipitor"/>
    <s v="Abnormal"/>
    <x v="27"/>
  </r>
  <r>
    <x v="483"/>
    <s v="36-45"/>
    <n v="45"/>
    <s v="Female"/>
    <x v="4"/>
    <x v="2"/>
    <x v="413"/>
    <s v="Charles Weber"/>
    <x v="476"/>
    <x v="4"/>
    <x v="484"/>
    <n v="287"/>
    <s v="Emergency"/>
    <d v="2021-01-15T00:00:00"/>
    <s v="Paracetamol"/>
    <s v="Inconclusive"/>
    <x v="9"/>
  </r>
  <r>
    <x v="484"/>
    <s v="18-25"/>
    <n v="19"/>
    <s v="Male"/>
    <x v="5"/>
    <x v="2"/>
    <x v="414"/>
    <s v="Rodney Obrien"/>
    <x v="477"/>
    <x v="2"/>
    <x v="485"/>
    <n v="211"/>
    <s v="Urgent"/>
    <d v="2021-06-01T00:00:00"/>
    <s v="Lipitor"/>
    <s v="Inconclusive"/>
    <x v="24"/>
  </r>
  <r>
    <x v="485"/>
    <s v="76-85"/>
    <n v="83"/>
    <s v="Female"/>
    <x v="0"/>
    <x v="2"/>
    <x v="415"/>
    <s v="Jessica Sanders"/>
    <x v="478"/>
    <x v="3"/>
    <x v="486"/>
    <n v="370"/>
    <s v="Elective"/>
    <d v="2020-03-28T00:00:00"/>
    <s v="Lipitor"/>
    <s v="Inconclusive"/>
    <x v="18"/>
  </r>
  <r>
    <x v="486"/>
    <s v="46-55"/>
    <n v="51"/>
    <s v="Female"/>
    <x v="6"/>
    <x v="2"/>
    <x v="416"/>
    <s v="Kathryn Garcia"/>
    <x v="479"/>
    <x v="4"/>
    <x v="487"/>
    <n v="460"/>
    <s v="Emergency"/>
    <d v="2023-09-07T00:00:00"/>
    <s v="Ibuprofen"/>
    <s v="Inconclusive"/>
    <x v="8"/>
  </r>
  <r>
    <x v="487"/>
    <s v="26-35"/>
    <n v="26"/>
    <s v="Male"/>
    <x v="3"/>
    <x v="2"/>
    <x v="417"/>
    <s v="Sean Knight"/>
    <x v="480"/>
    <x v="1"/>
    <x v="488"/>
    <n v="383"/>
    <s v="Emergency"/>
    <d v="2022-02-26T00:00:00"/>
    <s v="Penicillin"/>
    <s v="Normal"/>
    <x v="0"/>
  </r>
  <r>
    <x v="488"/>
    <s v="46-55"/>
    <n v="46"/>
    <s v="Male"/>
    <x v="3"/>
    <x v="2"/>
    <x v="418"/>
    <s v="Pamela Taylor"/>
    <x v="481"/>
    <x v="1"/>
    <x v="489"/>
    <n v="164"/>
    <s v="Elective"/>
    <d v="2023-10-02T00:00:00"/>
    <s v="Lipitor"/>
    <s v="Abnormal"/>
    <x v="21"/>
  </r>
  <r>
    <x v="489"/>
    <s v="76-85"/>
    <n v="81"/>
    <s v="Male"/>
    <x v="3"/>
    <x v="2"/>
    <x v="419"/>
    <s v="Kevin Conrad"/>
    <x v="482"/>
    <x v="4"/>
    <x v="490"/>
    <n v="253"/>
    <s v="Emergency"/>
    <d v="2020-08-23T00:00:00"/>
    <s v="Paracetamol"/>
    <s v="Inconclusive"/>
    <x v="15"/>
  </r>
  <r>
    <x v="490"/>
    <s v="66-75"/>
    <n v="71"/>
    <s v="Female"/>
    <x v="1"/>
    <x v="2"/>
    <x v="420"/>
    <s v="Sherri Jones"/>
    <x v="483"/>
    <x v="1"/>
    <x v="491"/>
    <n v="405"/>
    <s v="Emergency"/>
    <d v="2022-04-09T00:00:00"/>
    <s v="Paracetamol"/>
    <s v="Inconclusive"/>
    <x v="17"/>
  </r>
  <r>
    <x v="491"/>
    <s v="66-75"/>
    <n v="68"/>
    <s v="Male"/>
    <x v="1"/>
    <x v="2"/>
    <x v="421"/>
    <s v="Lori Hanna"/>
    <x v="484"/>
    <x v="4"/>
    <x v="492"/>
    <n v="247"/>
    <s v="Urgent"/>
    <d v="2022-11-19T00:00:00"/>
    <s v="Paracetamol"/>
    <s v="Abnormal"/>
    <x v="26"/>
  </r>
  <r>
    <x v="492"/>
    <s v="36-45"/>
    <n v="42"/>
    <s v="Male"/>
    <x v="4"/>
    <x v="2"/>
    <x v="422"/>
    <s v="Kimberly Brewer"/>
    <x v="485"/>
    <x v="0"/>
    <x v="493"/>
    <n v="283"/>
    <s v="Emergency"/>
    <d v="2020-06-11T00:00:00"/>
    <s v="Aspirin"/>
    <s v="Inconclusive"/>
    <x v="18"/>
  </r>
  <r>
    <x v="493"/>
    <s v="56-65"/>
    <n v="62"/>
    <s v="Male"/>
    <x v="7"/>
    <x v="2"/>
    <x v="423"/>
    <s v="Kara Barton"/>
    <x v="486"/>
    <x v="1"/>
    <x v="494"/>
    <n v="153"/>
    <s v="Urgent"/>
    <d v="2018-11-29T00:00:00"/>
    <s v="Penicillin"/>
    <s v="Abnormal"/>
    <x v="16"/>
  </r>
  <r>
    <x v="494"/>
    <s v="18-25"/>
    <n v="20"/>
    <s v="Female"/>
    <x v="6"/>
    <x v="2"/>
    <x v="242"/>
    <s v="Ellen Spence"/>
    <x v="487"/>
    <x v="2"/>
    <x v="495"/>
    <n v="360"/>
    <s v="Urgent"/>
    <d v="2019-05-09T00:00:00"/>
    <s v="Ibuprofen"/>
    <s v="Normal"/>
    <x v="6"/>
  </r>
  <r>
    <x v="495"/>
    <s v="46-55"/>
    <n v="54"/>
    <s v="Female"/>
    <x v="4"/>
    <x v="2"/>
    <x v="424"/>
    <s v="Robert Burton"/>
    <x v="488"/>
    <x v="0"/>
    <x v="496"/>
    <n v="156"/>
    <s v="Elective"/>
    <d v="2021-12-27T00:00:00"/>
    <s v="Paracetamol"/>
    <s v="Normal"/>
    <x v="5"/>
  </r>
  <r>
    <x v="496"/>
    <s v="56-65"/>
    <n v="63"/>
    <s v="Male"/>
    <x v="4"/>
    <x v="2"/>
    <x v="425"/>
    <s v="Samuel Gilbert"/>
    <x v="489"/>
    <x v="2"/>
    <x v="497"/>
    <n v="269"/>
    <s v="Elective"/>
    <d v="2020-10-05T00:00:00"/>
    <s v="Lipitor"/>
    <s v="Inconclusive"/>
    <x v="23"/>
  </r>
  <r>
    <x v="497"/>
    <s v="36-45"/>
    <n v="43"/>
    <s v="Female"/>
    <x v="0"/>
    <x v="2"/>
    <x v="362"/>
    <s v="Julia Gibson"/>
    <x v="490"/>
    <x v="1"/>
    <x v="498"/>
    <n v="436"/>
    <s v="Emergency"/>
    <d v="2021-07-16T00:00:00"/>
    <s v="Penicillin"/>
    <s v="Abnormal"/>
    <x v="23"/>
  </r>
  <r>
    <x v="498"/>
    <s v="36-45"/>
    <n v="45"/>
    <s v="Male"/>
    <x v="5"/>
    <x v="2"/>
    <x v="403"/>
    <s v="Austin Fernandez"/>
    <x v="491"/>
    <x v="4"/>
    <x v="499"/>
    <n v="333"/>
    <s v="Elective"/>
    <d v="2019-05-15T00:00:00"/>
    <s v="Penicillin"/>
    <s v="Normal"/>
    <x v="24"/>
  </r>
  <r>
    <x v="499"/>
    <s v="56-65"/>
    <n v="62"/>
    <s v="Female"/>
    <x v="6"/>
    <x v="2"/>
    <x v="426"/>
    <s v="Gina Daniel"/>
    <x v="492"/>
    <x v="3"/>
    <x v="500"/>
    <n v="248"/>
    <s v="Urgent"/>
    <d v="2023-06-29T00:00:00"/>
    <s v="Ibuprofen"/>
    <s v="Normal"/>
    <x v="12"/>
  </r>
  <r>
    <x v="500"/>
    <s v="76-85"/>
    <n v="84"/>
    <s v="Female"/>
    <x v="6"/>
    <x v="2"/>
    <x v="427"/>
    <s v="Chris Weeks"/>
    <x v="493"/>
    <x v="1"/>
    <x v="501"/>
    <n v="158"/>
    <s v="Emergency"/>
    <d v="2020-07-08T00:00:00"/>
    <s v="Ibuprofen"/>
    <s v="Abnormal"/>
    <x v="22"/>
  </r>
  <r>
    <x v="501"/>
    <s v="66-75"/>
    <n v="74"/>
    <s v="Male"/>
    <x v="0"/>
    <x v="2"/>
    <x v="344"/>
    <s v="George Davis"/>
    <x v="494"/>
    <x v="1"/>
    <x v="502"/>
    <n v="384"/>
    <s v="Emergency"/>
    <d v="2022-04-19T00:00:00"/>
    <s v="Lipitor"/>
    <s v="Normal"/>
    <x v="6"/>
  </r>
  <r>
    <x v="502"/>
    <s v="66-75"/>
    <n v="69"/>
    <s v="Male"/>
    <x v="1"/>
    <x v="2"/>
    <x v="428"/>
    <s v="David Vargas"/>
    <x v="495"/>
    <x v="3"/>
    <x v="503"/>
    <n v="413"/>
    <s v="Urgent"/>
    <d v="2021-12-04T00:00:00"/>
    <s v="Penicillin"/>
    <s v="Normal"/>
    <x v="17"/>
  </r>
  <r>
    <x v="503"/>
    <s v="66-75"/>
    <n v="71"/>
    <s v="Female"/>
    <x v="0"/>
    <x v="2"/>
    <x v="429"/>
    <s v="Nathaniel Richardson"/>
    <x v="496"/>
    <x v="2"/>
    <x v="504"/>
    <n v="485"/>
    <s v="Emergency"/>
    <d v="2021-12-12T00:00:00"/>
    <s v="Aspirin"/>
    <s v="Inconclusive"/>
    <x v="21"/>
  </r>
  <r>
    <x v="504"/>
    <s v="18-25"/>
    <n v="25"/>
    <s v="Female"/>
    <x v="5"/>
    <x v="2"/>
    <x v="195"/>
    <s v="Dr. Robert Massey"/>
    <x v="497"/>
    <x v="0"/>
    <x v="505"/>
    <n v="194"/>
    <s v="Urgent"/>
    <d v="2023-04-07T00:00:00"/>
    <s v="Aspirin"/>
    <s v="Abnormal"/>
    <x v="13"/>
  </r>
  <r>
    <x v="505"/>
    <s v="36-45"/>
    <n v="38"/>
    <s v="Male"/>
    <x v="7"/>
    <x v="3"/>
    <x v="430"/>
    <s v="Rachel Wood"/>
    <x v="498"/>
    <x v="0"/>
    <x v="506"/>
    <n v="164"/>
    <s v="Emergency"/>
    <d v="2021-06-24T00:00:00"/>
    <s v="Ibuprofen"/>
    <s v="Abnormal"/>
    <x v="17"/>
  </r>
  <r>
    <x v="506"/>
    <s v="66-75"/>
    <n v="72"/>
    <s v="Female"/>
    <x v="1"/>
    <x v="3"/>
    <x v="431"/>
    <s v="Barbara Hurst"/>
    <x v="499"/>
    <x v="0"/>
    <x v="507"/>
    <n v="129"/>
    <s v="Urgent"/>
    <d v="2021-01-29T00:00:00"/>
    <s v="Aspirin"/>
    <s v="Inconclusive"/>
    <x v="7"/>
  </r>
  <r>
    <x v="507"/>
    <s v="26-35"/>
    <n v="35"/>
    <s v="Male"/>
    <x v="1"/>
    <x v="3"/>
    <x v="225"/>
    <s v="Elizabeth Humphrey"/>
    <x v="500"/>
    <x v="3"/>
    <x v="508"/>
    <n v="363"/>
    <s v="Emergency"/>
    <d v="2023-08-16T00:00:00"/>
    <s v="Aspirin"/>
    <s v="Inconclusive"/>
    <x v="22"/>
  </r>
  <r>
    <x v="508"/>
    <s v="26-35"/>
    <n v="29"/>
    <s v="Female"/>
    <x v="3"/>
    <x v="3"/>
    <x v="432"/>
    <s v="Kelly Sanchez"/>
    <x v="501"/>
    <x v="0"/>
    <x v="509"/>
    <n v="445"/>
    <s v="Emergency"/>
    <d v="2020-08-28T00:00:00"/>
    <s v="Lipitor"/>
    <s v="Normal"/>
    <x v="27"/>
  </r>
  <r>
    <x v="509"/>
    <s v="46-55"/>
    <n v="52"/>
    <s v="Male"/>
    <x v="1"/>
    <x v="3"/>
    <x v="433"/>
    <s v="Scott Barton"/>
    <x v="502"/>
    <x v="3"/>
    <x v="510"/>
    <n v="470"/>
    <s v="Urgent"/>
    <d v="2023-08-11T00:00:00"/>
    <s v="Paracetamol"/>
    <s v="Normal"/>
    <x v="19"/>
  </r>
  <r>
    <x v="510"/>
    <s v="46-55"/>
    <n v="48"/>
    <s v="Female"/>
    <x v="2"/>
    <x v="3"/>
    <x v="434"/>
    <s v="Dr. Nicolas Bryant"/>
    <x v="503"/>
    <x v="0"/>
    <x v="511"/>
    <n v="135"/>
    <s v="Urgent"/>
    <d v="2020-01-28T00:00:00"/>
    <s v="Paracetamol"/>
    <s v="Inconclusive"/>
    <x v="28"/>
  </r>
  <r>
    <x v="511"/>
    <s v="46-55"/>
    <n v="52"/>
    <s v="Female"/>
    <x v="2"/>
    <x v="3"/>
    <x v="435"/>
    <s v="Betty Evans"/>
    <x v="504"/>
    <x v="1"/>
    <x v="512"/>
    <n v="101"/>
    <s v="Urgent"/>
    <d v="2021-02-21T00:00:00"/>
    <s v="Aspirin"/>
    <s v="Abnormal"/>
    <x v="15"/>
  </r>
  <r>
    <x v="512"/>
    <s v="76-85"/>
    <n v="78"/>
    <s v="Male"/>
    <x v="7"/>
    <x v="3"/>
    <x v="436"/>
    <s v="Anthony Hernandez"/>
    <x v="505"/>
    <x v="0"/>
    <x v="513"/>
    <n v="329"/>
    <s v="Urgent"/>
    <d v="2020-03-18T00:00:00"/>
    <s v="Aspirin"/>
    <s v="Normal"/>
    <x v="25"/>
  </r>
  <r>
    <x v="513"/>
    <s v="76-85"/>
    <n v="81"/>
    <s v="Female"/>
    <x v="1"/>
    <x v="3"/>
    <x v="437"/>
    <s v="Wesley Thompson"/>
    <x v="506"/>
    <x v="4"/>
    <x v="514"/>
    <n v="275"/>
    <s v="Urgent"/>
    <d v="2021-09-01T00:00:00"/>
    <s v="Aspirin"/>
    <s v="Normal"/>
    <x v="0"/>
  </r>
  <r>
    <x v="514"/>
    <s v="66-75"/>
    <n v="71"/>
    <s v="Female"/>
    <x v="3"/>
    <x v="3"/>
    <x v="438"/>
    <s v="Brenda Burton"/>
    <x v="507"/>
    <x v="4"/>
    <x v="515"/>
    <n v="181"/>
    <s v="Elective"/>
    <d v="2020-03-06T00:00:00"/>
    <s v="Penicillin"/>
    <s v="Abnormal"/>
    <x v="17"/>
  </r>
  <r>
    <x v="515"/>
    <s v="56-65"/>
    <n v="56"/>
    <s v="Female"/>
    <x v="6"/>
    <x v="3"/>
    <x v="439"/>
    <s v="Sergio Conner"/>
    <x v="508"/>
    <x v="1"/>
    <x v="516"/>
    <n v="404"/>
    <s v="Urgent"/>
    <d v="2023-11-25T00:00:00"/>
    <s v="Penicillin"/>
    <s v="Inconclusive"/>
    <x v="29"/>
  </r>
  <r>
    <x v="516"/>
    <s v="66-75"/>
    <n v="74"/>
    <s v="Female"/>
    <x v="0"/>
    <x v="3"/>
    <x v="440"/>
    <s v="Kara Frey"/>
    <x v="509"/>
    <x v="0"/>
    <x v="517"/>
    <n v="261"/>
    <s v="Elective"/>
    <d v="2022-03-25T00:00:00"/>
    <s v="Ibuprofen"/>
    <s v="Abnormal"/>
    <x v="17"/>
  </r>
  <r>
    <x v="517"/>
    <s v="66-75"/>
    <n v="66"/>
    <s v="Male"/>
    <x v="0"/>
    <x v="3"/>
    <x v="441"/>
    <s v="Matthew Williams"/>
    <x v="510"/>
    <x v="1"/>
    <x v="518"/>
    <n v="244"/>
    <s v="Elective"/>
    <d v="2019-04-26T00:00:00"/>
    <s v="Aspirin"/>
    <s v="Normal"/>
    <x v="1"/>
  </r>
  <r>
    <x v="518"/>
    <s v="26-35"/>
    <n v="31"/>
    <s v="Female"/>
    <x v="0"/>
    <x v="3"/>
    <x v="442"/>
    <s v="Deborah Blackwell"/>
    <x v="511"/>
    <x v="1"/>
    <x v="519"/>
    <n v="316"/>
    <s v="Emergency"/>
    <d v="2022-02-04T00:00:00"/>
    <s v="Penicillin"/>
    <s v="Inconclusive"/>
    <x v="9"/>
  </r>
  <r>
    <x v="519"/>
    <s v="18-25"/>
    <n v="24"/>
    <s v="Male"/>
    <x v="1"/>
    <x v="3"/>
    <x v="222"/>
    <s v="Julia Lang"/>
    <x v="512"/>
    <x v="0"/>
    <x v="520"/>
    <n v="270"/>
    <s v="Urgent"/>
    <d v="2022-09-02T00:00:00"/>
    <s v="Penicillin"/>
    <s v="Inconclusive"/>
    <x v="12"/>
  </r>
  <r>
    <x v="520"/>
    <s v="26-35"/>
    <n v="33"/>
    <s v="Female"/>
    <x v="4"/>
    <x v="3"/>
    <x v="443"/>
    <s v="Angela Kim"/>
    <x v="513"/>
    <x v="4"/>
    <x v="521"/>
    <n v="120"/>
    <s v="Urgent"/>
    <d v="2019-01-31T00:00:00"/>
    <s v="Aspirin"/>
    <s v="Abnormal"/>
    <x v="27"/>
  </r>
  <r>
    <x v="521"/>
    <s v="76-85"/>
    <n v="80"/>
    <s v="Female"/>
    <x v="2"/>
    <x v="3"/>
    <x v="444"/>
    <s v="Trevor Walker"/>
    <x v="514"/>
    <x v="2"/>
    <x v="522"/>
    <n v="257"/>
    <s v="Elective"/>
    <d v="2021-11-14T00:00:00"/>
    <s v="Paracetamol"/>
    <s v="Normal"/>
    <x v="22"/>
  </r>
  <r>
    <x v="522"/>
    <s v="76-85"/>
    <n v="78"/>
    <s v="Male"/>
    <x v="7"/>
    <x v="3"/>
    <x v="445"/>
    <s v="Alyssa Acevedo"/>
    <x v="515"/>
    <x v="2"/>
    <x v="523"/>
    <n v="340"/>
    <s v="Emergency"/>
    <d v="2020-06-03T00:00:00"/>
    <s v="Lipitor"/>
    <s v="Inconclusive"/>
    <x v="27"/>
  </r>
  <r>
    <x v="523"/>
    <s v="36-45"/>
    <n v="40"/>
    <s v="Female"/>
    <x v="1"/>
    <x v="3"/>
    <x v="213"/>
    <s v="Jamie Marks"/>
    <x v="516"/>
    <x v="0"/>
    <x v="524"/>
    <n v="238"/>
    <s v="Urgent"/>
    <d v="2022-01-10T00:00:00"/>
    <s v="Penicillin"/>
    <s v="Inconclusive"/>
    <x v="7"/>
  </r>
  <r>
    <x v="524"/>
    <s v="46-55"/>
    <n v="54"/>
    <s v="Female"/>
    <x v="6"/>
    <x v="3"/>
    <x v="446"/>
    <s v="Michael Waters"/>
    <x v="517"/>
    <x v="4"/>
    <x v="525"/>
    <n v="350"/>
    <s v="Elective"/>
    <d v="2021-10-11T00:00:00"/>
    <s v="Lipitor"/>
    <s v="Inconclusive"/>
    <x v="3"/>
  </r>
  <r>
    <x v="525"/>
    <s v="26-35"/>
    <n v="30"/>
    <s v="Male"/>
    <x v="5"/>
    <x v="3"/>
    <x v="447"/>
    <s v="Sylvia Johnson"/>
    <x v="518"/>
    <x v="4"/>
    <x v="526"/>
    <n v="364"/>
    <s v="Elective"/>
    <d v="2021-03-21T00:00:00"/>
    <s v="Paracetamol"/>
    <s v="Normal"/>
    <x v="12"/>
  </r>
  <r>
    <x v="526"/>
    <s v="26-35"/>
    <n v="34"/>
    <s v="Male"/>
    <x v="2"/>
    <x v="3"/>
    <x v="97"/>
    <s v="Andre Schultz"/>
    <x v="519"/>
    <x v="3"/>
    <x v="527"/>
    <n v="129"/>
    <s v="Emergency"/>
    <d v="2019-09-05T00:00:00"/>
    <s v="Penicillin"/>
    <s v="Inconclusive"/>
    <x v="14"/>
  </r>
  <r>
    <x v="527"/>
    <s v="76-85"/>
    <n v="84"/>
    <s v="Male"/>
    <x v="2"/>
    <x v="3"/>
    <x v="448"/>
    <s v="James Flynn"/>
    <x v="520"/>
    <x v="2"/>
    <x v="528"/>
    <n v="174"/>
    <s v="Emergency"/>
    <d v="2023-01-29T00:00:00"/>
    <s v="Ibuprofen"/>
    <s v="Inconclusive"/>
    <x v="2"/>
  </r>
  <r>
    <x v="528"/>
    <s v="56-65"/>
    <n v="60"/>
    <s v="Female"/>
    <x v="5"/>
    <x v="3"/>
    <x v="449"/>
    <s v="Luke Lawrence"/>
    <x v="521"/>
    <x v="3"/>
    <x v="529"/>
    <n v="191"/>
    <s v="Elective"/>
    <d v="2022-05-25T00:00:00"/>
    <s v="Paracetamol"/>
    <s v="Inconclusive"/>
    <x v="4"/>
  </r>
  <r>
    <x v="529"/>
    <s v="76-85"/>
    <n v="79"/>
    <s v="Female"/>
    <x v="7"/>
    <x v="3"/>
    <x v="450"/>
    <s v="George May"/>
    <x v="480"/>
    <x v="4"/>
    <x v="530"/>
    <n v="287"/>
    <s v="Emergency"/>
    <d v="2020-09-01T00:00:00"/>
    <s v="Lipitor"/>
    <s v="Normal"/>
    <x v="0"/>
  </r>
  <r>
    <x v="530"/>
    <s v="76-85"/>
    <n v="77"/>
    <s v="Male"/>
    <x v="2"/>
    <x v="3"/>
    <x v="451"/>
    <s v="Jennifer Acosta"/>
    <x v="522"/>
    <x v="1"/>
    <x v="531"/>
    <n v="433"/>
    <s v="Emergency"/>
    <d v="2022-02-21T00:00:00"/>
    <s v="Penicillin"/>
    <s v="Normal"/>
    <x v="22"/>
  </r>
  <r>
    <x v="531"/>
    <s v="26-35"/>
    <n v="30"/>
    <s v="Female"/>
    <x v="5"/>
    <x v="3"/>
    <x v="452"/>
    <s v="Jennifer Merritt"/>
    <x v="523"/>
    <x v="2"/>
    <x v="532"/>
    <n v="127"/>
    <s v="Emergency"/>
    <d v="2022-08-28T00:00:00"/>
    <s v="Penicillin"/>
    <s v="Inconclusive"/>
    <x v="0"/>
  </r>
  <r>
    <x v="532"/>
    <s v="36-45"/>
    <n v="43"/>
    <s v="Female"/>
    <x v="6"/>
    <x v="3"/>
    <x v="453"/>
    <s v="Miguel Jones"/>
    <x v="524"/>
    <x v="4"/>
    <x v="533"/>
    <n v="441"/>
    <s v="Urgent"/>
    <d v="2020-09-21T00:00:00"/>
    <s v="Lipitor"/>
    <s v="Inconclusive"/>
    <x v="15"/>
  </r>
  <r>
    <x v="533"/>
    <s v="46-55"/>
    <n v="51"/>
    <s v="Male"/>
    <x v="0"/>
    <x v="3"/>
    <x v="76"/>
    <s v="Benjamin Cameron"/>
    <x v="525"/>
    <x v="4"/>
    <x v="534"/>
    <n v="291"/>
    <s v="Elective"/>
    <d v="2019-07-09T00:00:00"/>
    <s v="Penicillin"/>
    <s v="Abnormal"/>
    <x v="22"/>
  </r>
  <r>
    <x v="534"/>
    <s v="76-85"/>
    <n v="85"/>
    <s v="Female"/>
    <x v="1"/>
    <x v="3"/>
    <x v="454"/>
    <s v="Laura Roberts"/>
    <x v="526"/>
    <x v="1"/>
    <x v="535"/>
    <n v="444"/>
    <s v="Elective"/>
    <d v="2021-12-14T00:00:00"/>
    <s v="Aspirin"/>
    <s v="Inconclusive"/>
    <x v="22"/>
  </r>
  <r>
    <x v="535"/>
    <s v="18-25"/>
    <n v="21"/>
    <s v="Female"/>
    <x v="4"/>
    <x v="3"/>
    <x v="204"/>
    <s v="John Henderson"/>
    <x v="527"/>
    <x v="0"/>
    <x v="536"/>
    <n v="429"/>
    <s v="Emergency"/>
    <d v="2022-05-25T00:00:00"/>
    <s v="Aspirin"/>
    <s v="Normal"/>
    <x v="12"/>
  </r>
  <r>
    <x v="536"/>
    <s v="76-85"/>
    <n v="77"/>
    <s v="Male"/>
    <x v="1"/>
    <x v="3"/>
    <x v="455"/>
    <s v="Ashley Price"/>
    <x v="528"/>
    <x v="2"/>
    <x v="537"/>
    <n v="395"/>
    <s v="Elective"/>
    <d v="2023-01-23T00:00:00"/>
    <s v="Penicillin"/>
    <s v="Normal"/>
    <x v="22"/>
  </r>
  <r>
    <x v="537"/>
    <s v="18-25"/>
    <n v="25"/>
    <s v="Male"/>
    <x v="0"/>
    <x v="3"/>
    <x v="456"/>
    <s v="Dana Daniels"/>
    <x v="529"/>
    <x v="2"/>
    <x v="538"/>
    <n v="223"/>
    <s v="Emergency"/>
    <d v="2021-10-12T00:00:00"/>
    <s v="Penicillin"/>
    <s v="Inconclusive"/>
    <x v="1"/>
  </r>
  <r>
    <x v="538"/>
    <s v="76-85"/>
    <n v="82"/>
    <s v="Female"/>
    <x v="0"/>
    <x v="3"/>
    <x v="457"/>
    <s v="Ashley Brooks"/>
    <x v="530"/>
    <x v="0"/>
    <x v="539"/>
    <n v="253"/>
    <s v="Emergency"/>
    <d v="2021-08-22T00:00:00"/>
    <s v="Ibuprofen"/>
    <s v="Abnormal"/>
    <x v="2"/>
  </r>
  <r>
    <x v="539"/>
    <s v="56-65"/>
    <n v="63"/>
    <s v="Male"/>
    <x v="4"/>
    <x v="3"/>
    <x v="206"/>
    <s v="John Russell"/>
    <x v="531"/>
    <x v="0"/>
    <x v="540"/>
    <n v="237"/>
    <s v="Elective"/>
    <d v="2022-09-13T00:00:00"/>
    <s v="Lipitor"/>
    <s v="Abnormal"/>
    <x v="17"/>
  </r>
  <r>
    <x v="540"/>
    <s v="36-45"/>
    <n v="40"/>
    <s v="Male"/>
    <x v="0"/>
    <x v="3"/>
    <x v="64"/>
    <s v="Eric Bowen"/>
    <x v="532"/>
    <x v="2"/>
    <x v="541"/>
    <n v="310"/>
    <s v="Emergency"/>
    <d v="2021-11-03T00:00:00"/>
    <s v="Aspirin"/>
    <s v="Normal"/>
    <x v="1"/>
  </r>
  <r>
    <x v="541"/>
    <s v="66-75"/>
    <n v="68"/>
    <s v="Female"/>
    <x v="6"/>
    <x v="3"/>
    <x v="277"/>
    <s v="Tracy Ward"/>
    <x v="533"/>
    <x v="0"/>
    <x v="542"/>
    <n v="334"/>
    <s v="Emergency"/>
    <d v="2021-01-21T00:00:00"/>
    <s v="Lipitor"/>
    <s v="Normal"/>
    <x v="9"/>
  </r>
  <r>
    <x v="542"/>
    <s v="66-75"/>
    <n v="67"/>
    <s v="Female"/>
    <x v="2"/>
    <x v="3"/>
    <x v="458"/>
    <s v="Robert Morgan"/>
    <x v="534"/>
    <x v="3"/>
    <x v="543"/>
    <n v="291"/>
    <s v="Urgent"/>
    <d v="2021-08-30T00:00:00"/>
    <s v="Aspirin"/>
    <s v="Normal"/>
    <x v="28"/>
  </r>
  <r>
    <x v="543"/>
    <s v="76-85"/>
    <n v="83"/>
    <s v="Male"/>
    <x v="1"/>
    <x v="3"/>
    <x v="412"/>
    <s v="Steven Allen"/>
    <x v="535"/>
    <x v="4"/>
    <x v="544"/>
    <n v="221"/>
    <s v="Emergency"/>
    <d v="2020-02-25T00:00:00"/>
    <s v="Paracetamol"/>
    <s v="Normal"/>
    <x v="20"/>
  </r>
  <r>
    <x v="544"/>
    <s v="46-55"/>
    <n v="48"/>
    <s v="Female"/>
    <x v="6"/>
    <x v="3"/>
    <x v="459"/>
    <s v="Jason Coleman"/>
    <x v="536"/>
    <x v="2"/>
    <x v="545"/>
    <n v="499"/>
    <s v="Emergency"/>
    <d v="2021-09-27T00:00:00"/>
    <s v="Ibuprofen"/>
    <s v="Abnormal"/>
    <x v="12"/>
  </r>
  <r>
    <x v="545"/>
    <s v="46-55"/>
    <n v="49"/>
    <s v="Male"/>
    <x v="3"/>
    <x v="3"/>
    <x v="460"/>
    <s v="Tammy Harris"/>
    <x v="537"/>
    <x v="4"/>
    <x v="546"/>
    <n v="406"/>
    <s v="Urgent"/>
    <d v="2023-07-17T00:00:00"/>
    <s v="Aspirin"/>
    <s v="Abnormal"/>
    <x v="23"/>
  </r>
  <r>
    <x v="546"/>
    <s v="46-55"/>
    <n v="46"/>
    <s v="Male"/>
    <x v="3"/>
    <x v="3"/>
    <x v="83"/>
    <s v="Sharon Banks"/>
    <x v="538"/>
    <x v="1"/>
    <x v="547"/>
    <n v="104"/>
    <s v="Urgent"/>
    <d v="2018-12-19T00:00:00"/>
    <s v="Ibuprofen"/>
    <s v="Inconclusive"/>
    <x v="18"/>
  </r>
  <r>
    <x v="547"/>
    <s v="36-45"/>
    <n v="37"/>
    <s v="Female"/>
    <x v="4"/>
    <x v="3"/>
    <x v="461"/>
    <s v="Annette Cook"/>
    <x v="539"/>
    <x v="3"/>
    <x v="548"/>
    <n v="234"/>
    <s v="Elective"/>
    <d v="2021-04-28T00:00:00"/>
    <s v="Penicillin"/>
    <s v="Abnormal"/>
    <x v="15"/>
  </r>
  <r>
    <x v="548"/>
    <s v="26-35"/>
    <n v="32"/>
    <s v="Female"/>
    <x v="2"/>
    <x v="3"/>
    <x v="108"/>
    <s v="Haley Riley"/>
    <x v="540"/>
    <x v="2"/>
    <x v="549"/>
    <n v="210"/>
    <s v="Elective"/>
    <d v="2020-02-26T00:00:00"/>
    <s v="Paracetamol"/>
    <s v="Normal"/>
    <x v="20"/>
  </r>
  <r>
    <x v="549"/>
    <s v="66-75"/>
    <n v="66"/>
    <s v="Female"/>
    <x v="0"/>
    <x v="3"/>
    <x v="351"/>
    <s v="Rodney Johnson"/>
    <x v="541"/>
    <x v="2"/>
    <x v="550"/>
    <n v="390"/>
    <s v="Urgent"/>
    <d v="2023-07-07T00:00:00"/>
    <s v="Ibuprofen"/>
    <s v="Abnormal"/>
    <x v="24"/>
  </r>
  <r>
    <x v="550"/>
    <s v="76-85"/>
    <n v="78"/>
    <s v="Female"/>
    <x v="1"/>
    <x v="3"/>
    <x v="462"/>
    <s v="Zachary Anderson"/>
    <x v="542"/>
    <x v="2"/>
    <x v="551"/>
    <n v="186"/>
    <s v="Urgent"/>
    <d v="2023-05-23T00:00:00"/>
    <s v="Lipitor"/>
    <s v="Normal"/>
    <x v="4"/>
  </r>
  <r>
    <x v="551"/>
    <s v="26-35"/>
    <n v="32"/>
    <s v="Female"/>
    <x v="1"/>
    <x v="3"/>
    <x v="463"/>
    <s v="Kenneth Higgins"/>
    <x v="543"/>
    <x v="4"/>
    <x v="552"/>
    <n v="272"/>
    <s v="Emergency"/>
    <d v="2022-01-12T00:00:00"/>
    <s v="Paracetamol"/>
    <s v="Abnormal"/>
    <x v="23"/>
  </r>
  <r>
    <x v="552"/>
    <s v="18-25"/>
    <n v="20"/>
    <s v="Male"/>
    <x v="4"/>
    <x v="3"/>
    <x v="246"/>
    <s v="Lori Stone"/>
    <x v="544"/>
    <x v="4"/>
    <x v="553"/>
    <n v="443"/>
    <s v="Urgent"/>
    <d v="2022-07-22T00:00:00"/>
    <s v="Lipitor"/>
    <s v="Abnormal"/>
    <x v="4"/>
  </r>
  <r>
    <x v="553"/>
    <s v="26-35"/>
    <n v="27"/>
    <s v="Male"/>
    <x v="5"/>
    <x v="3"/>
    <x v="464"/>
    <s v="Alexandria Potts"/>
    <x v="545"/>
    <x v="0"/>
    <x v="554"/>
    <n v="136"/>
    <s v="Emergency"/>
    <d v="2020-06-24T00:00:00"/>
    <s v="Paracetamol"/>
    <s v="Abnormal"/>
    <x v="9"/>
  </r>
  <r>
    <x v="554"/>
    <s v="26-35"/>
    <n v="29"/>
    <s v="Female"/>
    <x v="4"/>
    <x v="3"/>
    <x v="465"/>
    <s v="John Mcdonald"/>
    <x v="546"/>
    <x v="2"/>
    <x v="555"/>
    <n v="304"/>
    <s v="Urgent"/>
    <d v="2023-08-03T00:00:00"/>
    <s v="Aspirin"/>
    <s v="Abnormal"/>
    <x v="8"/>
  </r>
  <r>
    <x v="555"/>
    <s v="26-35"/>
    <n v="31"/>
    <s v="Female"/>
    <x v="3"/>
    <x v="3"/>
    <x v="466"/>
    <s v="Tara Kaufman"/>
    <x v="547"/>
    <x v="3"/>
    <x v="556"/>
    <n v="349"/>
    <s v="Urgent"/>
    <d v="2021-03-28T00:00:00"/>
    <s v="Aspirin"/>
    <s v="Abnormal"/>
    <x v="25"/>
  </r>
  <r>
    <x v="556"/>
    <s v="76-85"/>
    <n v="78"/>
    <s v="Male"/>
    <x v="1"/>
    <x v="3"/>
    <x v="467"/>
    <s v="Natalie Moore"/>
    <x v="548"/>
    <x v="4"/>
    <x v="557"/>
    <n v="308"/>
    <s v="Urgent"/>
    <d v="2021-08-01T00:00:00"/>
    <s v="Lipitor"/>
    <s v="Abnormal"/>
    <x v="25"/>
  </r>
  <r>
    <x v="557"/>
    <s v="76-85"/>
    <n v="77"/>
    <s v="Female"/>
    <x v="0"/>
    <x v="3"/>
    <x v="468"/>
    <s v="Jessica Powell MD"/>
    <x v="549"/>
    <x v="0"/>
    <x v="558"/>
    <n v="187"/>
    <s v="Urgent"/>
    <d v="2022-12-22T00:00:00"/>
    <s v="Aspirin"/>
    <s v="Abnormal"/>
    <x v="22"/>
  </r>
  <r>
    <x v="558"/>
    <s v="18-25"/>
    <n v="20"/>
    <s v="Female"/>
    <x v="7"/>
    <x v="3"/>
    <x v="278"/>
    <s v="Lauren Phillips"/>
    <x v="550"/>
    <x v="4"/>
    <x v="559"/>
    <n v="314"/>
    <s v="Emergency"/>
    <d v="2023-09-06T00:00:00"/>
    <s v="Paracetamol"/>
    <s v="Normal"/>
    <x v="8"/>
  </r>
  <r>
    <x v="559"/>
    <s v="18-25"/>
    <n v="24"/>
    <s v="Male"/>
    <x v="2"/>
    <x v="3"/>
    <x v="469"/>
    <s v="Brian Rocha"/>
    <x v="551"/>
    <x v="3"/>
    <x v="560"/>
    <n v="452"/>
    <s v="Urgent"/>
    <d v="2019-10-05T00:00:00"/>
    <s v="Aspirin"/>
    <s v="Abnormal"/>
    <x v="26"/>
  </r>
  <r>
    <x v="560"/>
    <s v="66-75"/>
    <n v="71"/>
    <s v="Female"/>
    <x v="5"/>
    <x v="3"/>
    <x v="470"/>
    <s v="Jonathan Shaw"/>
    <x v="552"/>
    <x v="3"/>
    <x v="561"/>
    <n v="233"/>
    <s v="Emergency"/>
    <d v="2022-11-21T00:00:00"/>
    <s v="Ibuprofen"/>
    <s v="Normal"/>
    <x v="15"/>
  </r>
  <r>
    <x v="561"/>
    <s v="56-65"/>
    <n v="64"/>
    <s v="Male"/>
    <x v="7"/>
    <x v="3"/>
    <x v="41"/>
    <s v="Jonathan Phillips"/>
    <x v="553"/>
    <x v="3"/>
    <x v="562"/>
    <n v="140"/>
    <s v="Emergency"/>
    <d v="2019-09-16T00:00:00"/>
    <s v="Aspirin"/>
    <s v="Abnormal"/>
    <x v="2"/>
  </r>
  <r>
    <x v="562"/>
    <s v="66-75"/>
    <n v="71"/>
    <s v="Male"/>
    <x v="7"/>
    <x v="3"/>
    <x v="471"/>
    <s v="Robert Edwards"/>
    <x v="554"/>
    <x v="1"/>
    <x v="563"/>
    <n v="143"/>
    <s v="Urgent"/>
    <d v="2021-01-08T00:00:00"/>
    <s v="Aspirin"/>
    <s v="Inconclusive"/>
    <x v="25"/>
  </r>
  <r>
    <x v="563"/>
    <s v="46-55"/>
    <n v="52"/>
    <s v="Female"/>
    <x v="2"/>
    <x v="3"/>
    <x v="248"/>
    <s v="Christine Frey"/>
    <x v="555"/>
    <x v="2"/>
    <x v="564"/>
    <n v="235"/>
    <s v="Emergency"/>
    <d v="2019-02-11T00:00:00"/>
    <s v="Lipitor"/>
    <s v="Normal"/>
    <x v="8"/>
  </r>
  <r>
    <x v="564"/>
    <s v="56-65"/>
    <n v="56"/>
    <s v="Male"/>
    <x v="3"/>
    <x v="3"/>
    <x v="6"/>
    <s v="Christina Gonzalez"/>
    <x v="556"/>
    <x v="2"/>
    <x v="565"/>
    <n v="267"/>
    <s v="Emergency"/>
    <d v="2019-12-13T00:00:00"/>
    <s v="Penicillin"/>
    <s v="Inconclusive"/>
    <x v="16"/>
  </r>
  <r>
    <x v="565"/>
    <s v="66-75"/>
    <n v="74"/>
    <s v="Female"/>
    <x v="0"/>
    <x v="3"/>
    <x v="472"/>
    <s v="Briana Olson"/>
    <x v="557"/>
    <x v="4"/>
    <x v="566"/>
    <n v="143"/>
    <s v="Elective"/>
    <d v="2020-08-29T00:00:00"/>
    <s v="Paracetamol"/>
    <s v="Normal"/>
    <x v="15"/>
  </r>
  <r>
    <x v="566"/>
    <s v="26-35"/>
    <n v="31"/>
    <s v="Male"/>
    <x v="5"/>
    <x v="3"/>
    <x v="473"/>
    <s v="Kenneth Mccoy"/>
    <x v="558"/>
    <x v="2"/>
    <x v="567"/>
    <n v="354"/>
    <s v="Urgent"/>
    <d v="2021-12-13T00:00:00"/>
    <s v="Aspirin"/>
    <s v="Normal"/>
    <x v="14"/>
  </r>
  <r>
    <x v="567"/>
    <s v="26-35"/>
    <n v="30"/>
    <s v="Male"/>
    <x v="6"/>
    <x v="3"/>
    <x v="474"/>
    <s v="Jordan Moss"/>
    <x v="559"/>
    <x v="2"/>
    <x v="568"/>
    <n v="152"/>
    <s v="Emergency"/>
    <d v="2021-05-03T00:00:00"/>
    <s v="Aspirin"/>
    <s v="Inconclusive"/>
    <x v="22"/>
  </r>
  <r>
    <x v="568"/>
    <s v="76-85"/>
    <n v="80"/>
    <s v="Female"/>
    <x v="5"/>
    <x v="3"/>
    <x v="61"/>
    <s v="Jessica Newton"/>
    <x v="560"/>
    <x v="4"/>
    <x v="569"/>
    <n v="237"/>
    <s v="Elective"/>
    <d v="2021-05-16T00:00:00"/>
    <s v="Lipitor"/>
    <s v="Inconclusive"/>
    <x v="6"/>
  </r>
  <r>
    <x v="569"/>
    <s v="18-25"/>
    <n v="23"/>
    <s v="Female"/>
    <x v="1"/>
    <x v="3"/>
    <x v="306"/>
    <s v="Jane Berger"/>
    <x v="561"/>
    <x v="0"/>
    <x v="570"/>
    <n v="406"/>
    <s v="Elective"/>
    <d v="2022-03-21T00:00:00"/>
    <s v="Paracetamol"/>
    <s v="Inconclusive"/>
    <x v="1"/>
  </r>
  <r>
    <x v="570"/>
    <s v="46-55"/>
    <n v="52"/>
    <s v="Male"/>
    <x v="5"/>
    <x v="3"/>
    <x v="475"/>
    <s v="Richard Freeman"/>
    <x v="562"/>
    <x v="2"/>
    <x v="571"/>
    <n v="139"/>
    <s v="Emergency"/>
    <d v="2019-12-12T00:00:00"/>
    <s v="Aspirin"/>
    <s v="Normal"/>
    <x v="15"/>
  </r>
  <r>
    <x v="571"/>
    <s v="66-75"/>
    <n v="70"/>
    <s v="Female"/>
    <x v="6"/>
    <x v="3"/>
    <x v="476"/>
    <s v="Carla Dougherty"/>
    <x v="563"/>
    <x v="4"/>
    <x v="572"/>
    <n v="139"/>
    <s v="Urgent"/>
    <d v="2022-07-15T00:00:00"/>
    <s v="Lipitor"/>
    <s v="Normal"/>
    <x v="18"/>
  </r>
  <r>
    <x v="70"/>
    <s v="66-75"/>
    <n v="75"/>
    <s v="Female"/>
    <x v="2"/>
    <x v="3"/>
    <x v="477"/>
    <s v="Dawn Pierce"/>
    <x v="564"/>
    <x v="4"/>
    <x v="573"/>
    <n v="481"/>
    <s v="Emergency"/>
    <d v="2020-05-10T00:00:00"/>
    <s v="Aspirin"/>
    <s v="Inconclusive"/>
    <x v="3"/>
  </r>
  <r>
    <x v="572"/>
    <s v="76-85"/>
    <n v="84"/>
    <s v="Male"/>
    <x v="6"/>
    <x v="3"/>
    <x v="478"/>
    <s v="Jonathon Klein"/>
    <x v="565"/>
    <x v="2"/>
    <x v="574"/>
    <n v="110"/>
    <s v="Urgent"/>
    <d v="2021-11-01T00:00:00"/>
    <s v="Paracetamol"/>
    <s v="Normal"/>
    <x v="20"/>
  </r>
  <r>
    <x v="573"/>
    <s v="26-35"/>
    <n v="33"/>
    <s v="Male"/>
    <x v="0"/>
    <x v="3"/>
    <x v="479"/>
    <s v="Angelica Gross"/>
    <x v="566"/>
    <x v="1"/>
    <x v="575"/>
    <n v="108"/>
    <s v="Emergency"/>
    <d v="2021-10-22T00:00:00"/>
    <s v="Lipitor"/>
    <s v="Normal"/>
    <x v="3"/>
  </r>
  <r>
    <x v="574"/>
    <s v="66-75"/>
    <n v="66"/>
    <s v="Female"/>
    <x v="2"/>
    <x v="3"/>
    <x v="480"/>
    <s v="Christopher Castaneda"/>
    <x v="567"/>
    <x v="1"/>
    <x v="576"/>
    <n v="147"/>
    <s v="Urgent"/>
    <d v="2021-08-27T00:00:00"/>
    <s v="Paracetamol"/>
    <s v="Abnormal"/>
    <x v="29"/>
  </r>
  <r>
    <x v="575"/>
    <s v="26-35"/>
    <n v="29"/>
    <s v="Female"/>
    <x v="1"/>
    <x v="3"/>
    <x v="481"/>
    <s v="Michael Allen"/>
    <x v="568"/>
    <x v="3"/>
    <x v="577"/>
    <n v="353"/>
    <s v="Urgent"/>
    <d v="2020-11-04T00:00:00"/>
    <s v="Aspirin"/>
    <s v="Abnormal"/>
    <x v="1"/>
  </r>
  <r>
    <x v="576"/>
    <s v="18-25"/>
    <n v="19"/>
    <s v="Male"/>
    <x v="5"/>
    <x v="3"/>
    <x v="482"/>
    <s v="Mrs. Theresa Rosales MD"/>
    <x v="569"/>
    <x v="4"/>
    <x v="578"/>
    <n v="376"/>
    <s v="Elective"/>
    <d v="2022-01-10T00:00:00"/>
    <s v="Paracetamol"/>
    <s v="Inconclusive"/>
    <x v="13"/>
  </r>
  <r>
    <x v="577"/>
    <s v="66-75"/>
    <n v="72"/>
    <s v="Male"/>
    <x v="1"/>
    <x v="3"/>
    <x v="483"/>
    <s v="Jennifer Beasley"/>
    <x v="570"/>
    <x v="0"/>
    <x v="579"/>
    <n v="370"/>
    <s v="Elective"/>
    <d v="2022-02-17T00:00:00"/>
    <s v="Penicillin"/>
    <s v="Abnormal"/>
    <x v="6"/>
  </r>
  <r>
    <x v="578"/>
    <s v="76-85"/>
    <n v="82"/>
    <s v="Female"/>
    <x v="2"/>
    <x v="3"/>
    <x v="484"/>
    <s v="Corey Sutton"/>
    <x v="571"/>
    <x v="0"/>
    <x v="580"/>
    <n v="186"/>
    <s v="Urgent"/>
    <d v="2021-03-06T00:00:00"/>
    <s v="Lipitor"/>
    <s v="Abnormal"/>
    <x v="0"/>
  </r>
  <r>
    <x v="579"/>
    <s v="66-75"/>
    <n v="72"/>
    <s v="Female"/>
    <x v="2"/>
    <x v="3"/>
    <x v="485"/>
    <s v="Kimberly Palmer"/>
    <x v="572"/>
    <x v="1"/>
    <x v="581"/>
    <n v="488"/>
    <s v="Emergency"/>
    <d v="2020-11-14T00:00:00"/>
    <s v="Lipitor"/>
    <s v="Abnormal"/>
    <x v="29"/>
  </r>
  <r>
    <x v="580"/>
    <s v="36-45"/>
    <n v="40"/>
    <s v="Male"/>
    <x v="5"/>
    <x v="3"/>
    <x v="486"/>
    <s v="Patrick Williams"/>
    <x v="433"/>
    <x v="4"/>
    <x v="582"/>
    <n v="447"/>
    <s v="Urgent"/>
    <d v="2023-10-21T00:00:00"/>
    <s v="Paracetamol"/>
    <s v="Abnormal"/>
    <x v="23"/>
  </r>
  <r>
    <x v="581"/>
    <s v="56-65"/>
    <n v="61"/>
    <s v="Male"/>
    <x v="2"/>
    <x v="3"/>
    <x v="487"/>
    <s v="Louis Vasquez"/>
    <x v="573"/>
    <x v="1"/>
    <x v="583"/>
    <n v="309"/>
    <s v="Emergency"/>
    <d v="2019-05-04T00:00:00"/>
    <s v="Penicillin"/>
    <s v="Inconclusive"/>
    <x v="19"/>
  </r>
  <r>
    <x v="582"/>
    <s v="18-25"/>
    <n v="21"/>
    <s v="Male"/>
    <x v="4"/>
    <x v="3"/>
    <x v="263"/>
    <s v="Samuel Tran"/>
    <x v="574"/>
    <x v="3"/>
    <x v="584"/>
    <n v="486"/>
    <s v="Urgent"/>
    <d v="2021-03-13T00:00:00"/>
    <s v="Paracetamol"/>
    <s v="Inconclusive"/>
    <x v="24"/>
  </r>
  <r>
    <x v="583"/>
    <s v="18-25"/>
    <n v="21"/>
    <s v="Female"/>
    <x v="3"/>
    <x v="3"/>
    <x v="488"/>
    <s v="Dr. Ann Mcdonald"/>
    <x v="575"/>
    <x v="2"/>
    <x v="585"/>
    <n v="324"/>
    <s v="Urgent"/>
    <d v="2019-10-28T00:00:00"/>
    <s v="Lipitor"/>
    <s v="Inconclusive"/>
    <x v="21"/>
  </r>
  <r>
    <x v="584"/>
    <s v="66-75"/>
    <n v="74"/>
    <s v="Male"/>
    <x v="2"/>
    <x v="3"/>
    <x v="489"/>
    <s v="Angela Branch"/>
    <x v="576"/>
    <x v="1"/>
    <x v="586"/>
    <n v="228"/>
    <s v="Urgent"/>
    <d v="2022-07-12T00:00:00"/>
    <s v="Penicillin"/>
    <s v="Normal"/>
    <x v="23"/>
  </r>
  <r>
    <x v="585"/>
    <s v="56-65"/>
    <n v="56"/>
    <s v="Female"/>
    <x v="4"/>
    <x v="3"/>
    <x v="490"/>
    <s v="Stephen West"/>
    <x v="577"/>
    <x v="4"/>
    <x v="587"/>
    <n v="397"/>
    <s v="Emergency"/>
    <d v="2020-12-29T00:00:00"/>
    <s v="Paracetamol"/>
    <s v="Normal"/>
    <x v="26"/>
  </r>
  <r>
    <x v="586"/>
    <s v="56-65"/>
    <n v="56"/>
    <s v="Female"/>
    <x v="0"/>
    <x v="3"/>
    <x v="491"/>
    <s v="Mr. Seth Watson II"/>
    <x v="578"/>
    <x v="3"/>
    <x v="588"/>
    <n v="339"/>
    <s v="Emergency"/>
    <d v="2018-12-02T00:00:00"/>
    <s v="Penicillin"/>
    <s v="Inconclusive"/>
    <x v="24"/>
  </r>
  <r>
    <x v="587"/>
    <s v="76-85"/>
    <n v="82"/>
    <s v="Female"/>
    <x v="5"/>
    <x v="3"/>
    <x v="492"/>
    <s v="Michele Henderson"/>
    <x v="579"/>
    <x v="1"/>
    <x v="589"/>
    <n v="445"/>
    <s v="Urgent"/>
    <d v="2020-01-25T00:00:00"/>
    <s v="Paracetamol"/>
    <s v="Normal"/>
    <x v="22"/>
  </r>
  <r>
    <x v="588"/>
    <s v="76-85"/>
    <n v="78"/>
    <s v="Male"/>
    <x v="4"/>
    <x v="3"/>
    <x v="493"/>
    <s v="Christine Stein"/>
    <x v="580"/>
    <x v="2"/>
    <x v="590"/>
    <n v="326"/>
    <s v="Emergency"/>
    <d v="2023-03-29T00:00:00"/>
    <s v="Ibuprofen"/>
    <s v="Inconclusive"/>
    <x v="25"/>
  </r>
  <r>
    <x v="589"/>
    <s v="66-75"/>
    <n v="72"/>
    <s v="Female"/>
    <x v="7"/>
    <x v="3"/>
    <x v="494"/>
    <s v="Michelle Sanchez"/>
    <x v="581"/>
    <x v="1"/>
    <x v="591"/>
    <n v="467"/>
    <s v="Emergency"/>
    <d v="2023-04-13T00:00:00"/>
    <s v="Lipitor"/>
    <s v="Abnormal"/>
    <x v="26"/>
  </r>
  <r>
    <x v="590"/>
    <s v="36-45"/>
    <n v="40"/>
    <s v="Male"/>
    <x v="3"/>
    <x v="3"/>
    <x v="495"/>
    <s v="Amber Welch"/>
    <x v="582"/>
    <x v="2"/>
    <x v="592"/>
    <n v="467"/>
    <s v="Emergency"/>
    <d v="2020-09-28T00:00:00"/>
    <s v="Lipitor"/>
    <s v="Abnormal"/>
    <x v="25"/>
  </r>
  <r>
    <x v="591"/>
    <s v="46-55"/>
    <n v="48"/>
    <s v="Female"/>
    <x v="4"/>
    <x v="3"/>
    <x v="16"/>
    <s v="Michael Harris"/>
    <x v="583"/>
    <x v="0"/>
    <x v="593"/>
    <n v="182"/>
    <s v="Emergency"/>
    <d v="2021-08-09T00:00:00"/>
    <s v="Ibuprofen"/>
    <s v="Inconclusive"/>
    <x v="21"/>
  </r>
  <r>
    <x v="592"/>
    <s v="46-55"/>
    <n v="52"/>
    <s v="Female"/>
    <x v="5"/>
    <x v="3"/>
    <x v="496"/>
    <s v="Nicole Leon"/>
    <x v="584"/>
    <x v="4"/>
    <x v="594"/>
    <n v="205"/>
    <s v="Emergency"/>
    <d v="2021-02-24T00:00:00"/>
    <s v="Ibuprofen"/>
    <s v="Abnormal"/>
    <x v="5"/>
  </r>
  <r>
    <x v="593"/>
    <s v="46-55"/>
    <n v="50"/>
    <s v="Male"/>
    <x v="5"/>
    <x v="3"/>
    <x v="497"/>
    <s v="Robert Day"/>
    <x v="585"/>
    <x v="0"/>
    <x v="595"/>
    <n v="435"/>
    <s v="Elective"/>
    <d v="2022-06-06T00:00:00"/>
    <s v="Lipitor"/>
    <s v="Abnormal"/>
    <x v="7"/>
  </r>
  <r>
    <x v="594"/>
    <s v="46-55"/>
    <n v="51"/>
    <s v="Male"/>
    <x v="5"/>
    <x v="3"/>
    <x v="319"/>
    <s v="Sarah Torres"/>
    <x v="586"/>
    <x v="2"/>
    <x v="596"/>
    <n v="204"/>
    <s v="Urgent"/>
    <d v="2023-04-22T00:00:00"/>
    <s v="Paracetamol"/>
    <s v="Abnormal"/>
    <x v="20"/>
  </r>
  <r>
    <x v="595"/>
    <s v="26-35"/>
    <n v="26"/>
    <s v="Male"/>
    <x v="0"/>
    <x v="3"/>
    <x v="362"/>
    <s v="Connie Johnson"/>
    <x v="587"/>
    <x v="3"/>
    <x v="597"/>
    <n v="223"/>
    <s v="Elective"/>
    <d v="2021-07-21T00:00:00"/>
    <s v="Paracetamol"/>
    <s v="Normal"/>
    <x v="15"/>
  </r>
  <r>
    <x v="596"/>
    <s v="26-35"/>
    <n v="32"/>
    <s v="Male"/>
    <x v="4"/>
    <x v="3"/>
    <x v="498"/>
    <s v="Denise Jones"/>
    <x v="588"/>
    <x v="2"/>
    <x v="598"/>
    <n v="263"/>
    <s v="Emergency"/>
    <d v="2020-09-05T00:00:00"/>
    <s v="Ibuprofen"/>
    <s v="Normal"/>
    <x v="14"/>
  </r>
  <r>
    <x v="597"/>
    <s v="56-65"/>
    <n v="65"/>
    <s v="Male"/>
    <x v="7"/>
    <x v="3"/>
    <x v="499"/>
    <s v="Anthony Cole"/>
    <x v="589"/>
    <x v="4"/>
    <x v="599"/>
    <n v="308"/>
    <s v="Urgent"/>
    <d v="2021-11-14T00:00:00"/>
    <s v="Ibuprofen"/>
    <s v="Abnormal"/>
    <x v="20"/>
  </r>
  <r>
    <x v="598"/>
    <s v="26-35"/>
    <n v="33"/>
    <s v="Female"/>
    <x v="2"/>
    <x v="3"/>
    <x v="500"/>
    <s v="Andrea Owen"/>
    <x v="590"/>
    <x v="3"/>
    <x v="600"/>
    <n v="119"/>
    <s v="Urgent"/>
    <d v="2019-02-23T00:00:00"/>
    <s v="Lipitor"/>
    <s v="Abnormal"/>
    <x v="5"/>
  </r>
  <r>
    <x v="599"/>
    <s v="46-55"/>
    <n v="50"/>
    <s v="Female"/>
    <x v="2"/>
    <x v="3"/>
    <x v="501"/>
    <s v="Jason Williams"/>
    <x v="591"/>
    <x v="1"/>
    <x v="601"/>
    <n v="341"/>
    <s v="Elective"/>
    <d v="2022-03-10T00:00:00"/>
    <s v="Aspirin"/>
    <s v="Inconclusive"/>
    <x v="17"/>
  </r>
  <r>
    <x v="600"/>
    <s v="26-35"/>
    <n v="34"/>
    <s v="Male"/>
    <x v="1"/>
    <x v="3"/>
    <x v="442"/>
    <s v="Erin Yang"/>
    <x v="592"/>
    <x v="1"/>
    <x v="602"/>
    <n v="472"/>
    <s v="Elective"/>
    <d v="2022-02-05T00:00:00"/>
    <s v="Ibuprofen"/>
    <s v="Normal"/>
    <x v="14"/>
  </r>
  <r>
    <x v="601"/>
    <s v="76-85"/>
    <n v="78"/>
    <s v="Male"/>
    <x v="0"/>
    <x v="3"/>
    <x v="502"/>
    <s v="James Larsen"/>
    <x v="593"/>
    <x v="0"/>
    <x v="603"/>
    <n v="393"/>
    <s v="Urgent"/>
    <d v="2022-03-16T00:00:00"/>
    <s v="Penicillin"/>
    <s v="Abnormal"/>
    <x v="25"/>
  </r>
  <r>
    <x v="602"/>
    <s v="66-75"/>
    <n v="72"/>
    <s v="Male"/>
    <x v="3"/>
    <x v="3"/>
    <x v="503"/>
    <s v="John Harvey"/>
    <x v="594"/>
    <x v="3"/>
    <x v="604"/>
    <n v="219"/>
    <s v="Elective"/>
    <d v="2021-03-20T00:00:00"/>
    <s v="Penicillin"/>
    <s v="Normal"/>
    <x v="24"/>
  </r>
  <r>
    <x v="603"/>
    <s v="76-85"/>
    <n v="77"/>
    <s v="Male"/>
    <x v="5"/>
    <x v="3"/>
    <x v="504"/>
    <s v="Michael Dougherty"/>
    <x v="263"/>
    <x v="0"/>
    <x v="605"/>
    <n v="471"/>
    <s v="Elective"/>
    <d v="2019-06-15T00:00:00"/>
    <s v="Aspirin"/>
    <s v="Normal"/>
    <x v="15"/>
  </r>
  <r>
    <x v="604"/>
    <s v="66-75"/>
    <n v="67"/>
    <s v="Female"/>
    <x v="5"/>
    <x v="3"/>
    <x v="505"/>
    <s v="Mr. Samuel Garcia"/>
    <x v="595"/>
    <x v="3"/>
    <x v="606"/>
    <n v="359"/>
    <s v="Urgent"/>
    <d v="2020-04-21T00:00:00"/>
    <s v="Penicillin"/>
    <s v="Abnormal"/>
    <x v="5"/>
  </r>
  <r>
    <x v="605"/>
    <s v="66-75"/>
    <n v="73"/>
    <s v="Male"/>
    <x v="6"/>
    <x v="3"/>
    <x v="506"/>
    <s v="Christopher Mcfarland"/>
    <x v="596"/>
    <x v="0"/>
    <x v="607"/>
    <n v="146"/>
    <s v="Urgent"/>
    <d v="2019-03-23T00:00:00"/>
    <s v="Aspirin"/>
    <s v="Abnormal"/>
    <x v="13"/>
  </r>
  <r>
    <x v="606"/>
    <s v="36-45"/>
    <n v="36"/>
    <s v="Male"/>
    <x v="0"/>
    <x v="3"/>
    <x v="204"/>
    <s v="David Stephenson"/>
    <x v="597"/>
    <x v="0"/>
    <x v="608"/>
    <n v="215"/>
    <s v="Urgent"/>
    <d v="2022-05-11T00:00:00"/>
    <s v="Ibuprofen"/>
    <s v="Normal"/>
    <x v="9"/>
  </r>
  <r>
    <x v="607"/>
    <s v="56-65"/>
    <n v="62"/>
    <s v="Male"/>
    <x v="1"/>
    <x v="3"/>
    <x v="141"/>
    <s v="Angela Lee"/>
    <x v="598"/>
    <x v="1"/>
    <x v="609"/>
    <n v="268"/>
    <s v="Elective"/>
    <d v="2023-08-21T00:00:00"/>
    <s v="Lipitor"/>
    <s v="Inconclusive"/>
    <x v="17"/>
  </r>
  <r>
    <x v="608"/>
    <s v="56-65"/>
    <n v="65"/>
    <s v="Female"/>
    <x v="3"/>
    <x v="3"/>
    <x v="507"/>
    <s v="Theresa Ingram"/>
    <x v="599"/>
    <x v="1"/>
    <x v="610"/>
    <n v="120"/>
    <s v="Urgent"/>
    <d v="2020-02-29T00:00:00"/>
    <s v="Lipitor"/>
    <s v="Normal"/>
    <x v="10"/>
  </r>
  <r>
    <x v="609"/>
    <s v="26-35"/>
    <n v="33"/>
    <s v="Female"/>
    <x v="5"/>
    <x v="3"/>
    <x v="508"/>
    <s v="Claudia Lee"/>
    <x v="600"/>
    <x v="4"/>
    <x v="611"/>
    <n v="284"/>
    <s v="Elective"/>
    <d v="2022-02-02T00:00:00"/>
    <s v="Paracetamol"/>
    <s v="Abnormal"/>
    <x v="21"/>
  </r>
  <r>
    <x v="610"/>
    <s v="36-45"/>
    <n v="38"/>
    <s v="Female"/>
    <x v="6"/>
    <x v="3"/>
    <x v="509"/>
    <s v="Meredith Johnson DDS"/>
    <x v="601"/>
    <x v="2"/>
    <x v="612"/>
    <n v="186"/>
    <s v="Urgent"/>
    <d v="2018-11-18T00:00:00"/>
    <s v="Lipitor"/>
    <s v="Normal"/>
    <x v="25"/>
  </r>
  <r>
    <x v="611"/>
    <s v="56-65"/>
    <n v="61"/>
    <s v="Male"/>
    <x v="1"/>
    <x v="3"/>
    <x v="510"/>
    <s v="Nicholas Aguirre"/>
    <x v="602"/>
    <x v="3"/>
    <x v="613"/>
    <n v="438"/>
    <s v="Elective"/>
    <d v="2023-04-22T00:00:00"/>
    <s v="Penicillin"/>
    <s v="Inconclusive"/>
    <x v="0"/>
  </r>
  <r>
    <x v="612"/>
    <s v="56-65"/>
    <n v="60"/>
    <s v="Male"/>
    <x v="7"/>
    <x v="3"/>
    <x v="511"/>
    <s v="Amanda Shaw"/>
    <x v="603"/>
    <x v="1"/>
    <x v="614"/>
    <n v="228"/>
    <s v="Emergency"/>
    <d v="2021-07-06T00:00:00"/>
    <s v="Penicillin"/>
    <s v="Abnormal"/>
    <x v="3"/>
  </r>
  <r>
    <x v="613"/>
    <s v="56-65"/>
    <n v="56"/>
    <s v="Female"/>
    <x v="4"/>
    <x v="3"/>
    <x v="512"/>
    <s v="Angela Mcdonald"/>
    <x v="604"/>
    <x v="0"/>
    <x v="615"/>
    <n v="115"/>
    <s v="Elective"/>
    <d v="2023-08-29T00:00:00"/>
    <s v="Aspirin"/>
    <s v="Normal"/>
    <x v="26"/>
  </r>
  <r>
    <x v="614"/>
    <s v="46-55"/>
    <n v="47"/>
    <s v="Male"/>
    <x v="6"/>
    <x v="3"/>
    <x v="513"/>
    <s v="Brandon Mccarthy"/>
    <x v="605"/>
    <x v="1"/>
    <x v="616"/>
    <n v="304"/>
    <s v="Elective"/>
    <d v="2020-03-20T00:00:00"/>
    <s v="Penicillin"/>
    <s v="Abnormal"/>
    <x v="25"/>
  </r>
  <r>
    <x v="615"/>
    <s v="18-25"/>
    <n v="23"/>
    <s v="Female"/>
    <x v="6"/>
    <x v="3"/>
    <x v="86"/>
    <s v="Charles Mora"/>
    <x v="606"/>
    <x v="0"/>
    <x v="617"/>
    <n v="499"/>
    <s v="Emergency"/>
    <d v="2020-12-12T00:00:00"/>
    <s v="Paracetamol"/>
    <s v="Normal"/>
    <x v="16"/>
  </r>
  <r>
    <x v="616"/>
    <s v="36-45"/>
    <n v="39"/>
    <s v="Female"/>
    <x v="7"/>
    <x v="3"/>
    <x v="140"/>
    <s v="Mr. Rodney Morrow DDS"/>
    <x v="607"/>
    <x v="0"/>
    <x v="618"/>
    <n v="386"/>
    <s v="Elective"/>
    <d v="2023-09-17T00:00:00"/>
    <s v="Paracetamol"/>
    <s v="Abnormal"/>
    <x v="25"/>
  </r>
  <r>
    <x v="617"/>
    <s v="26-35"/>
    <n v="29"/>
    <s v="Female"/>
    <x v="4"/>
    <x v="3"/>
    <x v="508"/>
    <s v="Emily Watson"/>
    <x v="350"/>
    <x v="1"/>
    <x v="619"/>
    <n v="254"/>
    <s v="Urgent"/>
    <d v="2022-02-21T00:00:00"/>
    <s v="Penicillin"/>
    <s v="Abnormal"/>
    <x v="27"/>
  </r>
  <r>
    <x v="618"/>
    <s v="26-35"/>
    <n v="29"/>
    <s v="Female"/>
    <x v="5"/>
    <x v="3"/>
    <x v="253"/>
    <s v="Karen Collier"/>
    <x v="608"/>
    <x v="1"/>
    <x v="620"/>
    <n v="116"/>
    <s v="Elective"/>
    <d v="2021-12-24T00:00:00"/>
    <s v="Aspirin"/>
    <s v="Abnormal"/>
    <x v="6"/>
  </r>
  <r>
    <x v="619"/>
    <s v="76-85"/>
    <n v="79"/>
    <s v="Male"/>
    <x v="7"/>
    <x v="3"/>
    <x v="514"/>
    <s v="Samuel Sutton"/>
    <x v="609"/>
    <x v="4"/>
    <x v="621"/>
    <n v="341"/>
    <s v="Emergency"/>
    <d v="2023-03-26T00:00:00"/>
    <s v="Aspirin"/>
    <s v="Inconclusive"/>
    <x v="8"/>
  </r>
  <r>
    <x v="620"/>
    <s v="56-65"/>
    <n v="64"/>
    <s v="Male"/>
    <x v="2"/>
    <x v="3"/>
    <x v="184"/>
    <s v="Clayton Mcknight"/>
    <x v="610"/>
    <x v="1"/>
    <x v="622"/>
    <n v="315"/>
    <s v="Elective"/>
    <d v="2019-12-04T00:00:00"/>
    <s v="Aspirin"/>
    <s v="Inconclusive"/>
    <x v="8"/>
  </r>
  <r>
    <x v="621"/>
    <s v="26-35"/>
    <n v="35"/>
    <s v="Female"/>
    <x v="4"/>
    <x v="3"/>
    <x v="515"/>
    <s v="David Phillips"/>
    <x v="611"/>
    <x v="1"/>
    <x v="623"/>
    <n v="433"/>
    <s v="Elective"/>
    <d v="2018-12-18T00:00:00"/>
    <s v="Lipitor"/>
    <s v="Abnormal"/>
    <x v="17"/>
  </r>
  <r>
    <x v="622"/>
    <s v="18-25"/>
    <n v="21"/>
    <s v="Female"/>
    <x v="0"/>
    <x v="3"/>
    <x v="342"/>
    <s v="Michael Taylor"/>
    <x v="612"/>
    <x v="1"/>
    <x v="624"/>
    <n v="296"/>
    <s v="Urgent"/>
    <d v="2020-11-29T00:00:00"/>
    <s v="Paracetamol"/>
    <s v="Inconclusive"/>
    <x v="28"/>
  </r>
  <r>
    <x v="623"/>
    <s v="46-55"/>
    <n v="54"/>
    <s v="Male"/>
    <x v="3"/>
    <x v="3"/>
    <x v="516"/>
    <s v="Kelsey Anderson"/>
    <x v="613"/>
    <x v="2"/>
    <x v="625"/>
    <n v="382"/>
    <s v="Elective"/>
    <d v="2019-12-29T00:00:00"/>
    <s v="Paracetamol"/>
    <s v="Inconclusive"/>
    <x v="22"/>
  </r>
  <r>
    <x v="624"/>
    <s v="46-55"/>
    <n v="55"/>
    <s v="Male"/>
    <x v="2"/>
    <x v="3"/>
    <x v="517"/>
    <s v="Jeremy Farley"/>
    <x v="614"/>
    <x v="3"/>
    <x v="626"/>
    <n v="234"/>
    <s v="Emergency"/>
    <d v="2020-08-13T00:00:00"/>
    <s v="Paracetamol"/>
    <s v="Normal"/>
    <x v="16"/>
  </r>
  <r>
    <x v="625"/>
    <s v="56-65"/>
    <n v="59"/>
    <s v="Female"/>
    <x v="4"/>
    <x v="3"/>
    <x v="518"/>
    <s v="Mr. Andrew Keller"/>
    <x v="615"/>
    <x v="3"/>
    <x v="627"/>
    <n v="439"/>
    <s v="Emergency"/>
    <d v="2022-04-13T00:00:00"/>
    <s v="Aspirin"/>
    <s v="Inconclusive"/>
    <x v="4"/>
  </r>
  <r>
    <x v="626"/>
    <s v="76-85"/>
    <n v="78"/>
    <s v="Female"/>
    <x v="5"/>
    <x v="3"/>
    <x v="484"/>
    <s v="Daniel Barnett"/>
    <x v="616"/>
    <x v="4"/>
    <x v="628"/>
    <n v="151"/>
    <s v="Elective"/>
    <d v="2021-02-25T00:00:00"/>
    <s v="Penicillin"/>
    <s v="Abnormal"/>
    <x v="11"/>
  </r>
  <r>
    <x v="627"/>
    <s v="46-55"/>
    <n v="52"/>
    <s v="Male"/>
    <x v="2"/>
    <x v="3"/>
    <x v="166"/>
    <s v="Henry Garcia"/>
    <x v="70"/>
    <x v="1"/>
    <x v="629"/>
    <n v="268"/>
    <s v="Elective"/>
    <d v="2022-10-27T00:00:00"/>
    <s v="Paracetamol"/>
    <s v="Abnormal"/>
    <x v="3"/>
  </r>
  <r>
    <x v="628"/>
    <s v="76-85"/>
    <n v="79"/>
    <s v="Male"/>
    <x v="4"/>
    <x v="3"/>
    <x v="519"/>
    <s v="Gina Turner"/>
    <x v="617"/>
    <x v="3"/>
    <x v="630"/>
    <n v="145"/>
    <s v="Emergency"/>
    <d v="2021-04-17T00:00:00"/>
    <s v="Paracetamol"/>
    <s v="Normal"/>
    <x v="7"/>
  </r>
  <r>
    <x v="629"/>
    <s v="26-35"/>
    <n v="33"/>
    <s v="Male"/>
    <x v="1"/>
    <x v="3"/>
    <x v="520"/>
    <s v="Kristin Dunn"/>
    <x v="618"/>
    <x v="1"/>
    <x v="631"/>
    <n v="215"/>
    <s v="Elective"/>
    <d v="2020-12-22T00:00:00"/>
    <s v="Aspirin"/>
    <s v="Abnormal"/>
    <x v="28"/>
  </r>
  <r>
    <x v="630"/>
    <s v="46-55"/>
    <n v="53"/>
    <s v="Male"/>
    <x v="3"/>
    <x v="3"/>
    <x v="521"/>
    <s v="Deborah Guerra MD"/>
    <x v="619"/>
    <x v="4"/>
    <x v="632"/>
    <n v="247"/>
    <s v="Emergency"/>
    <d v="2022-11-06T00:00:00"/>
    <s v="Aspirin"/>
    <s v="Normal"/>
    <x v="9"/>
  </r>
  <r>
    <x v="631"/>
    <s v="76-85"/>
    <n v="82"/>
    <s v="Male"/>
    <x v="7"/>
    <x v="3"/>
    <x v="522"/>
    <s v="Diana Castro"/>
    <x v="620"/>
    <x v="3"/>
    <x v="633"/>
    <n v="154"/>
    <s v="Elective"/>
    <d v="2021-11-08T00:00:00"/>
    <s v="Aspirin"/>
    <s v="Abnormal"/>
    <x v="3"/>
  </r>
  <r>
    <x v="632"/>
    <s v="26-35"/>
    <n v="34"/>
    <s v="Female"/>
    <x v="3"/>
    <x v="3"/>
    <x v="523"/>
    <s v="Erik Noble"/>
    <x v="621"/>
    <x v="3"/>
    <x v="634"/>
    <n v="330"/>
    <s v="Elective"/>
    <d v="2019-03-20T00:00:00"/>
    <s v="Lipitor"/>
    <s v="Normal"/>
    <x v="25"/>
  </r>
  <r>
    <x v="633"/>
    <s v="36-45"/>
    <n v="41"/>
    <s v="Male"/>
    <x v="6"/>
    <x v="3"/>
    <x v="524"/>
    <s v="Marcus Reed"/>
    <x v="622"/>
    <x v="2"/>
    <x v="635"/>
    <n v="309"/>
    <s v="Emergency"/>
    <d v="2022-11-29T00:00:00"/>
    <s v="Penicillin"/>
    <s v="Inconclusive"/>
    <x v="6"/>
  </r>
  <r>
    <x v="634"/>
    <s v="46-55"/>
    <n v="52"/>
    <s v="Female"/>
    <x v="4"/>
    <x v="3"/>
    <x v="525"/>
    <s v="Melissa Roman"/>
    <x v="623"/>
    <x v="2"/>
    <x v="636"/>
    <n v="336"/>
    <s v="Urgent"/>
    <d v="2022-04-19T00:00:00"/>
    <s v="Aspirin"/>
    <s v="Abnormal"/>
    <x v="28"/>
  </r>
  <r>
    <x v="635"/>
    <s v="76-85"/>
    <n v="85"/>
    <s v="Female"/>
    <x v="2"/>
    <x v="3"/>
    <x v="416"/>
    <s v="Zachary Potter"/>
    <x v="624"/>
    <x v="2"/>
    <x v="637"/>
    <n v="115"/>
    <s v="Emergency"/>
    <d v="2023-08-27T00:00:00"/>
    <s v="Penicillin"/>
    <s v="Inconclusive"/>
    <x v="16"/>
  </r>
  <r>
    <x v="636"/>
    <s v="46-55"/>
    <n v="50"/>
    <s v="Male"/>
    <x v="7"/>
    <x v="3"/>
    <x v="526"/>
    <s v="Phillip Crawford"/>
    <x v="625"/>
    <x v="4"/>
    <x v="638"/>
    <n v="145"/>
    <s v="Urgent"/>
    <d v="2020-07-20T00:00:00"/>
    <s v="Aspirin"/>
    <s v="Abnormal"/>
    <x v="6"/>
  </r>
  <r>
    <x v="637"/>
    <s v="36-45"/>
    <n v="42"/>
    <s v="Female"/>
    <x v="7"/>
    <x v="3"/>
    <x v="527"/>
    <s v="Christopher Barton"/>
    <x v="626"/>
    <x v="3"/>
    <x v="639"/>
    <n v="134"/>
    <s v="Elective"/>
    <d v="2022-02-26T00:00:00"/>
    <s v="Paracetamol"/>
    <s v="Abnormal"/>
    <x v="21"/>
  </r>
  <r>
    <x v="638"/>
    <s v="46-55"/>
    <n v="50"/>
    <s v="Female"/>
    <x v="2"/>
    <x v="3"/>
    <x v="401"/>
    <s v="Amy Simmons"/>
    <x v="627"/>
    <x v="1"/>
    <x v="640"/>
    <n v="498"/>
    <s v="Emergency"/>
    <d v="2021-03-31T00:00:00"/>
    <s v="Penicillin"/>
    <s v="Inconclusive"/>
    <x v="12"/>
  </r>
  <r>
    <x v="639"/>
    <s v="46-55"/>
    <n v="46"/>
    <s v="Female"/>
    <x v="4"/>
    <x v="3"/>
    <x v="511"/>
    <s v="Gregory Patton"/>
    <x v="628"/>
    <x v="3"/>
    <x v="641"/>
    <n v="450"/>
    <s v="Emergency"/>
    <d v="2021-06-24T00:00:00"/>
    <s v="Penicillin"/>
    <s v="Abnormal"/>
    <x v="7"/>
  </r>
  <r>
    <x v="640"/>
    <s v="46-55"/>
    <n v="48"/>
    <s v="Male"/>
    <x v="6"/>
    <x v="3"/>
    <x v="528"/>
    <s v="Elizabeth Ashley"/>
    <x v="629"/>
    <x v="3"/>
    <x v="642"/>
    <n v="300"/>
    <s v="Urgent"/>
    <d v="2022-01-10T00:00:00"/>
    <s v="Ibuprofen"/>
    <s v="Normal"/>
    <x v="28"/>
  </r>
  <r>
    <x v="640"/>
    <s v="46-55"/>
    <n v="48"/>
    <s v="Female"/>
    <x v="2"/>
    <x v="3"/>
    <x v="529"/>
    <s v="David Lopez"/>
    <x v="630"/>
    <x v="4"/>
    <x v="643"/>
    <n v="257"/>
    <s v="Emergency"/>
    <d v="2023-05-06T00:00:00"/>
    <s v="Ibuprofen"/>
    <s v="Abnormal"/>
    <x v="17"/>
  </r>
  <r>
    <x v="641"/>
    <s v="36-45"/>
    <n v="38"/>
    <s v="Female"/>
    <x v="1"/>
    <x v="3"/>
    <x v="530"/>
    <s v="Zachary Griffith"/>
    <x v="631"/>
    <x v="3"/>
    <x v="644"/>
    <n v="455"/>
    <s v="Urgent"/>
    <d v="2022-04-14T00:00:00"/>
    <s v="Penicillin"/>
    <s v="Normal"/>
    <x v="11"/>
  </r>
  <r>
    <x v="642"/>
    <s v="36-45"/>
    <n v="43"/>
    <s v="Male"/>
    <x v="2"/>
    <x v="3"/>
    <x v="531"/>
    <s v="Denise Gonzalez"/>
    <x v="632"/>
    <x v="2"/>
    <x v="645"/>
    <n v="417"/>
    <s v="Emergency"/>
    <d v="2022-05-27T00:00:00"/>
    <s v="Paracetamol"/>
    <s v="Abnormal"/>
    <x v="26"/>
  </r>
  <r>
    <x v="643"/>
    <s v="56-65"/>
    <n v="59"/>
    <s v="Male"/>
    <x v="6"/>
    <x v="3"/>
    <x v="532"/>
    <s v="Shannon Pineda"/>
    <x v="633"/>
    <x v="3"/>
    <x v="646"/>
    <n v="247"/>
    <s v="Elective"/>
    <d v="2020-04-06T00:00:00"/>
    <s v="Paracetamol"/>
    <s v="Normal"/>
    <x v="6"/>
  </r>
  <r>
    <x v="644"/>
    <s v="36-45"/>
    <n v="38"/>
    <s v="Male"/>
    <x v="7"/>
    <x v="3"/>
    <x v="533"/>
    <s v="Elizabeth Welch"/>
    <x v="634"/>
    <x v="3"/>
    <x v="647"/>
    <n v="255"/>
    <s v="Emergency"/>
    <d v="2020-05-14T00:00:00"/>
    <s v="Ibuprofen"/>
    <s v="Inconclusive"/>
    <x v="15"/>
  </r>
  <r>
    <x v="645"/>
    <s v="36-45"/>
    <n v="42"/>
    <s v="Female"/>
    <x v="5"/>
    <x v="3"/>
    <x v="534"/>
    <s v="Charles Clayton"/>
    <x v="635"/>
    <x v="4"/>
    <x v="648"/>
    <n v="173"/>
    <s v="Elective"/>
    <d v="2021-12-25T00:00:00"/>
    <s v="Penicillin"/>
    <s v="Abnormal"/>
    <x v="18"/>
  </r>
  <r>
    <x v="646"/>
    <s v="18-25"/>
    <n v="19"/>
    <s v="Female"/>
    <x v="5"/>
    <x v="3"/>
    <x v="535"/>
    <s v="Laura Johnson"/>
    <x v="636"/>
    <x v="2"/>
    <x v="649"/>
    <n v="261"/>
    <s v="Elective"/>
    <d v="2022-04-06T00:00:00"/>
    <s v="Ibuprofen"/>
    <s v="Abnormal"/>
    <x v="10"/>
  </r>
  <r>
    <x v="647"/>
    <s v="66-75"/>
    <n v="71"/>
    <s v="Female"/>
    <x v="7"/>
    <x v="3"/>
    <x v="536"/>
    <s v="Nichole Black"/>
    <x v="637"/>
    <x v="1"/>
    <x v="650"/>
    <n v="293"/>
    <s v="Urgent"/>
    <d v="2021-12-27T00:00:00"/>
    <s v="Paracetamol"/>
    <s v="Normal"/>
    <x v="20"/>
  </r>
  <r>
    <x v="648"/>
    <s v="66-75"/>
    <n v="68"/>
    <s v="Female"/>
    <x v="2"/>
    <x v="3"/>
    <x v="537"/>
    <s v="Julia Murray"/>
    <x v="638"/>
    <x v="3"/>
    <x v="651"/>
    <n v="104"/>
    <s v="Emergency"/>
    <d v="2023-01-26T00:00:00"/>
    <s v="Aspirin"/>
    <s v="Normal"/>
    <x v="6"/>
  </r>
  <r>
    <x v="649"/>
    <s v="26-35"/>
    <n v="26"/>
    <s v="Male"/>
    <x v="7"/>
    <x v="3"/>
    <x v="538"/>
    <s v="Karen James"/>
    <x v="639"/>
    <x v="1"/>
    <x v="652"/>
    <n v="193"/>
    <s v="Emergency"/>
    <d v="2021-04-18T00:00:00"/>
    <s v="Ibuprofen"/>
    <s v="Abnormal"/>
    <x v="20"/>
  </r>
  <r>
    <x v="650"/>
    <s v="46-55"/>
    <n v="52"/>
    <s v="Female"/>
    <x v="7"/>
    <x v="3"/>
    <x v="539"/>
    <s v="Monica Mueller"/>
    <x v="640"/>
    <x v="0"/>
    <x v="653"/>
    <n v="265"/>
    <s v="Urgent"/>
    <d v="2020-01-10T00:00:00"/>
    <s v="Ibuprofen"/>
    <s v="Abnormal"/>
    <x v="18"/>
  </r>
  <r>
    <x v="651"/>
    <s v="36-45"/>
    <n v="44"/>
    <s v="Female"/>
    <x v="2"/>
    <x v="3"/>
    <x v="133"/>
    <s v="Joshua Miller"/>
    <x v="641"/>
    <x v="1"/>
    <x v="654"/>
    <n v="180"/>
    <s v="Urgent"/>
    <d v="2019-02-13T00:00:00"/>
    <s v="Aspirin"/>
    <s v="Normal"/>
    <x v="2"/>
  </r>
  <r>
    <x v="652"/>
    <s v="76-85"/>
    <n v="80"/>
    <s v="Male"/>
    <x v="0"/>
    <x v="3"/>
    <x v="540"/>
    <s v="Leon Small"/>
    <x v="642"/>
    <x v="2"/>
    <x v="655"/>
    <n v="145"/>
    <s v="Emergency"/>
    <d v="2020-08-27T00:00:00"/>
    <s v="Aspirin"/>
    <s v="Normal"/>
    <x v="22"/>
  </r>
  <r>
    <x v="653"/>
    <s v="36-45"/>
    <n v="42"/>
    <s v="Female"/>
    <x v="2"/>
    <x v="3"/>
    <x v="524"/>
    <s v="Sarah Anderson"/>
    <x v="643"/>
    <x v="0"/>
    <x v="656"/>
    <n v="213"/>
    <s v="Emergency"/>
    <d v="2022-11-16T00:00:00"/>
    <s v="Ibuprofen"/>
    <s v="Abnormal"/>
    <x v="0"/>
  </r>
  <r>
    <x v="654"/>
    <s v="76-85"/>
    <n v="81"/>
    <s v="Female"/>
    <x v="0"/>
    <x v="3"/>
    <x v="541"/>
    <s v="Patrick Parker"/>
    <x v="644"/>
    <x v="2"/>
    <x v="657"/>
    <n v="146"/>
    <s v="Elective"/>
    <d v="2022-12-01T00:00:00"/>
    <s v="Aspirin"/>
    <s v="Inconclusive"/>
    <x v="15"/>
  </r>
  <r>
    <x v="655"/>
    <s v="46-55"/>
    <n v="54"/>
    <s v="Male"/>
    <x v="7"/>
    <x v="3"/>
    <x v="542"/>
    <s v="Deborah Jones"/>
    <x v="645"/>
    <x v="0"/>
    <x v="658"/>
    <n v="461"/>
    <s v="Emergency"/>
    <d v="2021-10-21T00:00:00"/>
    <s v="Lipitor"/>
    <s v="Inconclusive"/>
    <x v="19"/>
  </r>
  <r>
    <x v="656"/>
    <s v="66-75"/>
    <n v="67"/>
    <s v="Female"/>
    <x v="2"/>
    <x v="3"/>
    <x v="541"/>
    <s v="Jose Cross"/>
    <x v="646"/>
    <x v="4"/>
    <x v="659"/>
    <n v="106"/>
    <s v="Emergency"/>
    <d v="2022-11-26T00:00:00"/>
    <s v="Aspirin"/>
    <s v="Abnormal"/>
    <x v="23"/>
  </r>
  <r>
    <x v="657"/>
    <s v="66-75"/>
    <n v="71"/>
    <s v="Female"/>
    <x v="4"/>
    <x v="3"/>
    <x v="543"/>
    <s v="Joseph Small"/>
    <x v="647"/>
    <x v="2"/>
    <x v="660"/>
    <n v="243"/>
    <s v="Elective"/>
    <d v="2019-04-19T00:00:00"/>
    <s v="Penicillin"/>
    <s v="Inconclusive"/>
    <x v="21"/>
  </r>
  <r>
    <x v="658"/>
    <s v="36-45"/>
    <n v="38"/>
    <s v="Female"/>
    <x v="1"/>
    <x v="3"/>
    <x v="544"/>
    <s v="Colleen Miller"/>
    <x v="648"/>
    <x v="3"/>
    <x v="661"/>
    <n v="308"/>
    <s v="Urgent"/>
    <d v="2023-07-05T00:00:00"/>
    <s v="Paracetamol"/>
    <s v="Normal"/>
    <x v="7"/>
  </r>
  <r>
    <x v="659"/>
    <s v="66-75"/>
    <n v="74"/>
    <s v="Male"/>
    <x v="1"/>
    <x v="3"/>
    <x v="545"/>
    <s v="Angela Gomez"/>
    <x v="649"/>
    <x v="1"/>
    <x v="662"/>
    <n v="244"/>
    <s v="Elective"/>
    <d v="2019-06-18T00:00:00"/>
    <s v="Aspirin"/>
    <s v="Normal"/>
    <x v="15"/>
  </r>
  <r>
    <x v="660"/>
    <s v="66-75"/>
    <n v="74"/>
    <s v="Female"/>
    <x v="6"/>
    <x v="3"/>
    <x v="546"/>
    <s v="Melissa Wyatt"/>
    <x v="650"/>
    <x v="0"/>
    <x v="663"/>
    <n v="242"/>
    <s v="Elective"/>
    <d v="2022-03-29T00:00:00"/>
    <s v="Paracetamol"/>
    <s v="Inconclusive"/>
    <x v="6"/>
  </r>
  <r>
    <x v="661"/>
    <s v="36-45"/>
    <n v="41"/>
    <s v="Male"/>
    <x v="0"/>
    <x v="3"/>
    <x v="439"/>
    <s v="Vanessa Wilson"/>
    <x v="651"/>
    <x v="2"/>
    <x v="664"/>
    <n v="179"/>
    <s v="Emergency"/>
    <d v="2023-11-02T00:00:00"/>
    <s v="Lipitor"/>
    <s v="Abnormal"/>
    <x v="28"/>
  </r>
  <r>
    <x v="662"/>
    <s v="66-75"/>
    <n v="72"/>
    <s v="Female"/>
    <x v="1"/>
    <x v="3"/>
    <x v="547"/>
    <s v="James Carney"/>
    <x v="652"/>
    <x v="0"/>
    <x v="665"/>
    <n v="492"/>
    <s v="Elective"/>
    <d v="2021-08-14T00:00:00"/>
    <s v="Aspirin"/>
    <s v="Normal"/>
    <x v="0"/>
  </r>
  <r>
    <x v="663"/>
    <s v="56-65"/>
    <n v="56"/>
    <s v="Female"/>
    <x v="2"/>
    <x v="3"/>
    <x v="548"/>
    <s v="Catherine Jones"/>
    <x v="653"/>
    <x v="0"/>
    <x v="666"/>
    <n v="196"/>
    <s v="Emergency"/>
    <d v="2023-09-21T00:00:00"/>
    <s v="Paracetamol"/>
    <s v="Inconclusive"/>
    <x v="29"/>
  </r>
  <r>
    <x v="664"/>
    <s v="46-55"/>
    <n v="52"/>
    <s v="Female"/>
    <x v="4"/>
    <x v="4"/>
    <x v="4"/>
    <s v="Edward Figueroa PhD"/>
    <x v="654"/>
    <x v="4"/>
    <x v="667"/>
    <n v="268"/>
    <s v="Elective"/>
    <d v="2023-10-14T00:00:00"/>
    <s v="Lipitor"/>
    <s v="Normal"/>
    <x v="12"/>
  </r>
  <r>
    <x v="665"/>
    <s v="46-55"/>
    <n v="50"/>
    <s v="Male"/>
    <x v="2"/>
    <x v="4"/>
    <x v="405"/>
    <s v="James Novak"/>
    <x v="655"/>
    <x v="0"/>
    <x v="668"/>
    <n v="301"/>
    <s v="Emergency"/>
    <d v="2020-04-11T00:00:00"/>
    <s v="Paracetamol"/>
    <s v="Abnormal"/>
    <x v="15"/>
  </r>
  <r>
    <x v="666"/>
    <s v="66-75"/>
    <n v="71"/>
    <s v="Female"/>
    <x v="6"/>
    <x v="4"/>
    <x v="376"/>
    <s v="Destiny Avery"/>
    <x v="656"/>
    <x v="4"/>
    <x v="669"/>
    <n v="301"/>
    <s v="Urgent"/>
    <d v="2021-03-05T00:00:00"/>
    <s v="Lipitor"/>
    <s v="Inconclusive"/>
    <x v="3"/>
  </r>
  <r>
    <x v="667"/>
    <s v="76-85"/>
    <n v="85"/>
    <s v="Male"/>
    <x v="1"/>
    <x v="4"/>
    <x v="549"/>
    <s v="Denise Richards"/>
    <x v="657"/>
    <x v="4"/>
    <x v="670"/>
    <n v="389"/>
    <s v="Urgent"/>
    <d v="2021-01-14T00:00:00"/>
    <s v="Paracetamol"/>
    <s v="Normal"/>
    <x v="26"/>
  </r>
  <r>
    <x v="668"/>
    <s v="26-35"/>
    <n v="33"/>
    <s v="Male"/>
    <x v="7"/>
    <x v="4"/>
    <x v="543"/>
    <s v="Frances Watson"/>
    <x v="658"/>
    <x v="0"/>
    <x v="671"/>
    <n v="189"/>
    <s v="Emergency"/>
    <d v="2019-05-03T00:00:00"/>
    <s v="Lipitor"/>
    <s v="Abnormal"/>
    <x v="0"/>
  </r>
  <r>
    <x v="669"/>
    <s v="66-75"/>
    <n v="67"/>
    <s v="Female"/>
    <x v="2"/>
    <x v="4"/>
    <x v="550"/>
    <s v="Paul Ward"/>
    <x v="659"/>
    <x v="0"/>
    <x v="672"/>
    <n v="165"/>
    <s v="Elective"/>
    <d v="2019-09-20T00:00:00"/>
    <s v="Aspirin"/>
    <s v="Abnormal"/>
    <x v="19"/>
  </r>
  <r>
    <x v="670"/>
    <s v="26-35"/>
    <n v="28"/>
    <s v="Female"/>
    <x v="7"/>
    <x v="4"/>
    <x v="551"/>
    <s v="Jenna Ward"/>
    <x v="660"/>
    <x v="3"/>
    <x v="673"/>
    <n v="186"/>
    <s v="Elective"/>
    <d v="2023-04-25T00:00:00"/>
    <s v="Aspirin"/>
    <s v="Abnormal"/>
    <x v="17"/>
  </r>
  <r>
    <x v="671"/>
    <s v="66-75"/>
    <n v="70"/>
    <s v="Male"/>
    <x v="1"/>
    <x v="4"/>
    <x v="11"/>
    <s v="Wendy Gallagher"/>
    <x v="661"/>
    <x v="1"/>
    <x v="674"/>
    <n v="227"/>
    <s v="Urgent"/>
    <d v="2019-05-12T00:00:00"/>
    <s v="Lipitor"/>
    <s v="Inconclusive"/>
    <x v="20"/>
  </r>
  <r>
    <x v="672"/>
    <s v="76-85"/>
    <n v="83"/>
    <s v="Female"/>
    <x v="5"/>
    <x v="4"/>
    <x v="200"/>
    <s v="Jennifer Smith"/>
    <x v="662"/>
    <x v="2"/>
    <x v="675"/>
    <n v="135"/>
    <s v="Emergency"/>
    <d v="2020-11-07T00:00:00"/>
    <s v="Penicillin"/>
    <s v="Inconclusive"/>
    <x v="0"/>
  </r>
  <r>
    <x v="673"/>
    <s v="66-75"/>
    <n v="72"/>
    <s v="Male"/>
    <x v="3"/>
    <x v="4"/>
    <x v="552"/>
    <s v="Amanda Clark"/>
    <x v="663"/>
    <x v="1"/>
    <x v="676"/>
    <n v="382"/>
    <s v="Urgent"/>
    <d v="2021-05-29T00:00:00"/>
    <s v="Aspirin"/>
    <s v="Abnormal"/>
    <x v="23"/>
  </r>
  <r>
    <x v="674"/>
    <s v="18-25"/>
    <n v="18"/>
    <s v="Female"/>
    <x v="0"/>
    <x v="4"/>
    <x v="553"/>
    <s v="Curtis Sanchez"/>
    <x v="664"/>
    <x v="2"/>
    <x v="677"/>
    <n v="193"/>
    <s v="Emergency"/>
    <d v="2019-01-09T00:00:00"/>
    <s v="Aspirin"/>
    <s v="Inconclusive"/>
    <x v="5"/>
  </r>
  <r>
    <x v="674"/>
    <s v="56-65"/>
    <n v="58"/>
    <s v="Male"/>
    <x v="5"/>
    <x v="4"/>
    <x v="554"/>
    <s v="Ryan Barron"/>
    <x v="665"/>
    <x v="2"/>
    <x v="678"/>
    <n v="271"/>
    <s v="Elective"/>
    <d v="2019-03-14T00:00:00"/>
    <s v="Penicillin"/>
    <s v="Inconclusive"/>
    <x v="2"/>
  </r>
  <r>
    <x v="675"/>
    <s v="26-35"/>
    <n v="31"/>
    <s v="Male"/>
    <x v="7"/>
    <x v="4"/>
    <x v="408"/>
    <s v="Sergio Johnson"/>
    <x v="666"/>
    <x v="0"/>
    <x v="679"/>
    <n v="273"/>
    <s v="Urgent"/>
    <d v="2019-03-18T00:00:00"/>
    <s v="Aspirin"/>
    <s v="Normal"/>
    <x v="3"/>
  </r>
  <r>
    <x v="676"/>
    <s v="76-85"/>
    <n v="85"/>
    <s v="Male"/>
    <x v="1"/>
    <x v="4"/>
    <x v="555"/>
    <s v="Kara Curry"/>
    <x v="667"/>
    <x v="1"/>
    <x v="680"/>
    <n v="201"/>
    <s v="Emergency"/>
    <d v="2021-02-04T00:00:00"/>
    <s v="Paracetamol"/>
    <s v="Normal"/>
    <x v="9"/>
  </r>
  <r>
    <x v="677"/>
    <s v="66-75"/>
    <n v="67"/>
    <s v="Female"/>
    <x v="4"/>
    <x v="4"/>
    <x v="257"/>
    <s v="Bethany Graham"/>
    <x v="668"/>
    <x v="2"/>
    <x v="681"/>
    <n v="142"/>
    <s v="Elective"/>
    <d v="2021-11-21T00:00:00"/>
    <s v="Lipitor"/>
    <s v="Abnormal"/>
    <x v="6"/>
  </r>
  <r>
    <x v="678"/>
    <s v="26-35"/>
    <n v="27"/>
    <s v="Female"/>
    <x v="7"/>
    <x v="4"/>
    <x v="78"/>
    <s v="Dawn Hughes"/>
    <x v="669"/>
    <x v="0"/>
    <x v="682"/>
    <n v="277"/>
    <s v="Emergency"/>
    <d v="2022-03-27T00:00:00"/>
    <s v="Ibuprofen"/>
    <s v="Normal"/>
    <x v="22"/>
  </r>
  <r>
    <x v="679"/>
    <s v="36-45"/>
    <n v="43"/>
    <s v="Female"/>
    <x v="4"/>
    <x v="4"/>
    <x v="556"/>
    <s v="Laura Wright"/>
    <x v="670"/>
    <x v="1"/>
    <x v="683"/>
    <n v="249"/>
    <s v="Emergency"/>
    <d v="2019-12-04T00:00:00"/>
    <s v="Ibuprofen"/>
    <s v="Normal"/>
    <x v="17"/>
  </r>
  <r>
    <x v="680"/>
    <s v="36-45"/>
    <n v="38"/>
    <s v="Female"/>
    <x v="5"/>
    <x v="4"/>
    <x v="425"/>
    <s v="Paula Gonzalez"/>
    <x v="671"/>
    <x v="0"/>
    <x v="684"/>
    <n v="194"/>
    <s v="Elective"/>
    <d v="2020-10-05T00:00:00"/>
    <s v="Lipitor"/>
    <s v="Normal"/>
    <x v="23"/>
  </r>
  <r>
    <x v="681"/>
    <s v="18-25"/>
    <n v="19"/>
    <s v="Male"/>
    <x v="3"/>
    <x v="4"/>
    <x v="264"/>
    <s v="Debra Parsons"/>
    <x v="672"/>
    <x v="1"/>
    <x v="685"/>
    <n v="375"/>
    <s v="Emergency"/>
    <d v="2019-05-29T00:00:00"/>
    <s v="Penicillin"/>
    <s v="Abnormal"/>
    <x v="9"/>
  </r>
  <r>
    <x v="682"/>
    <s v="18-25"/>
    <n v="19"/>
    <s v="Female"/>
    <x v="6"/>
    <x v="4"/>
    <x v="557"/>
    <s v="Mr. Austin West Jr."/>
    <x v="673"/>
    <x v="0"/>
    <x v="686"/>
    <n v="120"/>
    <s v="Emergency"/>
    <d v="2019-10-10T00:00:00"/>
    <s v="Lipitor"/>
    <s v="Inconclusive"/>
    <x v="16"/>
  </r>
  <r>
    <x v="683"/>
    <s v="18-25"/>
    <n v="19"/>
    <s v="Female"/>
    <x v="2"/>
    <x v="4"/>
    <x v="558"/>
    <s v="Elizabeth Vance"/>
    <x v="674"/>
    <x v="0"/>
    <x v="687"/>
    <n v="161"/>
    <s v="Urgent"/>
    <d v="2023-02-01T00:00:00"/>
    <s v="Penicillin"/>
    <s v="Abnormal"/>
    <x v="3"/>
  </r>
  <r>
    <x v="684"/>
    <s v="36-45"/>
    <n v="38"/>
    <s v="Female"/>
    <x v="1"/>
    <x v="4"/>
    <x v="559"/>
    <s v="Angela Cruz DDS"/>
    <x v="675"/>
    <x v="4"/>
    <x v="688"/>
    <n v="201"/>
    <s v="Emergency"/>
    <d v="2021-09-27T00:00:00"/>
    <s v="Lipitor"/>
    <s v="Inconclusive"/>
    <x v="22"/>
  </r>
  <r>
    <x v="685"/>
    <s v="18-25"/>
    <n v="23"/>
    <s v="Male"/>
    <x v="7"/>
    <x v="4"/>
    <x v="560"/>
    <s v="Garrett Benton"/>
    <x v="676"/>
    <x v="4"/>
    <x v="689"/>
    <n v="178"/>
    <s v="Urgent"/>
    <d v="2020-04-28T00:00:00"/>
    <s v="Paracetamol"/>
    <s v="Abnormal"/>
    <x v="20"/>
  </r>
  <r>
    <x v="686"/>
    <s v="56-65"/>
    <n v="63"/>
    <s v="Male"/>
    <x v="3"/>
    <x v="4"/>
    <x v="561"/>
    <s v="Shannon Ochoa"/>
    <x v="677"/>
    <x v="1"/>
    <x v="690"/>
    <n v="148"/>
    <s v="Urgent"/>
    <d v="2019-11-18T00:00:00"/>
    <s v="Lipitor"/>
    <s v="Abnormal"/>
    <x v="24"/>
  </r>
  <r>
    <x v="687"/>
    <s v="46-55"/>
    <n v="46"/>
    <s v="Male"/>
    <x v="0"/>
    <x v="4"/>
    <x v="562"/>
    <s v="William Wolf"/>
    <x v="678"/>
    <x v="0"/>
    <x v="691"/>
    <n v="104"/>
    <s v="Urgent"/>
    <d v="2021-11-26T00:00:00"/>
    <s v="Aspirin"/>
    <s v="Abnormal"/>
    <x v="14"/>
  </r>
  <r>
    <x v="688"/>
    <s v="56-65"/>
    <n v="62"/>
    <s v="Male"/>
    <x v="3"/>
    <x v="4"/>
    <x v="563"/>
    <s v="Jon Rodriguez"/>
    <x v="679"/>
    <x v="4"/>
    <x v="692"/>
    <n v="370"/>
    <s v="Emergency"/>
    <d v="2019-09-11T00:00:00"/>
    <s v="Aspirin"/>
    <s v="Normal"/>
    <x v="10"/>
  </r>
  <r>
    <x v="689"/>
    <s v="66-75"/>
    <n v="66"/>
    <s v="Female"/>
    <x v="0"/>
    <x v="4"/>
    <x v="564"/>
    <s v="Shannon Rodriguez"/>
    <x v="680"/>
    <x v="1"/>
    <x v="693"/>
    <n v="427"/>
    <s v="Urgent"/>
    <d v="2019-07-23T00:00:00"/>
    <s v="Ibuprofen"/>
    <s v="Inconclusive"/>
    <x v="8"/>
  </r>
  <r>
    <x v="690"/>
    <s v="56-65"/>
    <n v="65"/>
    <s v="Male"/>
    <x v="0"/>
    <x v="4"/>
    <x v="104"/>
    <s v="Matthew Williams"/>
    <x v="681"/>
    <x v="0"/>
    <x v="694"/>
    <n v="115"/>
    <s v="Urgent"/>
    <d v="2021-07-10T00:00:00"/>
    <s v="Paracetamol"/>
    <s v="Normal"/>
    <x v="24"/>
  </r>
  <r>
    <x v="691"/>
    <s v="18-25"/>
    <n v="20"/>
    <s v="Male"/>
    <x v="5"/>
    <x v="4"/>
    <x v="565"/>
    <s v="Shane Matthews"/>
    <x v="682"/>
    <x v="2"/>
    <x v="695"/>
    <n v="478"/>
    <s v="Emergency"/>
    <d v="2021-03-03T00:00:00"/>
    <s v="Paracetamol"/>
    <s v="Abnormal"/>
    <x v="15"/>
  </r>
  <r>
    <x v="692"/>
    <s v="76-85"/>
    <n v="82"/>
    <s v="Male"/>
    <x v="5"/>
    <x v="4"/>
    <x v="566"/>
    <s v="Patricia Bishop"/>
    <x v="683"/>
    <x v="0"/>
    <x v="696"/>
    <n v="161"/>
    <s v="Urgent"/>
    <d v="2021-04-15T00:00:00"/>
    <s v="Lipitor"/>
    <s v="Abnormal"/>
    <x v="20"/>
  </r>
  <r>
    <x v="693"/>
    <s v="76-85"/>
    <n v="80"/>
    <s v="Female"/>
    <x v="3"/>
    <x v="4"/>
    <x v="111"/>
    <s v="Derrick Francis"/>
    <x v="177"/>
    <x v="2"/>
    <x v="697"/>
    <n v="315"/>
    <s v="Emergency"/>
    <d v="2022-12-04T00:00:00"/>
    <s v="Paracetamol"/>
    <s v="Inconclusive"/>
    <x v="16"/>
  </r>
  <r>
    <x v="694"/>
    <s v="46-55"/>
    <n v="55"/>
    <s v="Male"/>
    <x v="3"/>
    <x v="4"/>
    <x v="567"/>
    <s v="Joshua Larson"/>
    <x v="684"/>
    <x v="0"/>
    <x v="698"/>
    <n v="267"/>
    <s v="Urgent"/>
    <d v="2023-01-05T00:00:00"/>
    <s v="Paracetamol"/>
    <s v="Inconclusive"/>
    <x v="7"/>
  </r>
  <r>
    <x v="695"/>
    <s v="76-85"/>
    <n v="84"/>
    <s v="Female"/>
    <x v="6"/>
    <x v="4"/>
    <x v="281"/>
    <s v="Cody Wright"/>
    <x v="124"/>
    <x v="1"/>
    <x v="699"/>
    <n v="388"/>
    <s v="Emergency"/>
    <d v="2019-10-29T00:00:00"/>
    <s v="Aspirin"/>
    <s v="Inconclusive"/>
    <x v="0"/>
  </r>
  <r>
    <x v="696"/>
    <s v="66-75"/>
    <n v="74"/>
    <s v="Male"/>
    <x v="1"/>
    <x v="4"/>
    <x v="351"/>
    <s v="Dana Adams"/>
    <x v="685"/>
    <x v="0"/>
    <x v="700"/>
    <n v="375"/>
    <s v="Emergency"/>
    <d v="2023-07-12T00:00:00"/>
    <s v="Penicillin"/>
    <s v="Abnormal"/>
    <x v="10"/>
  </r>
  <r>
    <x v="697"/>
    <s v="56-65"/>
    <n v="62"/>
    <s v="Female"/>
    <x v="3"/>
    <x v="4"/>
    <x v="568"/>
    <s v="Anthony Davis"/>
    <x v="686"/>
    <x v="1"/>
    <x v="701"/>
    <n v="272"/>
    <s v="Urgent"/>
    <d v="2020-12-11T00:00:00"/>
    <s v="Aspirin"/>
    <s v="Normal"/>
    <x v="14"/>
  </r>
  <r>
    <x v="698"/>
    <s v="66-75"/>
    <n v="66"/>
    <s v="Female"/>
    <x v="2"/>
    <x v="4"/>
    <x v="0"/>
    <s v="Kristen Hancock"/>
    <x v="687"/>
    <x v="3"/>
    <x v="702"/>
    <n v="210"/>
    <s v="Urgent"/>
    <d v="2021-04-08T00:00:00"/>
    <s v="Lipitor"/>
    <s v="Normal"/>
    <x v="9"/>
  </r>
  <r>
    <x v="699"/>
    <s v="18-25"/>
    <n v="19"/>
    <s v="Male"/>
    <x v="0"/>
    <x v="4"/>
    <x v="161"/>
    <s v="Frederick Reed"/>
    <x v="688"/>
    <x v="0"/>
    <x v="703"/>
    <n v="159"/>
    <s v="Elective"/>
    <d v="2019-04-22T00:00:00"/>
    <s v="Paracetamol"/>
    <s v="Normal"/>
    <x v="5"/>
  </r>
  <r>
    <x v="700"/>
    <s v="76-85"/>
    <n v="83"/>
    <s v="Female"/>
    <x v="6"/>
    <x v="4"/>
    <x v="569"/>
    <s v="Cory Fletcher"/>
    <x v="689"/>
    <x v="4"/>
    <x v="704"/>
    <n v="471"/>
    <s v="Elective"/>
    <d v="2023-07-29T00:00:00"/>
    <s v="Aspirin"/>
    <s v="Abnormal"/>
    <x v="24"/>
  </r>
  <r>
    <x v="701"/>
    <s v="56-65"/>
    <n v="57"/>
    <s v="Male"/>
    <x v="0"/>
    <x v="4"/>
    <x v="517"/>
    <s v="Michael Strickland"/>
    <x v="690"/>
    <x v="2"/>
    <x v="705"/>
    <n v="444"/>
    <s v="Urgent"/>
    <d v="2020-08-14T00:00:00"/>
    <s v="Ibuprofen"/>
    <s v="Abnormal"/>
    <x v="23"/>
  </r>
  <r>
    <x v="702"/>
    <s v="66-75"/>
    <n v="70"/>
    <s v="Male"/>
    <x v="2"/>
    <x v="4"/>
    <x v="570"/>
    <s v="Jill Hughes"/>
    <x v="691"/>
    <x v="1"/>
    <x v="706"/>
    <n v="286"/>
    <s v="Elective"/>
    <d v="2020-04-05T00:00:00"/>
    <s v="Penicillin"/>
    <s v="Normal"/>
    <x v="26"/>
  </r>
  <r>
    <x v="703"/>
    <s v="76-85"/>
    <n v="79"/>
    <s v="Male"/>
    <x v="1"/>
    <x v="4"/>
    <x v="571"/>
    <s v="Kendra Shields"/>
    <x v="692"/>
    <x v="0"/>
    <x v="707"/>
    <n v="460"/>
    <s v="Emergency"/>
    <d v="2023-03-06T00:00:00"/>
    <s v="Penicillin"/>
    <s v="Abnormal"/>
    <x v="22"/>
  </r>
  <r>
    <x v="704"/>
    <s v="66-75"/>
    <n v="74"/>
    <s v="Male"/>
    <x v="7"/>
    <x v="4"/>
    <x v="37"/>
    <s v="Sean Warren"/>
    <x v="693"/>
    <x v="0"/>
    <x v="708"/>
    <n v="425"/>
    <s v="Emergency"/>
    <d v="2020-12-12T00:00:00"/>
    <s v="Ibuprofen"/>
    <s v="Normal"/>
    <x v="1"/>
  </r>
  <r>
    <x v="705"/>
    <s v="76-85"/>
    <n v="76"/>
    <s v="Female"/>
    <x v="6"/>
    <x v="4"/>
    <x v="572"/>
    <s v="Pamela Williams"/>
    <x v="694"/>
    <x v="0"/>
    <x v="709"/>
    <n v="343"/>
    <s v="Urgent"/>
    <d v="2018-11-13T00:00:00"/>
    <s v="Ibuprofen"/>
    <s v="Inconclusive"/>
    <x v="5"/>
  </r>
  <r>
    <x v="706"/>
    <s v="56-65"/>
    <n v="65"/>
    <s v="Female"/>
    <x v="4"/>
    <x v="4"/>
    <x v="573"/>
    <s v="Natalie Smith"/>
    <x v="695"/>
    <x v="4"/>
    <x v="710"/>
    <n v="381"/>
    <s v="Emergency"/>
    <d v="2023-06-03T00:00:00"/>
    <s v="Penicillin"/>
    <s v="Inconclusive"/>
    <x v="20"/>
  </r>
  <r>
    <x v="707"/>
    <s v="26-35"/>
    <n v="35"/>
    <s v="Male"/>
    <x v="1"/>
    <x v="4"/>
    <x v="574"/>
    <s v="Jeffrey White"/>
    <x v="426"/>
    <x v="1"/>
    <x v="711"/>
    <n v="304"/>
    <s v="Emergency"/>
    <d v="2020-12-15T00:00:00"/>
    <s v="Ibuprofen"/>
    <s v="Inconclusive"/>
    <x v="19"/>
  </r>
  <r>
    <x v="708"/>
    <s v="18-25"/>
    <n v="19"/>
    <s v="Male"/>
    <x v="1"/>
    <x v="4"/>
    <x v="575"/>
    <s v="Julia Wu"/>
    <x v="696"/>
    <x v="0"/>
    <x v="712"/>
    <n v="229"/>
    <s v="Urgent"/>
    <d v="2022-09-07T00:00:00"/>
    <s v="Paracetamol"/>
    <s v="Abnormal"/>
    <x v="23"/>
  </r>
  <r>
    <x v="709"/>
    <s v="46-55"/>
    <n v="50"/>
    <s v="Male"/>
    <x v="7"/>
    <x v="4"/>
    <x v="576"/>
    <s v="Melissa Hawkins"/>
    <x v="697"/>
    <x v="4"/>
    <x v="713"/>
    <n v="463"/>
    <s v="Elective"/>
    <d v="2022-06-13T00:00:00"/>
    <s v="Penicillin"/>
    <s v="Inconclusive"/>
    <x v="27"/>
  </r>
  <r>
    <x v="710"/>
    <s v="26-35"/>
    <n v="26"/>
    <s v="Male"/>
    <x v="1"/>
    <x v="4"/>
    <x v="577"/>
    <s v="John Thompson"/>
    <x v="698"/>
    <x v="1"/>
    <x v="714"/>
    <n v="162"/>
    <s v="Urgent"/>
    <d v="2019-12-17T00:00:00"/>
    <s v="Ibuprofen"/>
    <s v="Abnormal"/>
    <x v="9"/>
  </r>
  <r>
    <x v="711"/>
    <s v="36-45"/>
    <n v="44"/>
    <s v="Male"/>
    <x v="6"/>
    <x v="4"/>
    <x v="578"/>
    <s v="Jennifer Rose"/>
    <x v="699"/>
    <x v="2"/>
    <x v="715"/>
    <n v="403"/>
    <s v="Urgent"/>
    <d v="2023-03-25T00:00:00"/>
    <s v="Penicillin"/>
    <s v="Abnormal"/>
    <x v="16"/>
  </r>
  <r>
    <x v="712"/>
    <s v="36-45"/>
    <n v="37"/>
    <s v="Female"/>
    <x v="2"/>
    <x v="4"/>
    <x v="579"/>
    <s v="Richard Newman"/>
    <x v="700"/>
    <x v="0"/>
    <x v="716"/>
    <n v="143"/>
    <s v="Emergency"/>
    <d v="2019-10-25T00:00:00"/>
    <s v="Lipitor"/>
    <s v="Abnormal"/>
    <x v="4"/>
  </r>
  <r>
    <x v="713"/>
    <s v="36-45"/>
    <n v="41"/>
    <s v="Female"/>
    <x v="0"/>
    <x v="4"/>
    <x v="580"/>
    <s v="Kristen Sherman"/>
    <x v="701"/>
    <x v="0"/>
    <x v="717"/>
    <n v="263"/>
    <s v="Elective"/>
    <d v="2019-07-14T00:00:00"/>
    <s v="Paracetamol"/>
    <s v="Abnormal"/>
    <x v="19"/>
  </r>
  <r>
    <x v="714"/>
    <s v="26-35"/>
    <n v="27"/>
    <s v="Male"/>
    <x v="2"/>
    <x v="4"/>
    <x v="417"/>
    <s v="Sierra Farmer"/>
    <x v="702"/>
    <x v="4"/>
    <x v="718"/>
    <n v="305"/>
    <s v="Elective"/>
    <d v="2022-03-06T00:00:00"/>
    <s v="Lipitor"/>
    <s v="Abnormal"/>
    <x v="20"/>
  </r>
  <r>
    <x v="715"/>
    <s v="26-35"/>
    <n v="35"/>
    <s v="Female"/>
    <x v="6"/>
    <x v="4"/>
    <x v="581"/>
    <s v="Eric Thomas"/>
    <x v="703"/>
    <x v="3"/>
    <x v="719"/>
    <n v="396"/>
    <s v="Elective"/>
    <d v="2022-04-11T00:00:00"/>
    <s v="Aspirin"/>
    <s v="Normal"/>
    <x v="29"/>
  </r>
  <r>
    <x v="716"/>
    <s v="36-45"/>
    <n v="36"/>
    <s v="Male"/>
    <x v="4"/>
    <x v="4"/>
    <x v="582"/>
    <s v="Charles Blake"/>
    <x v="704"/>
    <x v="3"/>
    <x v="720"/>
    <n v="362"/>
    <s v="Urgent"/>
    <d v="2022-11-20T00:00:00"/>
    <s v="Aspirin"/>
    <s v="Normal"/>
    <x v="9"/>
  </r>
  <r>
    <x v="717"/>
    <s v="76-85"/>
    <n v="83"/>
    <s v="Female"/>
    <x v="4"/>
    <x v="4"/>
    <x v="583"/>
    <s v="Carrie Becker"/>
    <x v="705"/>
    <x v="4"/>
    <x v="721"/>
    <n v="413"/>
    <s v="Urgent"/>
    <d v="2023-04-07T00:00:00"/>
    <s v="Ibuprofen"/>
    <s v="Normal"/>
    <x v="18"/>
  </r>
  <r>
    <x v="718"/>
    <s v="56-65"/>
    <n v="59"/>
    <s v="Male"/>
    <x v="4"/>
    <x v="4"/>
    <x v="584"/>
    <s v="Amber Meza"/>
    <x v="706"/>
    <x v="0"/>
    <x v="722"/>
    <n v="288"/>
    <s v="Elective"/>
    <d v="2019-05-20T00:00:00"/>
    <s v="Lipitor"/>
    <s v="Abnormal"/>
    <x v="12"/>
  </r>
  <r>
    <x v="719"/>
    <s v="66-75"/>
    <n v="74"/>
    <s v="Female"/>
    <x v="5"/>
    <x v="4"/>
    <x v="585"/>
    <s v="Carolyn Baker MD"/>
    <x v="707"/>
    <x v="0"/>
    <x v="723"/>
    <n v="298"/>
    <s v="Emergency"/>
    <d v="2021-06-08T00:00:00"/>
    <s v="Lipitor"/>
    <s v="Abnormal"/>
    <x v="15"/>
  </r>
  <r>
    <x v="720"/>
    <s v="26-35"/>
    <n v="28"/>
    <s v="Male"/>
    <x v="6"/>
    <x v="4"/>
    <x v="586"/>
    <s v="Amanda Shepard"/>
    <x v="708"/>
    <x v="4"/>
    <x v="724"/>
    <n v="359"/>
    <s v="Elective"/>
    <d v="2023-11-08T00:00:00"/>
    <s v="Lipitor"/>
    <s v="Abnormal"/>
    <x v="23"/>
  </r>
  <r>
    <x v="721"/>
    <s v="36-45"/>
    <n v="37"/>
    <s v="Male"/>
    <x v="1"/>
    <x v="4"/>
    <x v="452"/>
    <s v="Ryan Kirk"/>
    <x v="709"/>
    <x v="0"/>
    <x v="725"/>
    <n v="233"/>
    <s v="Elective"/>
    <d v="2022-09-08T00:00:00"/>
    <s v="Penicillin"/>
    <s v="Abnormal"/>
    <x v="13"/>
  </r>
  <r>
    <x v="722"/>
    <s v="56-65"/>
    <n v="59"/>
    <s v="Female"/>
    <x v="2"/>
    <x v="4"/>
    <x v="587"/>
    <s v="Michelle Moyer"/>
    <x v="710"/>
    <x v="2"/>
    <x v="726"/>
    <n v="246"/>
    <s v="Elective"/>
    <d v="2021-12-22T00:00:00"/>
    <s v="Penicillin"/>
    <s v="Abnormal"/>
    <x v="23"/>
  </r>
  <r>
    <x v="723"/>
    <s v="66-75"/>
    <n v="74"/>
    <s v="Female"/>
    <x v="5"/>
    <x v="4"/>
    <x v="588"/>
    <s v="Matthew Hammond"/>
    <x v="711"/>
    <x v="0"/>
    <x v="727"/>
    <n v="192"/>
    <s v="Urgent"/>
    <d v="2023-07-11T00:00:00"/>
    <s v="Penicillin"/>
    <s v="Abnormal"/>
    <x v="29"/>
  </r>
  <r>
    <x v="724"/>
    <s v="56-65"/>
    <n v="64"/>
    <s v="Male"/>
    <x v="2"/>
    <x v="4"/>
    <x v="589"/>
    <s v="Francisco Cortez"/>
    <x v="712"/>
    <x v="0"/>
    <x v="728"/>
    <n v="423"/>
    <s v="Elective"/>
    <d v="2019-11-29T00:00:00"/>
    <s v="Ibuprofen"/>
    <s v="Inconclusive"/>
    <x v="6"/>
  </r>
  <r>
    <x v="725"/>
    <s v="66-75"/>
    <n v="68"/>
    <s v="Female"/>
    <x v="5"/>
    <x v="4"/>
    <x v="590"/>
    <s v="Michelle Harris"/>
    <x v="713"/>
    <x v="4"/>
    <x v="729"/>
    <n v="470"/>
    <s v="Urgent"/>
    <d v="2020-08-04T00:00:00"/>
    <s v="Penicillin"/>
    <s v="Normal"/>
    <x v="12"/>
  </r>
  <r>
    <x v="726"/>
    <s v="26-35"/>
    <n v="27"/>
    <s v="Female"/>
    <x v="4"/>
    <x v="4"/>
    <x v="76"/>
    <s v="Joshua Ramirez"/>
    <x v="714"/>
    <x v="2"/>
    <x v="730"/>
    <n v="482"/>
    <s v="Urgent"/>
    <d v="2019-07-12T00:00:00"/>
    <s v="Aspirin"/>
    <s v="Abnormal"/>
    <x v="7"/>
  </r>
  <r>
    <x v="727"/>
    <s v="36-45"/>
    <n v="37"/>
    <s v="Female"/>
    <x v="3"/>
    <x v="4"/>
    <x v="136"/>
    <s v="Franklin Martin"/>
    <x v="715"/>
    <x v="1"/>
    <x v="731"/>
    <n v="464"/>
    <s v="Elective"/>
    <d v="2021-07-24T00:00:00"/>
    <s v="Ibuprofen"/>
    <s v="Normal"/>
    <x v="5"/>
  </r>
  <r>
    <x v="728"/>
    <s v="56-65"/>
    <n v="61"/>
    <s v="Male"/>
    <x v="0"/>
    <x v="4"/>
    <x v="230"/>
    <s v="Kim Payne"/>
    <x v="716"/>
    <x v="4"/>
    <x v="732"/>
    <n v="144"/>
    <s v="Emergency"/>
    <d v="2023-06-03T00:00:00"/>
    <s v="Aspirin"/>
    <s v="Abnormal"/>
    <x v="0"/>
  </r>
  <r>
    <x v="729"/>
    <s v="56-65"/>
    <n v="59"/>
    <s v="Female"/>
    <x v="5"/>
    <x v="4"/>
    <x v="36"/>
    <s v="Deborah Andrews"/>
    <x v="717"/>
    <x v="2"/>
    <x v="733"/>
    <n v="224"/>
    <s v="Elective"/>
    <d v="2021-11-09T00:00:00"/>
    <s v="Paracetamol"/>
    <s v="Abnormal"/>
    <x v="9"/>
  </r>
  <r>
    <x v="730"/>
    <s v="76-85"/>
    <n v="77"/>
    <s v="Female"/>
    <x v="4"/>
    <x v="4"/>
    <x v="591"/>
    <s v="Erika Long"/>
    <x v="718"/>
    <x v="0"/>
    <x v="734"/>
    <n v="459"/>
    <s v="Emergency"/>
    <d v="2020-04-06T00:00:00"/>
    <s v="Ibuprofen"/>
    <s v="Inconclusive"/>
    <x v="4"/>
  </r>
  <r>
    <x v="731"/>
    <s v="18-25"/>
    <n v="20"/>
    <s v="Male"/>
    <x v="6"/>
    <x v="4"/>
    <x v="592"/>
    <s v="Deanna Baldwin"/>
    <x v="719"/>
    <x v="4"/>
    <x v="735"/>
    <n v="478"/>
    <s v="Emergency"/>
    <d v="2021-12-01T00:00:00"/>
    <s v="Paracetamol"/>
    <s v="Abnormal"/>
    <x v="28"/>
  </r>
  <r>
    <x v="732"/>
    <s v="46-55"/>
    <n v="53"/>
    <s v="Male"/>
    <x v="5"/>
    <x v="4"/>
    <x v="593"/>
    <s v="James Jackson"/>
    <x v="720"/>
    <x v="0"/>
    <x v="736"/>
    <n v="422"/>
    <s v="Urgent"/>
    <d v="2020-01-26T00:00:00"/>
    <s v="Ibuprofen"/>
    <s v="Abnormal"/>
    <x v="22"/>
  </r>
  <r>
    <x v="733"/>
    <s v="66-75"/>
    <n v="74"/>
    <s v="Male"/>
    <x v="1"/>
    <x v="4"/>
    <x v="257"/>
    <s v="Brittany Strickland"/>
    <x v="721"/>
    <x v="0"/>
    <x v="737"/>
    <n v="257"/>
    <s v="Elective"/>
    <d v="2021-11-06T00:00:00"/>
    <s v="Paracetamol"/>
    <s v="Normal"/>
    <x v="15"/>
  </r>
  <r>
    <x v="734"/>
    <s v="66-75"/>
    <n v="72"/>
    <s v="Female"/>
    <x v="2"/>
    <x v="4"/>
    <x v="245"/>
    <s v="Dawn Graves"/>
    <x v="722"/>
    <x v="4"/>
    <x v="738"/>
    <n v="211"/>
    <s v="Elective"/>
    <d v="2020-04-07T00:00:00"/>
    <s v="Penicillin"/>
    <s v="Inconclusive"/>
    <x v="6"/>
  </r>
  <r>
    <x v="735"/>
    <s v="56-65"/>
    <n v="59"/>
    <s v="Male"/>
    <x v="6"/>
    <x v="4"/>
    <x v="173"/>
    <s v="Eric Clark"/>
    <x v="723"/>
    <x v="3"/>
    <x v="739"/>
    <n v="148"/>
    <s v="Urgent"/>
    <d v="2020-07-22T00:00:00"/>
    <s v="Penicillin"/>
    <s v="Normal"/>
    <x v="28"/>
  </r>
  <r>
    <x v="736"/>
    <s v="36-45"/>
    <n v="45"/>
    <s v="Female"/>
    <x v="5"/>
    <x v="4"/>
    <x v="594"/>
    <s v="Sandra Moore"/>
    <x v="724"/>
    <x v="2"/>
    <x v="740"/>
    <n v="195"/>
    <s v="Emergency"/>
    <d v="2020-09-21T00:00:00"/>
    <s v="Aspirin"/>
    <s v="Abnormal"/>
    <x v="12"/>
  </r>
  <r>
    <x v="737"/>
    <s v="56-65"/>
    <n v="64"/>
    <s v="Female"/>
    <x v="7"/>
    <x v="4"/>
    <x v="595"/>
    <s v="Theresa Garcia"/>
    <x v="725"/>
    <x v="2"/>
    <x v="741"/>
    <n v="378"/>
    <s v="Elective"/>
    <d v="2020-06-05T00:00:00"/>
    <s v="Paracetamol"/>
    <s v="Inconclusive"/>
    <x v="5"/>
  </r>
  <r>
    <x v="738"/>
    <s v="56-65"/>
    <n v="62"/>
    <s v="Male"/>
    <x v="1"/>
    <x v="4"/>
    <x v="576"/>
    <s v="Jordan Johnston"/>
    <x v="726"/>
    <x v="0"/>
    <x v="742"/>
    <n v="216"/>
    <s v="Emergency"/>
    <d v="2022-06-11T00:00:00"/>
    <s v="Penicillin"/>
    <s v="Abnormal"/>
    <x v="8"/>
  </r>
  <r>
    <x v="739"/>
    <s v="46-55"/>
    <n v="53"/>
    <s v="Female"/>
    <x v="4"/>
    <x v="4"/>
    <x v="596"/>
    <s v="Jose Love MD"/>
    <x v="727"/>
    <x v="3"/>
    <x v="743"/>
    <n v="295"/>
    <s v="Elective"/>
    <d v="2021-11-22T00:00:00"/>
    <s v="Ibuprofen"/>
    <s v="Inconclusive"/>
    <x v="22"/>
  </r>
  <r>
    <x v="740"/>
    <s v="26-35"/>
    <n v="29"/>
    <s v="Female"/>
    <x v="7"/>
    <x v="4"/>
    <x v="258"/>
    <s v="Luis Brown"/>
    <x v="728"/>
    <x v="2"/>
    <x v="744"/>
    <n v="349"/>
    <s v="Urgent"/>
    <d v="2019-12-31T00:00:00"/>
    <s v="Lipitor"/>
    <s v="Abnormal"/>
    <x v="13"/>
  </r>
  <r>
    <x v="741"/>
    <s v="66-75"/>
    <n v="75"/>
    <s v="Female"/>
    <x v="2"/>
    <x v="4"/>
    <x v="485"/>
    <s v="Gabriela Cooley"/>
    <x v="729"/>
    <x v="0"/>
    <x v="745"/>
    <n v="370"/>
    <s v="Urgent"/>
    <d v="2020-10-23T00:00:00"/>
    <s v="Paracetamol"/>
    <s v="Normal"/>
    <x v="10"/>
  </r>
  <r>
    <x v="742"/>
    <s v="26-35"/>
    <n v="31"/>
    <s v="Male"/>
    <x v="1"/>
    <x v="4"/>
    <x v="77"/>
    <s v="Melissa Jackson"/>
    <x v="730"/>
    <x v="2"/>
    <x v="746"/>
    <n v="126"/>
    <s v="Emergency"/>
    <d v="2019-11-04T00:00:00"/>
    <s v="Lipitor"/>
    <s v="Normal"/>
    <x v="2"/>
  </r>
  <r>
    <x v="743"/>
    <s v="76-85"/>
    <n v="80"/>
    <s v="Male"/>
    <x v="5"/>
    <x v="4"/>
    <x v="597"/>
    <s v="Stephanie Parker"/>
    <x v="731"/>
    <x v="1"/>
    <x v="747"/>
    <n v="419"/>
    <s v="Urgent"/>
    <d v="2020-10-23T00:00:00"/>
    <s v="Paracetamol"/>
    <s v="Normal"/>
    <x v="2"/>
  </r>
  <r>
    <x v="744"/>
    <s v="46-55"/>
    <n v="55"/>
    <s v="Male"/>
    <x v="2"/>
    <x v="4"/>
    <x v="598"/>
    <s v="Michael Flores"/>
    <x v="732"/>
    <x v="4"/>
    <x v="748"/>
    <n v="401"/>
    <s v="Urgent"/>
    <d v="2021-08-30T00:00:00"/>
    <s v="Ibuprofen"/>
    <s v="Inconclusive"/>
    <x v="24"/>
  </r>
  <r>
    <x v="745"/>
    <s v="36-45"/>
    <n v="45"/>
    <s v="Female"/>
    <x v="4"/>
    <x v="4"/>
    <x v="599"/>
    <s v="Christine Lewis"/>
    <x v="733"/>
    <x v="1"/>
    <x v="749"/>
    <n v="103"/>
    <s v="Urgent"/>
    <d v="2023-05-02T00:00:00"/>
    <s v="Penicillin"/>
    <s v="Inconclusive"/>
    <x v="13"/>
  </r>
  <r>
    <x v="746"/>
    <s v="56-65"/>
    <n v="59"/>
    <s v="Female"/>
    <x v="0"/>
    <x v="4"/>
    <x v="600"/>
    <s v="Jesse Bailey"/>
    <x v="734"/>
    <x v="3"/>
    <x v="750"/>
    <n v="240"/>
    <s v="Elective"/>
    <d v="2019-11-15T00:00:00"/>
    <s v="Paracetamol"/>
    <s v="Inconclusive"/>
    <x v="3"/>
  </r>
  <r>
    <x v="747"/>
    <s v="26-35"/>
    <n v="33"/>
    <s v="Male"/>
    <x v="5"/>
    <x v="4"/>
    <x v="601"/>
    <s v="Susan Olson"/>
    <x v="735"/>
    <x v="3"/>
    <x v="751"/>
    <n v="478"/>
    <s v="Emergency"/>
    <d v="2020-02-05T00:00:00"/>
    <s v="Lipitor"/>
    <s v="Abnormal"/>
    <x v="14"/>
  </r>
  <r>
    <x v="748"/>
    <s v="66-75"/>
    <n v="74"/>
    <s v="Female"/>
    <x v="3"/>
    <x v="4"/>
    <x v="602"/>
    <s v="Theresa Thomas"/>
    <x v="736"/>
    <x v="1"/>
    <x v="752"/>
    <n v="232"/>
    <s v="Urgent"/>
    <d v="2019-04-24T00:00:00"/>
    <s v="Lipitor"/>
    <s v="Normal"/>
    <x v="17"/>
  </r>
  <r>
    <x v="749"/>
    <s v="66-75"/>
    <n v="68"/>
    <s v="Male"/>
    <x v="7"/>
    <x v="4"/>
    <x v="603"/>
    <s v="Samantha May"/>
    <x v="737"/>
    <x v="2"/>
    <x v="753"/>
    <n v="467"/>
    <s v="Emergency"/>
    <d v="2020-05-10T00:00:00"/>
    <s v="Paracetamol"/>
    <s v="Abnormal"/>
    <x v="4"/>
  </r>
  <r>
    <x v="750"/>
    <s v="46-55"/>
    <n v="50"/>
    <s v="Female"/>
    <x v="7"/>
    <x v="4"/>
    <x v="604"/>
    <s v="Joshua Lopez"/>
    <x v="738"/>
    <x v="1"/>
    <x v="754"/>
    <n v="231"/>
    <s v="Elective"/>
    <d v="2021-08-22T00:00:00"/>
    <s v="Aspirin"/>
    <s v="Normal"/>
    <x v="5"/>
  </r>
  <r>
    <x v="751"/>
    <s v="36-45"/>
    <n v="37"/>
    <s v="Female"/>
    <x v="2"/>
    <x v="4"/>
    <x v="594"/>
    <s v="Melissa Gomez MD"/>
    <x v="739"/>
    <x v="2"/>
    <x v="755"/>
    <n v="356"/>
    <s v="Elective"/>
    <d v="2020-09-17T00:00:00"/>
    <s v="Aspirin"/>
    <s v="Normal"/>
    <x v="27"/>
  </r>
  <r>
    <x v="752"/>
    <s v="46-55"/>
    <n v="54"/>
    <s v="Male"/>
    <x v="0"/>
    <x v="4"/>
    <x v="605"/>
    <s v="Ashley Perez"/>
    <x v="740"/>
    <x v="2"/>
    <x v="756"/>
    <n v="279"/>
    <s v="Urgent"/>
    <d v="2023-05-10T00:00:00"/>
    <s v="Lipitor"/>
    <s v="Normal"/>
    <x v="29"/>
  </r>
  <r>
    <x v="753"/>
    <s v="46-55"/>
    <n v="55"/>
    <s v="Female"/>
    <x v="3"/>
    <x v="4"/>
    <x v="606"/>
    <s v="Henry Mcbride"/>
    <x v="741"/>
    <x v="2"/>
    <x v="757"/>
    <n v="146"/>
    <s v="Emergency"/>
    <d v="2019-09-14T00:00:00"/>
    <s v="Ibuprofen"/>
    <s v="Inconclusive"/>
    <x v="9"/>
  </r>
  <r>
    <x v="754"/>
    <s v="18-25"/>
    <n v="25"/>
    <s v="Male"/>
    <x v="0"/>
    <x v="4"/>
    <x v="607"/>
    <s v="Nathan Meyers"/>
    <x v="742"/>
    <x v="4"/>
    <x v="758"/>
    <n v="188"/>
    <s v="Emergency"/>
    <d v="2022-09-17T00:00:00"/>
    <s v="Aspirin"/>
    <s v="Abnormal"/>
    <x v="17"/>
  </r>
  <r>
    <x v="755"/>
    <s v="66-75"/>
    <n v="67"/>
    <s v="Female"/>
    <x v="6"/>
    <x v="4"/>
    <x v="593"/>
    <s v="Morgan Johnson"/>
    <x v="743"/>
    <x v="0"/>
    <x v="759"/>
    <n v="155"/>
    <s v="Emergency"/>
    <d v="2020-01-17T00:00:00"/>
    <s v="Lipitor"/>
    <s v="Abnormal"/>
    <x v="10"/>
  </r>
  <r>
    <x v="756"/>
    <s v="36-45"/>
    <n v="38"/>
    <s v="Male"/>
    <x v="3"/>
    <x v="4"/>
    <x v="608"/>
    <s v="Brenda Bates DVM"/>
    <x v="744"/>
    <x v="2"/>
    <x v="760"/>
    <n v="407"/>
    <s v="Urgent"/>
    <d v="2020-02-27T00:00:00"/>
    <s v="Lipitor"/>
    <s v="Inconclusive"/>
    <x v="11"/>
  </r>
  <r>
    <x v="757"/>
    <s v="76-85"/>
    <n v="77"/>
    <s v="Male"/>
    <x v="3"/>
    <x v="4"/>
    <x v="253"/>
    <s v="Joan Andrews"/>
    <x v="745"/>
    <x v="0"/>
    <x v="761"/>
    <n v="437"/>
    <s v="Emergency"/>
    <d v="2021-12-16T00:00:00"/>
    <s v="Paracetamol"/>
    <s v="Normal"/>
    <x v="27"/>
  </r>
  <r>
    <x v="758"/>
    <s v="18-25"/>
    <n v="24"/>
    <s v="Male"/>
    <x v="3"/>
    <x v="4"/>
    <x v="609"/>
    <s v="Ryan Guerra"/>
    <x v="746"/>
    <x v="1"/>
    <x v="762"/>
    <n v="286"/>
    <s v="Emergency"/>
    <d v="2019-12-16T00:00:00"/>
    <s v="Paracetamol"/>
    <s v="Inconclusive"/>
    <x v="18"/>
  </r>
  <r>
    <x v="759"/>
    <s v="46-55"/>
    <n v="53"/>
    <s v="Male"/>
    <x v="3"/>
    <x v="4"/>
    <x v="453"/>
    <s v="James Fleming"/>
    <x v="747"/>
    <x v="2"/>
    <x v="763"/>
    <n v="464"/>
    <s v="Urgent"/>
    <d v="2020-10-02T00:00:00"/>
    <s v="Ibuprofen"/>
    <s v="Abnormal"/>
    <x v="12"/>
  </r>
  <r>
    <x v="760"/>
    <s v="76-85"/>
    <n v="77"/>
    <s v="Female"/>
    <x v="6"/>
    <x v="4"/>
    <x v="610"/>
    <s v="Ashley Jackson"/>
    <x v="748"/>
    <x v="3"/>
    <x v="764"/>
    <n v="343"/>
    <s v="Urgent"/>
    <d v="2021-01-24T00:00:00"/>
    <s v="Ibuprofen"/>
    <s v="Inconclusive"/>
    <x v="22"/>
  </r>
  <r>
    <x v="761"/>
    <s v="46-55"/>
    <n v="54"/>
    <s v="Female"/>
    <x v="5"/>
    <x v="4"/>
    <x v="611"/>
    <s v="Michelle Ali"/>
    <x v="749"/>
    <x v="4"/>
    <x v="765"/>
    <n v="370"/>
    <s v="Urgent"/>
    <d v="2019-05-17T00:00:00"/>
    <s v="Paracetamol"/>
    <s v="Normal"/>
    <x v="27"/>
  </r>
  <r>
    <x v="762"/>
    <s v="18-25"/>
    <n v="20"/>
    <s v="Female"/>
    <x v="2"/>
    <x v="4"/>
    <x v="612"/>
    <s v="Mark Thompson"/>
    <x v="750"/>
    <x v="1"/>
    <x v="766"/>
    <n v="278"/>
    <s v="Emergency"/>
    <d v="2022-09-30T00:00:00"/>
    <s v="Aspirin"/>
    <s v="Inconclusive"/>
    <x v="23"/>
  </r>
  <r>
    <x v="763"/>
    <s v="56-65"/>
    <n v="57"/>
    <s v="Male"/>
    <x v="1"/>
    <x v="4"/>
    <x v="320"/>
    <s v="Robert Johnson"/>
    <x v="751"/>
    <x v="1"/>
    <x v="767"/>
    <n v="220"/>
    <s v="Urgent"/>
    <d v="2020-02-01T00:00:00"/>
    <s v="Lipitor"/>
    <s v="Abnormal"/>
    <x v="21"/>
  </r>
  <r>
    <x v="764"/>
    <s v="26-35"/>
    <n v="34"/>
    <s v="Male"/>
    <x v="6"/>
    <x v="4"/>
    <x v="613"/>
    <s v="Emily West"/>
    <x v="752"/>
    <x v="2"/>
    <x v="768"/>
    <n v="119"/>
    <s v="Emergency"/>
    <d v="2019-06-30T00:00:00"/>
    <s v="Paracetamol"/>
    <s v="Normal"/>
    <x v="20"/>
  </r>
  <r>
    <x v="765"/>
    <s v="26-35"/>
    <n v="27"/>
    <s v="Female"/>
    <x v="6"/>
    <x v="4"/>
    <x v="600"/>
    <s v="Robert Alexander"/>
    <x v="753"/>
    <x v="0"/>
    <x v="769"/>
    <n v="449"/>
    <s v="Emergency"/>
    <d v="2019-11-03T00:00:00"/>
    <s v="Aspirin"/>
    <s v="Abnormal"/>
    <x v="7"/>
  </r>
  <r>
    <x v="766"/>
    <s v="46-55"/>
    <n v="51"/>
    <s v="Female"/>
    <x v="1"/>
    <x v="4"/>
    <x v="545"/>
    <s v="Anna Lyons"/>
    <x v="754"/>
    <x v="3"/>
    <x v="770"/>
    <n v="169"/>
    <s v="Elective"/>
    <d v="2019-06-12T00:00:00"/>
    <s v="Penicillin"/>
    <s v="Normal"/>
    <x v="16"/>
  </r>
  <r>
    <x v="767"/>
    <s v="66-75"/>
    <n v="68"/>
    <s v="Female"/>
    <x v="5"/>
    <x v="4"/>
    <x v="138"/>
    <s v="Tim Clark"/>
    <x v="755"/>
    <x v="4"/>
    <x v="771"/>
    <n v="158"/>
    <s v="Elective"/>
    <d v="2019-10-29T00:00:00"/>
    <s v="Penicillin"/>
    <s v="Inconclusive"/>
    <x v="1"/>
  </r>
  <r>
    <x v="768"/>
    <s v="36-45"/>
    <n v="36"/>
    <s v="Male"/>
    <x v="2"/>
    <x v="4"/>
    <x v="614"/>
    <s v="Abigail Cooper"/>
    <x v="756"/>
    <x v="2"/>
    <x v="772"/>
    <n v="457"/>
    <s v="Elective"/>
    <d v="2020-06-03T00:00:00"/>
    <s v="Aspirin"/>
    <s v="Inconclusive"/>
    <x v="6"/>
  </r>
  <r>
    <x v="769"/>
    <s v="36-45"/>
    <n v="37"/>
    <s v="Female"/>
    <x v="5"/>
    <x v="4"/>
    <x v="515"/>
    <s v="James Holmes"/>
    <x v="757"/>
    <x v="1"/>
    <x v="773"/>
    <n v="324"/>
    <s v="Emergency"/>
    <d v="2018-12-17T00:00:00"/>
    <s v="Lipitor"/>
    <s v="Normal"/>
    <x v="1"/>
  </r>
  <r>
    <x v="770"/>
    <s v="36-45"/>
    <n v="43"/>
    <s v="Male"/>
    <x v="3"/>
    <x v="4"/>
    <x v="615"/>
    <s v="Ashley Garcia"/>
    <x v="758"/>
    <x v="4"/>
    <x v="774"/>
    <n v="413"/>
    <s v="Elective"/>
    <d v="2022-12-20T00:00:00"/>
    <s v="Aspirin"/>
    <s v="Abnormal"/>
    <x v="27"/>
  </r>
  <r>
    <x v="771"/>
    <s v="66-75"/>
    <n v="74"/>
    <s v="Male"/>
    <x v="7"/>
    <x v="4"/>
    <x v="616"/>
    <s v="Ronald Taylor"/>
    <x v="759"/>
    <x v="3"/>
    <x v="775"/>
    <n v="172"/>
    <s v="Emergency"/>
    <d v="2019-04-23T00:00:00"/>
    <s v="Ibuprofen"/>
    <s v="Abnormal"/>
    <x v="7"/>
  </r>
  <r>
    <x v="772"/>
    <s v="18-25"/>
    <n v="23"/>
    <s v="Male"/>
    <x v="0"/>
    <x v="4"/>
    <x v="617"/>
    <s v="Christopher Tran"/>
    <x v="760"/>
    <x v="3"/>
    <x v="776"/>
    <n v="236"/>
    <s v="Elective"/>
    <d v="2021-04-21T00:00:00"/>
    <s v="Ibuprofen"/>
    <s v="Abnormal"/>
    <x v="5"/>
  </r>
  <r>
    <x v="773"/>
    <s v="36-45"/>
    <n v="44"/>
    <s v="Male"/>
    <x v="1"/>
    <x v="4"/>
    <x v="618"/>
    <s v="Nichole Lewis"/>
    <x v="761"/>
    <x v="3"/>
    <x v="777"/>
    <n v="489"/>
    <s v="Urgent"/>
    <d v="2021-09-30T00:00:00"/>
    <s v="Aspirin"/>
    <s v="Inconclusive"/>
    <x v="27"/>
  </r>
  <r>
    <x v="774"/>
    <s v="46-55"/>
    <n v="54"/>
    <s v="Male"/>
    <x v="7"/>
    <x v="4"/>
    <x v="619"/>
    <s v="Patrick Ochoa"/>
    <x v="762"/>
    <x v="2"/>
    <x v="778"/>
    <n v="497"/>
    <s v="Emergency"/>
    <d v="2022-02-06T00:00:00"/>
    <s v="Penicillin"/>
    <s v="Normal"/>
    <x v="9"/>
  </r>
  <r>
    <x v="775"/>
    <s v="18-25"/>
    <n v="22"/>
    <s v="Female"/>
    <x v="2"/>
    <x v="4"/>
    <x v="620"/>
    <s v="Kelsey Ross"/>
    <x v="763"/>
    <x v="1"/>
    <x v="779"/>
    <n v="487"/>
    <s v="Emergency"/>
    <d v="2022-06-24T00:00:00"/>
    <s v="Ibuprofen"/>
    <s v="Normal"/>
    <x v="16"/>
  </r>
  <r>
    <x v="776"/>
    <s v="26-35"/>
    <n v="35"/>
    <s v="Male"/>
    <x v="1"/>
    <x v="4"/>
    <x v="621"/>
    <s v="Alice Gross DVM"/>
    <x v="764"/>
    <x v="2"/>
    <x v="780"/>
    <n v="390"/>
    <s v="Emergency"/>
    <d v="2020-12-28T00:00:00"/>
    <s v="Lipitor"/>
    <s v="Normal"/>
    <x v="27"/>
  </r>
  <r>
    <x v="777"/>
    <s v="56-65"/>
    <n v="61"/>
    <s v="Male"/>
    <x v="6"/>
    <x v="4"/>
    <x v="622"/>
    <s v="Amanda Peterson"/>
    <x v="765"/>
    <x v="2"/>
    <x v="781"/>
    <n v="374"/>
    <s v="Elective"/>
    <d v="2020-05-01T00:00:00"/>
    <s v="Paracetamol"/>
    <s v="Normal"/>
    <x v="17"/>
  </r>
  <r>
    <x v="778"/>
    <s v="18-25"/>
    <n v="20"/>
    <s v="Female"/>
    <x v="5"/>
    <x v="4"/>
    <x v="499"/>
    <s v="Stephanie Clark"/>
    <x v="766"/>
    <x v="3"/>
    <x v="782"/>
    <n v="219"/>
    <s v="Emergency"/>
    <d v="2021-11-09T00:00:00"/>
    <s v="Aspirin"/>
    <s v="Abnormal"/>
    <x v="8"/>
  </r>
  <r>
    <x v="779"/>
    <s v="46-55"/>
    <n v="55"/>
    <s v="Female"/>
    <x v="1"/>
    <x v="4"/>
    <x v="552"/>
    <s v="Paula Washington"/>
    <x v="767"/>
    <x v="3"/>
    <x v="783"/>
    <n v="496"/>
    <s v="Elective"/>
    <d v="2021-06-08T00:00:00"/>
    <s v="Ibuprofen"/>
    <s v="Inconclusive"/>
    <x v="8"/>
  </r>
  <r>
    <x v="780"/>
    <s v="46-55"/>
    <n v="49"/>
    <s v="Female"/>
    <x v="6"/>
    <x v="4"/>
    <x v="204"/>
    <s v="Spencer Bentley"/>
    <x v="768"/>
    <x v="3"/>
    <x v="784"/>
    <n v="430"/>
    <s v="Emergency"/>
    <d v="2022-05-18T00:00:00"/>
    <s v="Lipitor"/>
    <s v="Normal"/>
    <x v="7"/>
  </r>
  <r>
    <x v="781"/>
    <s v="46-55"/>
    <n v="46"/>
    <s v="Male"/>
    <x v="5"/>
    <x v="4"/>
    <x v="623"/>
    <s v="Kathleen Cummings MD"/>
    <x v="769"/>
    <x v="0"/>
    <x v="785"/>
    <n v="293"/>
    <s v="Elective"/>
    <d v="2021-09-06T00:00:00"/>
    <s v="Ibuprofen"/>
    <s v="Abnormal"/>
    <x v="25"/>
  </r>
  <r>
    <x v="782"/>
    <s v="76-85"/>
    <n v="85"/>
    <s v="Male"/>
    <x v="1"/>
    <x v="4"/>
    <x v="47"/>
    <s v="Barbara Cantrell"/>
    <x v="770"/>
    <x v="4"/>
    <x v="786"/>
    <n v="240"/>
    <s v="Elective"/>
    <d v="2022-06-29T00:00:00"/>
    <s v="Lipitor"/>
    <s v="Normal"/>
    <x v="1"/>
  </r>
  <r>
    <x v="783"/>
    <s v="26-35"/>
    <n v="28"/>
    <s v="Male"/>
    <x v="6"/>
    <x v="4"/>
    <x v="158"/>
    <s v="Heather Anderson"/>
    <x v="771"/>
    <x v="4"/>
    <x v="787"/>
    <n v="365"/>
    <s v="Urgent"/>
    <d v="2022-10-19T00:00:00"/>
    <s v="Ibuprofen"/>
    <s v="Inconclusive"/>
    <x v="19"/>
  </r>
  <r>
    <x v="784"/>
    <s v="76-85"/>
    <n v="80"/>
    <s v="Male"/>
    <x v="5"/>
    <x v="4"/>
    <x v="50"/>
    <s v="Donald Johnson"/>
    <x v="772"/>
    <x v="3"/>
    <x v="788"/>
    <n v="201"/>
    <s v="Emergency"/>
    <d v="2020-08-30T00:00:00"/>
    <s v="Lipitor"/>
    <s v="Inconclusive"/>
    <x v="0"/>
  </r>
  <r>
    <x v="282"/>
    <s v="76-85"/>
    <n v="84"/>
    <s v="Male"/>
    <x v="4"/>
    <x v="4"/>
    <x v="624"/>
    <s v="Emily Jensen"/>
    <x v="773"/>
    <x v="3"/>
    <x v="789"/>
    <n v="202"/>
    <s v="Emergency"/>
    <d v="2022-02-23T00:00:00"/>
    <s v="Aspirin"/>
    <s v="Abnormal"/>
    <x v="28"/>
  </r>
  <r>
    <x v="785"/>
    <s v="18-25"/>
    <n v="24"/>
    <s v="Male"/>
    <x v="0"/>
    <x v="4"/>
    <x v="5"/>
    <s v="Matthew Wyatt"/>
    <x v="774"/>
    <x v="3"/>
    <x v="790"/>
    <n v="121"/>
    <s v="Elective"/>
    <d v="2019-06-23T00:00:00"/>
    <s v="Paracetamol"/>
    <s v="Inconclusive"/>
    <x v="7"/>
  </r>
  <r>
    <x v="786"/>
    <s v="66-75"/>
    <n v="75"/>
    <s v="Male"/>
    <x v="2"/>
    <x v="4"/>
    <x v="80"/>
    <s v="Jeffrey Jackson"/>
    <x v="775"/>
    <x v="3"/>
    <x v="791"/>
    <n v="336"/>
    <s v="Elective"/>
    <d v="2021-03-02T00:00:00"/>
    <s v="Lipitor"/>
    <s v="Inconclusive"/>
    <x v="21"/>
  </r>
  <r>
    <x v="787"/>
    <s v="26-35"/>
    <n v="35"/>
    <s v="Female"/>
    <x v="6"/>
    <x v="4"/>
    <x v="625"/>
    <s v="Mario Dillon"/>
    <x v="776"/>
    <x v="0"/>
    <x v="792"/>
    <n v="285"/>
    <s v="Elective"/>
    <d v="2022-08-30T00:00:00"/>
    <s v="Penicillin"/>
    <s v="Inconclusive"/>
    <x v="13"/>
  </r>
  <r>
    <x v="788"/>
    <s v="76-85"/>
    <n v="81"/>
    <s v="Male"/>
    <x v="5"/>
    <x v="4"/>
    <x v="626"/>
    <s v="Amber Gonzalez"/>
    <x v="777"/>
    <x v="0"/>
    <x v="793"/>
    <n v="465"/>
    <s v="Emergency"/>
    <d v="2021-09-06T00:00:00"/>
    <s v="Lipitor"/>
    <s v="Inconclusive"/>
    <x v="1"/>
  </r>
  <r>
    <x v="789"/>
    <s v="46-55"/>
    <n v="53"/>
    <s v="Male"/>
    <x v="2"/>
    <x v="4"/>
    <x v="627"/>
    <s v="Theresa Ramsey"/>
    <x v="778"/>
    <x v="0"/>
    <x v="794"/>
    <n v="176"/>
    <s v="Elective"/>
    <d v="2020-09-27T00:00:00"/>
    <s v="Aspirin"/>
    <s v="Abnormal"/>
    <x v="25"/>
  </r>
  <r>
    <x v="790"/>
    <s v="18-25"/>
    <n v="23"/>
    <s v="Female"/>
    <x v="0"/>
    <x v="4"/>
    <x v="628"/>
    <s v="William Miller"/>
    <x v="779"/>
    <x v="2"/>
    <x v="795"/>
    <n v="126"/>
    <s v="Emergency"/>
    <d v="2019-06-26T00:00:00"/>
    <s v="Paracetamol"/>
    <s v="Inconclusive"/>
    <x v="26"/>
  </r>
  <r>
    <x v="791"/>
    <s v="18-25"/>
    <n v="23"/>
    <s v="Female"/>
    <x v="6"/>
    <x v="4"/>
    <x v="629"/>
    <s v="Carolyn Mann"/>
    <x v="780"/>
    <x v="4"/>
    <x v="796"/>
    <n v="498"/>
    <s v="Urgent"/>
    <d v="2019-10-02T00:00:00"/>
    <s v="Penicillin"/>
    <s v="Inconclusive"/>
    <x v="10"/>
  </r>
  <r>
    <x v="792"/>
    <s v="46-55"/>
    <n v="46"/>
    <s v="Male"/>
    <x v="3"/>
    <x v="4"/>
    <x v="425"/>
    <s v="Robert Page"/>
    <x v="781"/>
    <x v="0"/>
    <x v="797"/>
    <n v="444"/>
    <s v="Emergency"/>
    <d v="2020-10-18T00:00:00"/>
    <s v="Paracetamol"/>
    <s v="Abnormal"/>
    <x v="1"/>
  </r>
  <r>
    <x v="793"/>
    <s v="26-35"/>
    <n v="33"/>
    <s v="Male"/>
    <x v="3"/>
    <x v="4"/>
    <x v="465"/>
    <s v="Jay Lopez"/>
    <x v="782"/>
    <x v="2"/>
    <x v="798"/>
    <n v="298"/>
    <s v="Emergency"/>
    <d v="2023-07-29T00:00:00"/>
    <s v="Penicillin"/>
    <s v="Normal"/>
    <x v="15"/>
  </r>
  <r>
    <x v="794"/>
    <s v="36-45"/>
    <n v="37"/>
    <s v="Female"/>
    <x v="2"/>
    <x v="4"/>
    <x v="630"/>
    <s v="Sean Charles"/>
    <x v="783"/>
    <x v="2"/>
    <x v="799"/>
    <n v="289"/>
    <s v="Emergency"/>
    <d v="2019-11-10T00:00:00"/>
    <s v="Lipitor"/>
    <s v="Normal"/>
    <x v="2"/>
  </r>
  <r>
    <x v="795"/>
    <s v="26-35"/>
    <n v="28"/>
    <s v="Female"/>
    <x v="5"/>
    <x v="4"/>
    <x v="631"/>
    <s v="Stephen Henderson"/>
    <x v="784"/>
    <x v="3"/>
    <x v="800"/>
    <n v="332"/>
    <s v="Urgent"/>
    <d v="2021-04-02T00:00:00"/>
    <s v="Lipitor"/>
    <s v="Normal"/>
    <x v="0"/>
  </r>
  <r>
    <x v="796"/>
    <s v="46-55"/>
    <n v="53"/>
    <s v="Male"/>
    <x v="2"/>
    <x v="4"/>
    <x v="624"/>
    <s v="Kendra Flores"/>
    <x v="785"/>
    <x v="4"/>
    <x v="801"/>
    <n v="306"/>
    <s v="Elective"/>
    <d v="2022-02-24T00:00:00"/>
    <s v="Paracetamol"/>
    <s v="Normal"/>
    <x v="10"/>
  </r>
  <r>
    <x v="797"/>
    <s v="66-75"/>
    <n v="73"/>
    <s v="Female"/>
    <x v="2"/>
    <x v="4"/>
    <x v="632"/>
    <s v="Erica Guzman"/>
    <x v="786"/>
    <x v="2"/>
    <x v="802"/>
    <n v="178"/>
    <s v="Urgent"/>
    <d v="2020-11-27T00:00:00"/>
    <s v="Ibuprofen"/>
    <s v="Inconclusive"/>
    <x v="28"/>
  </r>
  <r>
    <x v="798"/>
    <s v="76-85"/>
    <n v="82"/>
    <s v="Male"/>
    <x v="0"/>
    <x v="4"/>
    <x v="633"/>
    <s v="Stacy Brewer"/>
    <x v="787"/>
    <x v="0"/>
    <x v="803"/>
    <n v="153"/>
    <s v="Urgent"/>
    <d v="2022-11-18T00:00:00"/>
    <s v="Aspirin"/>
    <s v="Normal"/>
    <x v="1"/>
  </r>
  <r>
    <x v="799"/>
    <s v="56-65"/>
    <n v="60"/>
    <s v="Female"/>
    <x v="1"/>
    <x v="4"/>
    <x v="634"/>
    <s v="Mr. John Short"/>
    <x v="788"/>
    <x v="2"/>
    <x v="804"/>
    <n v="301"/>
    <s v="Elective"/>
    <d v="2020-08-29T00:00:00"/>
    <s v="Aspirin"/>
    <s v="Normal"/>
    <x v="27"/>
  </r>
  <r>
    <x v="800"/>
    <s v="56-65"/>
    <n v="62"/>
    <s v="Female"/>
    <x v="4"/>
    <x v="4"/>
    <x v="635"/>
    <s v="Ann Butler"/>
    <x v="789"/>
    <x v="4"/>
    <x v="805"/>
    <n v="459"/>
    <s v="Elective"/>
    <d v="2022-08-23T00:00:00"/>
    <s v="Aspirin"/>
    <s v="Normal"/>
    <x v="14"/>
  </r>
  <r>
    <x v="801"/>
    <s v="46-55"/>
    <n v="47"/>
    <s v="Male"/>
    <x v="7"/>
    <x v="4"/>
    <x v="636"/>
    <s v="Terry Bean"/>
    <x v="66"/>
    <x v="2"/>
    <x v="806"/>
    <n v="450"/>
    <s v="Elective"/>
    <d v="2019-07-31T00:00:00"/>
    <s v="Lipitor"/>
    <s v="Abnormal"/>
    <x v="0"/>
  </r>
  <r>
    <x v="802"/>
    <s v="46-55"/>
    <n v="54"/>
    <s v="Female"/>
    <x v="0"/>
    <x v="4"/>
    <x v="637"/>
    <s v="Douglas Holmes"/>
    <x v="790"/>
    <x v="0"/>
    <x v="807"/>
    <n v="279"/>
    <s v="Emergency"/>
    <d v="2020-04-01T00:00:00"/>
    <s v="Lipitor"/>
    <s v="Abnormal"/>
    <x v="29"/>
  </r>
  <r>
    <x v="803"/>
    <s v="66-75"/>
    <n v="73"/>
    <s v="Female"/>
    <x v="6"/>
    <x v="4"/>
    <x v="186"/>
    <s v="Tasha Pierce"/>
    <x v="791"/>
    <x v="1"/>
    <x v="808"/>
    <n v="242"/>
    <s v="Elective"/>
    <d v="2023-07-06T00:00:00"/>
    <s v="Aspirin"/>
    <s v="Abnormal"/>
    <x v="2"/>
  </r>
  <r>
    <x v="804"/>
    <s v="26-35"/>
    <n v="31"/>
    <s v="Male"/>
    <x v="2"/>
    <x v="4"/>
    <x v="638"/>
    <s v="Peter Bailey"/>
    <x v="792"/>
    <x v="4"/>
    <x v="809"/>
    <n v="184"/>
    <s v="Urgent"/>
    <d v="2018-12-22T00:00:00"/>
    <s v="Aspirin"/>
    <s v="Inconclusive"/>
    <x v="14"/>
  </r>
  <r>
    <x v="805"/>
    <s v="18-25"/>
    <n v="19"/>
    <s v="Female"/>
    <x v="6"/>
    <x v="4"/>
    <x v="639"/>
    <s v="Lacey Keith"/>
    <x v="527"/>
    <x v="0"/>
    <x v="810"/>
    <n v="144"/>
    <s v="Elective"/>
    <d v="2021-05-09T00:00:00"/>
    <s v="Paracetamol"/>
    <s v="Inconclusive"/>
    <x v="4"/>
  </r>
  <r>
    <x v="806"/>
    <s v="46-55"/>
    <n v="46"/>
    <s v="Male"/>
    <x v="6"/>
    <x v="4"/>
    <x v="640"/>
    <s v="Timothy Miller"/>
    <x v="793"/>
    <x v="4"/>
    <x v="811"/>
    <n v="153"/>
    <s v="Emergency"/>
    <d v="2023-04-27T00:00:00"/>
    <s v="Penicillin"/>
    <s v="Abnormal"/>
    <x v="23"/>
  </r>
  <r>
    <x v="807"/>
    <s v="66-75"/>
    <n v="74"/>
    <s v="Female"/>
    <x v="5"/>
    <x v="4"/>
    <x v="468"/>
    <s v="Christopher Walker"/>
    <x v="794"/>
    <x v="0"/>
    <x v="812"/>
    <n v="353"/>
    <s v="Emergency"/>
    <d v="2022-12-29T00:00:00"/>
    <s v="Penicillin"/>
    <s v="Inconclusive"/>
    <x v="1"/>
  </r>
  <r>
    <x v="808"/>
    <s v="36-45"/>
    <n v="44"/>
    <s v="Male"/>
    <x v="7"/>
    <x v="4"/>
    <x v="641"/>
    <s v="Veronica Bradley"/>
    <x v="795"/>
    <x v="2"/>
    <x v="813"/>
    <n v="105"/>
    <s v="Emergency"/>
    <d v="2023-05-08T00:00:00"/>
    <s v="Aspirin"/>
    <s v="Inconclusive"/>
    <x v="1"/>
  </r>
  <r>
    <x v="809"/>
    <s v="36-45"/>
    <n v="42"/>
    <s v="Female"/>
    <x v="7"/>
    <x v="4"/>
    <x v="328"/>
    <s v="Adam Rasmussen"/>
    <x v="796"/>
    <x v="2"/>
    <x v="814"/>
    <n v="168"/>
    <s v="Elective"/>
    <d v="2019-06-29T00:00:00"/>
    <s v="Ibuprofen"/>
    <s v="Inconclusive"/>
    <x v="18"/>
  </r>
  <r>
    <x v="810"/>
    <s v="36-45"/>
    <n v="45"/>
    <s v="Male"/>
    <x v="5"/>
    <x v="4"/>
    <x v="642"/>
    <s v="Jordan Shelton"/>
    <x v="797"/>
    <x v="0"/>
    <x v="815"/>
    <n v="135"/>
    <s v="Urgent"/>
    <d v="2022-09-04T00:00:00"/>
    <s v="Penicillin"/>
    <s v="Inconclusive"/>
    <x v="6"/>
  </r>
  <r>
    <x v="811"/>
    <s v="36-45"/>
    <n v="43"/>
    <s v="Male"/>
    <x v="5"/>
    <x v="4"/>
    <x v="643"/>
    <s v="Sheri Garcia"/>
    <x v="798"/>
    <x v="3"/>
    <x v="816"/>
    <n v="180"/>
    <s v="Emergency"/>
    <d v="2020-02-27T00:00:00"/>
    <s v="Aspirin"/>
    <s v="Abnormal"/>
    <x v="26"/>
  </r>
  <r>
    <x v="812"/>
    <s v="26-35"/>
    <n v="26"/>
    <s v="Male"/>
    <x v="5"/>
    <x v="4"/>
    <x v="644"/>
    <s v="Janice Morgan"/>
    <x v="799"/>
    <x v="4"/>
    <x v="817"/>
    <n v="302"/>
    <s v="Urgent"/>
    <d v="2021-10-21T00:00:00"/>
    <s v="Ibuprofen"/>
    <s v="Abnormal"/>
    <x v="22"/>
  </r>
  <r>
    <x v="813"/>
    <s v="36-45"/>
    <n v="44"/>
    <s v="Male"/>
    <x v="4"/>
    <x v="4"/>
    <x v="288"/>
    <s v="Stacy Salazar"/>
    <x v="800"/>
    <x v="0"/>
    <x v="818"/>
    <n v="119"/>
    <s v="Elective"/>
    <d v="2020-03-18T00:00:00"/>
    <s v="Aspirin"/>
    <s v="Abnormal"/>
    <x v="27"/>
  </r>
  <r>
    <x v="814"/>
    <s v="26-35"/>
    <n v="26"/>
    <s v="Female"/>
    <x v="2"/>
    <x v="4"/>
    <x v="645"/>
    <s v="Maria Walker"/>
    <x v="801"/>
    <x v="2"/>
    <x v="819"/>
    <n v="189"/>
    <s v="Emergency"/>
    <d v="2022-09-21T00:00:00"/>
    <s v="Aspirin"/>
    <s v="Inconclusive"/>
    <x v="2"/>
  </r>
  <r>
    <x v="815"/>
    <s v="26-35"/>
    <n v="35"/>
    <s v="Male"/>
    <x v="5"/>
    <x v="4"/>
    <x v="646"/>
    <s v="Michael Holder"/>
    <x v="802"/>
    <x v="4"/>
    <x v="820"/>
    <n v="469"/>
    <s v="Emergency"/>
    <d v="2022-02-20T00:00:00"/>
    <s v="Paracetamol"/>
    <s v="Inconclusive"/>
    <x v="26"/>
  </r>
  <r>
    <x v="816"/>
    <s v="26-35"/>
    <n v="35"/>
    <s v="Female"/>
    <x v="6"/>
    <x v="4"/>
    <x v="236"/>
    <s v="Chloe Thomas"/>
    <x v="803"/>
    <x v="4"/>
    <x v="821"/>
    <n v="162"/>
    <s v="Emergency"/>
    <d v="2022-12-18T00:00:00"/>
    <s v="Lipitor"/>
    <s v="Inconclusive"/>
    <x v="0"/>
  </r>
  <r>
    <x v="817"/>
    <s v="76-85"/>
    <n v="81"/>
    <s v="Female"/>
    <x v="4"/>
    <x v="4"/>
    <x v="647"/>
    <s v="Michelle Perez"/>
    <x v="804"/>
    <x v="3"/>
    <x v="822"/>
    <n v="129"/>
    <s v="Urgent"/>
    <d v="2022-08-21T00:00:00"/>
    <s v="Lipitor"/>
    <s v="Normal"/>
    <x v="19"/>
  </r>
  <r>
    <x v="818"/>
    <s v="26-35"/>
    <n v="31"/>
    <s v="Male"/>
    <x v="6"/>
    <x v="4"/>
    <x v="648"/>
    <s v="Melinda Brown"/>
    <x v="805"/>
    <x v="1"/>
    <x v="823"/>
    <n v="338"/>
    <s v="Urgent"/>
    <d v="2023-07-10T00:00:00"/>
    <s v="Penicillin"/>
    <s v="Inconclusive"/>
    <x v="15"/>
  </r>
  <r>
    <x v="819"/>
    <s v="18-25"/>
    <n v="22"/>
    <s v="Male"/>
    <x v="6"/>
    <x v="4"/>
    <x v="649"/>
    <s v="Daniel Stephens"/>
    <x v="806"/>
    <x v="0"/>
    <x v="824"/>
    <n v="486"/>
    <s v="Elective"/>
    <d v="2019-10-18T00:00:00"/>
    <s v="Lipitor"/>
    <s v="Inconclusive"/>
    <x v="27"/>
  </r>
  <r>
    <x v="820"/>
    <s v="66-75"/>
    <n v="75"/>
    <s v="Male"/>
    <x v="3"/>
    <x v="4"/>
    <x v="430"/>
    <s v="Dana Black"/>
    <x v="807"/>
    <x v="0"/>
    <x v="825"/>
    <n v="423"/>
    <s v="Elective"/>
    <d v="2021-06-29T00:00:00"/>
    <s v="Ibuprofen"/>
    <s v="Normal"/>
    <x v="29"/>
  </r>
  <r>
    <x v="821"/>
    <s v="46-55"/>
    <n v="48"/>
    <s v="Female"/>
    <x v="1"/>
    <x v="4"/>
    <x v="650"/>
    <s v="Robert Walker"/>
    <x v="808"/>
    <x v="0"/>
    <x v="826"/>
    <n v="380"/>
    <s v="Urgent"/>
    <d v="2021-07-27T00:00:00"/>
    <s v="Ibuprofen"/>
    <s v="Abnormal"/>
    <x v="19"/>
  </r>
  <r>
    <x v="822"/>
    <s v="66-75"/>
    <n v="75"/>
    <s v="Female"/>
    <x v="2"/>
    <x v="4"/>
    <x v="651"/>
    <s v="Richard Fuller"/>
    <x v="809"/>
    <x v="0"/>
    <x v="827"/>
    <n v="347"/>
    <s v="Urgent"/>
    <d v="2021-03-07T00:00:00"/>
    <s v="Ibuprofen"/>
    <s v="Abnormal"/>
    <x v="28"/>
  </r>
  <r>
    <x v="823"/>
    <s v="46-55"/>
    <n v="54"/>
    <s v="Female"/>
    <x v="3"/>
    <x v="4"/>
    <x v="165"/>
    <s v="Debbie Fritz"/>
    <x v="810"/>
    <x v="4"/>
    <x v="828"/>
    <n v="120"/>
    <s v="Urgent"/>
    <d v="2022-03-12T00:00:00"/>
    <s v="Penicillin"/>
    <s v="Inconclusive"/>
    <x v="16"/>
  </r>
  <r>
    <x v="824"/>
    <s v="36-45"/>
    <n v="45"/>
    <s v="Female"/>
    <x v="3"/>
    <x v="4"/>
    <x v="652"/>
    <s v="Lori Chandler"/>
    <x v="811"/>
    <x v="0"/>
    <x v="829"/>
    <n v="441"/>
    <s v="Urgent"/>
    <d v="2020-07-18T00:00:00"/>
    <s v="Aspirin"/>
    <s v="Inconclusive"/>
    <x v="3"/>
  </r>
  <r>
    <x v="825"/>
    <s v="46-55"/>
    <n v="47"/>
    <s v="Female"/>
    <x v="2"/>
    <x v="4"/>
    <x v="220"/>
    <s v="Penny Moore"/>
    <x v="812"/>
    <x v="1"/>
    <x v="830"/>
    <n v="449"/>
    <s v="Urgent"/>
    <d v="2019-05-18T00:00:00"/>
    <s v="Lipitor"/>
    <s v="Abnormal"/>
    <x v="26"/>
  </r>
  <r>
    <x v="826"/>
    <s v="18-25"/>
    <n v="21"/>
    <s v="Female"/>
    <x v="7"/>
    <x v="4"/>
    <x v="258"/>
    <s v="Katherine George"/>
    <x v="813"/>
    <x v="1"/>
    <x v="831"/>
    <n v="175"/>
    <s v="Urgent"/>
    <d v="2019-12-19T00:00:00"/>
    <s v="Lipitor"/>
    <s v="Normal"/>
    <x v="22"/>
  </r>
  <r>
    <x v="827"/>
    <s v="46-55"/>
    <n v="50"/>
    <s v="Male"/>
    <x v="2"/>
    <x v="4"/>
    <x v="272"/>
    <s v="Bradley Ellis"/>
    <x v="814"/>
    <x v="0"/>
    <x v="832"/>
    <n v="147"/>
    <s v="Elective"/>
    <d v="2021-11-04T00:00:00"/>
    <s v="Paracetamol"/>
    <s v="Inconclusive"/>
    <x v="25"/>
  </r>
  <r>
    <x v="828"/>
    <s v="36-45"/>
    <n v="45"/>
    <s v="Female"/>
    <x v="2"/>
    <x v="4"/>
    <x v="21"/>
    <s v="Jason Boone"/>
    <x v="815"/>
    <x v="1"/>
    <x v="833"/>
    <n v="289"/>
    <s v="Elective"/>
    <d v="2021-01-03T00:00:00"/>
    <s v="Aspirin"/>
    <s v="Normal"/>
    <x v="18"/>
  </r>
  <r>
    <x v="829"/>
    <s v="18-25"/>
    <n v="22"/>
    <s v="Male"/>
    <x v="3"/>
    <x v="4"/>
    <x v="653"/>
    <s v="Troy Kim"/>
    <x v="816"/>
    <x v="1"/>
    <x v="834"/>
    <n v="152"/>
    <s v="Elective"/>
    <d v="2020-09-06T00:00:00"/>
    <s v="Penicillin"/>
    <s v="Inconclusive"/>
    <x v="14"/>
  </r>
  <r>
    <x v="830"/>
    <s v="56-65"/>
    <n v="61"/>
    <s v="Male"/>
    <x v="6"/>
    <x v="4"/>
    <x v="400"/>
    <s v="Seth Lewis"/>
    <x v="817"/>
    <x v="0"/>
    <x v="835"/>
    <n v="459"/>
    <s v="Urgent"/>
    <d v="2019-07-11T00:00:00"/>
    <s v="Paracetamol"/>
    <s v="Abnormal"/>
    <x v="27"/>
  </r>
  <r>
    <x v="831"/>
    <s v="36-45"/>
    <n v="43"/>
    <s v="Male"/>
    <x v="3"/>
    <x v="4"/>
    <x v="654"/>
    <s v="Mark Barnes"/>
    <x v="818"/>
    <x v="1"/>
    <x v="836"/>
    <n v="179"/>
    <s v="Elective"/>
    <d v="2021-04-03T00:00:00"/>
    <s v="Penicillin"/>
    <s v="Inconclusive"/>
    <x v="15"/>
  </r>
  <r>
    <x v="832"/>
    <s v="66-75"/>
    <n v="66"/>
    <s v="Female"/>
    <x v="0"/>
    <x v="4"/>
    <x v="655"/>
    <s v="Tina Jordan"/>
    <x v="819"/>
    <x v="1"/>
    <x v="837"/>
    <n v="391"/>
    <s v="Urgent"/>
    <d v="2020-10-16T00:00:00"/>
    <s v="Paracetamol"/>
    <s v="Normal"/>
    <x v="9"/>
  </r>
  <r>
    <x v="833"/>
    <s v="36-45"/>
    <n v="41"/>
    <s v="Female"/>
    <x v="5"/>
    <x v="4"/>
    <x v="197"/>
    <s v="Laura Webster"/>
    <x v="820"/>
    <x v="2"/>
    <x v="838"/>
    <n v="269"/>
    <s v="Elective"/>
    <d v="2023-07-12T00:00:00"/>
    <s v="Aspirin"/>
    <s v="Abnormal"/>
    <x v="21"/>
  </r>
  <r>
    <x v="834"/>
    <s v="46-55"/>
    <n v="51"/>
    <s v="Male"/>
    <x v="3"/>
    <x v="4"/>
    <x v="656"/>
    <s v="Anne Velazquez"/>
    <x v="821"/>
    <x v="4"/>
    <x v="839"/>
    <n v="353"/>
    <s v="Elective"/>
    <d v="2022-06-04T00:00:00"/>
    <s v="Aspirin"/>
    <s v="Abnormal"/>
    <x v="15"/>
  </r>
  <r>
    <x v="835"/>
    <s v="46-55"/>
    <n v="53"/>
    <s v="Female"/>
    <x v="7"/>
    <x v="4"/>
    <x v="324"/>
    <s v="Cynthia Freeman"/>
    <x v="822"/>
    <x v="0"/>
    <x v="840"/>
    <n v="312"/>
    <s v="Urgent"/>
    <d v="2019-03-28T00:00:00"/>
    <s v="Penicillin"/>
    <s v="Normal"/>
    <x v="8"/>
  </r>
  <r>
    <x v="836"/>
    <s v="46-55"/>
    <n v="47"/>
    <s v="Female"/>
    <x v="3"/>
    <x v="4"/>
    <x v="657"/>
    <s v="Diana Hunt"/>
    <x v="823"/>
    <x v="0"/>
    <x v="841"/>
    <n v="214"/>
    <s v="Elective"/>
    <d v="2020-11-14T00:00:00"/>
    <s v="Lipitor"/>
    <s v="Normal"/>
    <x v="2"/>
  </r>
  <r>
    <x v="837"/>
    <s v="46-55"/>
    <n v="52"/>
    <s v="Male"/>
    <x v="2"/>
    <x v="4"/>
    <x v="73"/>
    <s v="Michael Sullivan"/>
    <x v="824"/>
    <x v="3"/>
    <x v="842"/>
    <n v="226"/>
    <s v="Urgent"/>
    <d v="2021-10-28T00:00:00"/>
    <s v="Penicillin"/>
    <s v="Abnormal"/>
    <x v="29"/>
  </r>
  <r>
    <x v="838"/>
    <s v="56-65"/>
    <n v="62"/>
    <s v="Male"/>
    <x v="2"/>
    <x v="4"/>
    <x v="658"/>
    <s v="Norman Weaver"/>
    <x v="825"/>
    <x v="1"/>
    <x v="843"/>
    <n v="287"/>
    <s v="Urgent"/>
    <d v="2022-07-27T00:00:00"/>
    <s v="Ibuprofen"/>
    <s v="Normal"/>
    <x v="11"/>
  </r>
  <r>
    <x v="839"/>
    <s v="66-75"/>
    <n v="72"/>
    <s v="Male"/>
    <x v="5"/>
    <x v="4"/>
    <x v="659"/>
    <s v="Dr. Jessica Harris MD"/>
    <x v="826"/>
    <x v="0"/>
    <x v="844"/>
    <n v="257"/>
    <s v="Emergency"/>
    <d v="2022-07-26T00:00:00"/>
    <s v="Penicillin"/>
    <s v="Inconclusive"/>
    <x v="25"/>
  </r>
  <r>
    <x v="840"/>
    <s v="46-55"/>
    <n v="55"/>
    <s v="Male"/>
    <x v="1"/>
    <x v="5"/>
    <x v="660"/>
    <s v="Rita Payne"/>
    <x v="827"/>
    <x v="1"/>
    <x v="845"/>
    <n v="401"/>
    <s v="Emergency"/>
    <d v="2021-02-19T00:00:00"/>
    <s v="Paracetamol"/>
    <s v="Abnormal"/>
    <x v="29"/>
  </r>
  <r>
    <x v="841"/>
    <s v="66-75"/>
    <n v="71"/>
    <s v="Female"/>
    <x v="7"/>
    <x v="5"/>
    <x v="103"/>
    <s v="Nicole Miller"/>
    <x v="828"/>
    <x v="2"/>
    <x v="846"/>
    <n v="141"/>
    <s v="Urgent"/>
    <d v="2021-05-26T00:00:00"/>
    <s v="Aspirin"/>
    <s v="Normal"/>
    <x v="7"/>
  </r>
  <r>
    <x v="842"/>
    <s v="36-45"/>
    <n v="40"/>
    <s v="Male"/>
    <x v="2"/>
    <x v="5"/>
    <x v="304"/>
    <s v="Autumn Washington"/>
    <x v="829"/>
    <x v="3"/>
    <x v="847"/>
    <n v="458"/>
    <s v="Urgent"/>
    <d v="2020-07-09T00:00:00"/>
    <s v="Penicillin"/>
    <s v="Inconclusive"/>
    <x v="9"/>
  </r>
  <r>
    <x v="843"/>
    <s v="66-75"/>
    <n v="70"/>
    <s v="Male"/>
    <x v="7"/>
    <x v="5"/>
    <x v="661"/>
    <s v="John Diaz"/>
    <x v="830"/>
    <x v="1"/>
    <x v="848"/>
    <n v="349"/>
    <s v="Urgent"/>
    <d v="2023-05-09T00:00:00"/>
    <s v="Lipitor"/>
    <s v="Inconclusive"/>
    <x v="25"/>
  </r>
  <r>
    <x v="844"/>
    <s v="26-35"/>
    <n v="35"/>
    <s v="Male"/>
    <x v="4"/>
    <x v="5"/>
    <x v="192"/>
    <s v="Deborah Johnson"/>
    <x v="831"/>
    <x v="1"/>
    <x v="849"/>
    <n v="179"/>
    <s v="Elective"/>
    <d v="2020-07-04T00:00:00"/>
    <s v="Paracetamol"/>
    <s v="Normal"/>
    <x v="22"/>
  </r>
  <r>
    <x v="845"/>
    <s v="18-25"/>
    <n v="23"/>
    <s v="Female"/>
    <x v="3"/>
    <x v="5"/>
    <x v="662"/>
    <s v="Amy Carpenter"/>
    <x v="832"/>
    <x v="1"/>
    <x v="850"/>
    <n v="115"/>
    <s v="Emergency"/>
    <d v="2019-04-12T00:00:00"/>
    <s v="Penicillin"/>
    <s v="Inconclusive"/>
    <x v="24"/>
  </r>
  <r>
    <x v="846"/>
    <s v="46-55"/>
    <n v="54"/>
    <s v="Male"/>
    <x v="5"/>
    <x v="5"/>
    <x v="113"/>
    <s v="Jennifer Carlson"/>
    <x v="833"/>
    <x v="3"/>
    <x v="851"/>
    <n v="485"/>
    <s v="Urgent"/>
    <d v="2020-09-19T00:00:00"/>
    <s v="Penicillin"/>
    <s v="Normal"/>
    <x v="20"/>
  </r>
  <r>
    <x v="847"/>
    <s v="26-35"/>
    <n v="29"/>
    <s v="Female"/>
    <x v="0"/>
    <x v="5"/>
    <x v="663"/>
    <s v="Mary Gonzales"/>
    <x v="834"/>
    <x v="2"/>
    <x v="852"/>
    <n v="411"/>
    <s v="Emergency"/>
    <d v="2023-03-22T00:00:00"/>
    <s v="Ibuprofen"/>
    <s v="Inconclusive"/>
    <x v="25"/>
  </r>
  <r>
    <x v="848"/>
    <s v="46-55"/>
    <n v="53"/>
    <s v="Male"/>
    <x v="6"/>
    <x v="5"/>
    <x v="664"/>
    <s v="Heather Livingston"/>
    <x v="835"/>
    <x v="3"/>
    <x v="853"/>
    <n v="364"/>
    <s v="Elective"/>
    <d v="2018-12-15T00:00:00"/>
    <s v="Lipitor"/>
    <s v="Abnormal"/>
    <x v="22"/>
  </r>
  <r>
    <x v="849"/>
    <s v="66-75"/>
    <n v="67"/>
    <s v="Male"/>
    <x v="6"/>
    <x v="5"/>
    <x v="665"/>
    <s v="Jason Smith"/>
    <x v="836"/>
    <x v="1"/>
    <x v="854"/>
    <n v="303"/>
    <s v="Urgent"/>
    <d v="2022-06-09T00:00:00"/>
    <s v="Penicillin"/>
    <s v="Inconclusive"/>
    <x v="20"/>
  </r>
  <r>
    <x v="850"/>
    <s v="36-45"/>
    <n v="37"/>
    <s v="Female"/>
    <x v="6"/>
    <x v="5"/>
    <x v="666"/>
    <s v="Theresa Brown"/>
    <x v="837"/>
    <x v="2"/>
    <x v="855"/>
    <n v="411"/>
    <s v="Emergency"/>
    <d v="2020-06-05T00:00:00"/>
    <s v="Paracetamol"/>
    <s v="Normal"/>
    <x v="13"/>
  </r>
  <r>
    <x v="851"/>
    <s v="56-65"/>
    <n v="57"/>
    <s v="Male"/>
    <x v="2"/>
    <x v="5"/>
    <x v="667"/>
    <s v="Cheryl Robles"/>
    <x v="838"/>
    <x v="0"/>
    <x v="856"/>
    <n v="133"/>
    <s v="Emergency"/>
    <d v="2022-07-03T00:00:00"/>
    <s v="Lipitor"/>
    <s v="Inconclusive"/>
    <x v="23"/>
  </r>
  <r>
    <x v="852"/>
    <s v="66-75"/>
    <n v="70"/>
    <s v="Female"/>
    <x v="1"/>
    <x v="5"/>
    <x v="668"/>
    <s v="Samuel Taylor"/>
    <x v="839"/>
    <x v="2"/>
    <x v="857"/>
    <n v="258"/>
    <s v="Emergency"/>
    <d v="2022-09-18T00:00:00"/>
    <s v="Paracetamol"/>
    <s v="Abnormal"/>
    <x v="14"/>
  </r>
  <r>
    <x v="853"/>
    <s v="56-65"/>
    <n v="57"/>
    <s v="Male"/>
    <x v="0"/>
    <x v="5"/>
    <x v="669"/>
    <s v="Caleb Rasmussen"/>
    <x v="840"/>
    <x v="2"/>
    <x v="858"/>
    <n v="358"/>
    <s v="Elective"/>
    <d v="2022-05-22T00:00:00"/>
    <s v="Ibuprofen"/>
    <s v="Normal"/>
    <x v="29"/>
  </r>
  <r>
    <x v="854"/>
    <s v="56-65"/>
    <n v="61"/>
    <s v="Female"/>
    <x v="4"/>
    <x v="5"/>
    <x v="670"/>
    <s v="Sherry Sharp"/>
    <x v="841"/>
    <x v="3"/>
    <x v="859"/>
    <n v="263"/>
    <s v="Elective"/>
    <d v="2023-06-15T00:00:00"/>
    <s v="Paracetamol"/>
    <s v="Inconclusive"/>
    <x v="27"/>
  </r>
  <r>
    <x v="855"/>
    <s v="46-55"/>
    <n v="54"/>
    <s v="Male"/>
    <x v="7"/>
    <x v="5"/>
    <x v="671"/>
    <s v="Janice Lee"/>
    <x v="842"/>
    <x v="0"/>
    <x v="860"/>
    <n v="295"/>
    <s v="Emergency"/>
    <d v="2022-07-12T00:00:00"/>
    <s v="Ibuprofen"/>
    <s v="Inconclusive"/>
    <x v="0"/>
  </r>
  <r>
    <x v="856"/>
    <s v="46-55"/>
    <n v="52"/>
    <s v="Female"/>
    <x v="2"/>
    <x v="5"/>
    <x v="672"/>
    <s v="Nicole Carter"/>
    <x v="843"/>
    <x v="2"/>
    <x v="861"/>
    <n v="215"/>
    <s v="Emergency"/>
    <d v="2021-09-04T00:00:00"/>
    <s v="Paracetamol"/>
    <s v="Inconclusive"/>
    <x v="7"/>
  </r>
  <r>
    <x v="857"/>
    <s v="26-35"/>
    <n v="33"/>
    <s v="Female"/>
    <x v="6"/>
    <x v="5"/>
    <x v="673"/>
    <s v="Jennifer Monroe"/>
    <x v="844"/>
    <x v="3"/>
    <x v="862"/>
    <n v="333"/>
    <s v="Urgent"/>
    <d v="2020-10-22T00:00:00"/>
    <s v="Paracetamol"/>
    <s v="Normal"/>
    <x v="5"/>
  </r>
  <r>
    <x v="858"/>
    <s v="56-65"/>
    <n v="58"/>
    <s v="Male"/>
    <x v="6"/>
    <x v="5"/>
    <x v="674"/>
    <s v="Michael Solis"/>
    <x v="845"/>
    <x v="0"/>
    <x v="863"/>
    <n v="428"/>
    <s v="Elective"/>
    <d v="2019-08-25T00:00:00"/>
    <s v="Lipitor"/>
    <s v="Abnormal"/>
    <x v="3"/>
  </r>
  <r>
    <x v="859"/>
    <s v="76-85"/>
    <n v="79"/>
    <s v="Male"/>
    <x v="2"/>
    <x v="5"/>
    <x v="675"/>
    <s v="Kari Patrick"/>
    <x v="846"/>
    <x v="4"/>
    <x v="864"/>
    <n v="264"/>
    <s v="Urgent"/>
    <d v="2021-02-14T00:00:00"/>
    <s v="Lipitor"/>
    <s v="Inconclusive"/>
    <x v="19"/>
  </r>
  <r>
    <x v="860"/>
    <s v="56-65"/>
    <n v="63"/>
    <s v="Female"/>
    <x v="3"/>
    <x v="5"/>
    <x v="676"/>
    <s v="Megan Torres"/>
    <x v="847"/>
    <x v="2"/>
    <x v="865"/>
    <n v="124"/>
    <s v="Urgent"/>
    <d v="2023-05-11T00:00:00"/>
    <s v="Paracetamol"/>
    <s v="Normal"/>
    <x v="4"/>
  </r>
  <r>
    <x v="861"/>
    <s v="66-75"/>
    <n v="75"/>
    <s v="Female"/>
    <x v="5"/>
    <x v="5"/>
    <x v="265"/>
    <s v="Jessica Rodriguez"/>
    <x v="848"/>
    <x v="3"/>
    <x v="866"/>
    <n v="369"/>
    <s v="Elective"/>
    <d v="2020-03-11T00:00:00"/>
    <s v="Lipitor"/>
    <s v="Normal"/>
    <x v="20"/>
  </r>
  <r>
    <x v="862"/>
    <s v="66-75"/>
    <n v="70"/>
    <s v="Female"/>
    <x v="4"/>
    <x v="5"/>
    <x v="677"/>
    <s v="Alexander Shelton"/>
    <x v="849"/>
    <x v="3"/>
    <x v="867"/>
    <n v="275"/>
    <s v="Elective"/>
    <d v="2022-05-12T00:00:00"/>
    <s v="Penicillin"/>
    <s v="Normal"/>
    <x v="13"/>
  </r>
  <r>
    <x v="863"/>
    <s v="76-85"/>
    <n v="84"/>
    <s v="Male"/>
    <x v="0"/>
    <x v="5"/>
    <x v="678"/>
    <s v="Amanda James"/>
    <x v="433"/>
    <x v="4"/>
    <x v="868"/>
    <n v="277"/>
    <s v="Emergency"/>
    <d v="2019-02-07T00:00:00"/>
    <s v="Penicillin"/>
    <s v="Normal"/>
    <x v="20"/>
  </r>
  <r>
    <x v="864"/>
    <s v="56-65"/>
    <n v="61"/>
    <s v="Male"/>
    <x v="4"/>
    <x v="5"/>
    <x v="679"/>
    <s v="Paul Baker"/>
    <x v="850"/>
    <x v="2"/>
    <x v="869"/>
    <n v="292"/>
    <s v="Emergency"/>
    <d v="2019-02-08T00:00:00"/>
    <s v="Lipitor"/>
    <s v="Normal"/>
    <x v="3"/>
  </r>
  <r>
    <x v="20"/>
    <s v="76-85"/>
    <n v="80"/>
    <s v="Male"/>
    <x v="6"/>
    <x v="5"/>
    <x v="382"/>
    <s v="Julie Carr"/>
    <x v="259"/>
    <x v="1"/>
    <x v="870"/>
    <n v="394"/>
    <s v="Urgent"/>
    <d v="2021-07-09T00:00:00"/>
    <s v="Ibuprofen"/>
    <s v="Inconclusive"/>
    <x v="23"/>
  </r>
  <r>
    <x v="865"/>
    <s v="26-35"/>
    <n v="27"/>
    <s v="Female"/>
    <x v="0"/>
    <x v="5"/>
    <x v="4"/>
    <s v="Carl Sanders"/>
    <x v="851"/>
    <x v="0"/>
    <x v="871"/>
    <n v="118"/>
    <s v="Emergency"/>
    <d v="2023-09-23T00:00:00"/>
    <s v="Lipitor"/>
    <s v="Inconclusive"/>
    <x v="18"/>
  </r>
  <r>
    <x v="866"/>
    <s v="36-45"/>
    <n v="36"/>
    <s v="Male"/>
    <x v="5"/>
    <x v="5"/>
    <x v="680"/>
    <s v="Terry Berger"/>
    <x v="782"/>
    <x v="3"/>
    <x v="872"/>
    <n v="443"/>
    <s v="Elective"/>
    <d v="2022-09-20T00:00:00"/>
    <s v="Aspirin"/>
    <s v="Normal"/>
    <x v="17"/>
  </r>
  <r>
    <x v="867"/>
    <s v="66-75"/>
    <n v="69"/>
    <s v="Female"/>
    <x v="3"/>
    <x v="5"/>
    <x v="48"/>
    <s v="Susan Franklin"/>
    <x v="852"/>
    <x v="4"/>
    <x v="873"/>
    <n v="292"/>
    <s v="Elective"/>
    <d v="2021-06-13T00:00:00"/>
    <s v="Aspirin"/>
    <s v="Normal"/>
    <x v="28"/>
  </r>
  <r>
    <x v="868"/>
    <s v="76-85"/>
    <n v="81"/>
    <s v="Male"/>
    <x v="7"/>
    <x v="5"/>
    <x v="681"/>
    <s v="William Martinez"/>
    <x v="853"/>
    <x v="4"/>
    <x v="874"/>
    <n v="329"/>
    <s v="Urgent"/>
    <d v="2023-05-01T00:00:00"/>
    <s v="Penicillin"/>
    <s v="Normal"/>
    <x v="16"/>
  </r>
  <r>
    <x v="869"/>
    <s v="76-85"/>
    <n v="82"/>
    <s v="Female"/>
    <x v="6"/>
    <x v="5"/>
    <x v="587"/>
    <s v="Thomas Hutchinson"/>
    <x v="854"/>
    <x v="2"/>
    <x v="875"/>
    <n v="343"/>
    <s v="Urgent"/>
    <d v="2022-01-08T00:00:00"/>
    <s v="Paracetamol"/>
    <s v="Normal"/>
    <x v="19"/>
  </r>
  <r>
    <x v="870"/>
    <s v="46-55"/>
    <n v="51"/>
    <s v="Male"/>
    <x v="4"/>
    <x v="5"/>
    <x v="495"/>
    <s v="Todd Jackson"/>
    <x v="855"/>
    <x v="3"/>
    <x v="876"/>
    <n v="311"/>
    <s v="Urgent"/>
    <d v="2020-09-25T00:00:00"/>
    <s v="Paracetamol"/>
    <s v="Normal"/>
    <x v="5"/>
  </r>
  <r>
    <x v="871"/>
    <s v="26-35"/>
    <n v="30"/>
    <s v="Male"/>
    <x v="4"/>
    <x v="5"/>
    <x v="682"/>
    <s v="Rachel Roberts"/>
    <x v="5"/>
    <x v="3"/>
    <x v="877"/>
    <n v="223"/>
    <s v="Emergency"/>
    <d v="2020-03-22T00:00:00"/>
    <s v="Penicillin"/>
    <s v="Abnormal"/>
    <x v="0"/>
  </r>
  <r>
    <x v="872"/>
    <s v="46-55"/>
    <n v="53"/>
    <s v="Female"/>
    <x v="4"/>
    <x v="5"/>
    <x v="683"/>
    <s v="Juan Jordan"/>
    <x v="856"/>
    <x v="1"/>
    <x v="878"/>
    <n v="349"/>
    <s v="Urgent"/>
    <d v="2022-04-03T00:00:00"/>
    <s v="Lipitor"/>
    <s v="Normal"/>
    <x v="6"/>
  </r>
  <r>
    <x v="873"/>
    <s v="26-35"/>
    <n v="26"/>
    <s v="Female"/>
    <x v="4"/>
    <x v="5"/>
    <x v="168"/>
    <s v="Christina Flores"/>
    <x v="857"/>
    <x v="4"/>
    <x v="879"/>
    <n v="292"/>
    <s v="Urgent"/>
    <d v="2021-06-23T00:00:00"/>
    <s v="Paracetamol"/>
    <s v="Abnormal"/>
    <x v="13"/>
  </r>
  <r>
    <x v="874"/>
    <s v="26-35"/>
    <n v="31"/>
    <s v="Female"/>
    <x v="2"/>
    <x v="5"/>
    <x v="684"/>
    <s v="Kelly Neal"/>
    <x v="858"/>
    <x v="2"/>
    <x v="880"/>
    <n v="334"/>
    <s v="Emergency"/>
    <d v="2022-11-09T00:00:00"/>
    <s v="Lipitor"/>
    <s v="Abnormal"/>
    <x v="17"/>
  </r>
  <r>
    <x v="875"/>
    <s v="66-75"/>
    <n v="67"/>
    <s v="Male"/>
    <x v="7"/>
    <x v="5"/>
    <x v="685"/>
    <s v="Melissa Cervantes"/>
    <x v="859"/>
    <x v="4"/>
    <x v="881"/>
    <n v="323"/>
    <s v="Emergency"/>
    <d v="2020-12-11T00:00:00"/>
    <s v="Lipitor"/>
    <s v="Inconclusive"/>
    <x v="6"/>
  </r>
  <r>
    <x v="876"/>
    <s v="56-65"/>
    <n v="56"/>
    <s v="Male"/>
    <x v="3"/>
    <x v="5"/>
    <x v="686"/>
    <s v="Douglas Contreras"/>
    <x v="860"/>
    <x v="4"/>
    <x v="882"/>
    <n v="114"/>
    <s v="Urgent"/>
    <d v="2023-02-22T00:00:00"/>
    <s v="Aspirin"/>
    <s v="Inconclusive"/>
    <x v="25"/>
  </r>
  <r>
    <x v="877"/>
    <s v="56-65"/>
    <n v="59"/>
    <s v="Male"/>
    <x v="1"/>
    <x v="5"/>
    <x v="687"/>
    <s v="Jeremy Mills"/>
    <x v="861"/>
    <x v="3"/>
    <x v="883"/>
    <n v="461"/>
    <s v="Elective"/>
    <d v="2023-08-19T00:00:00"/>
    <s v="Penicillin"/>
    <s v="Abnormal"/>
    <x v="12"/>
  </r>
  <r>
    <x v="878"/>
    <s v="66-75"/>
    <n v="66"/>
    <s v="Male"/>
    <x v="6"/>
    <x v="5"/>
    <x v="688"/>
    <s v="Megan Sanders"/>
    <x v="862"/>
    <x v="4"/>
    <x v="884"/>
    <n v="125"/>
    <s v="Elective"/>
    <d v="2022-06-29T00:00:00"/>
    <s v="Aspirin"/>
    <s v="Inconclusive"/>
    <x v="5"/>
  </r>
  <r>
    <x v="879"/>
    <s v="56-65"/>
    <n v="58"/>
    <s v="Female"/>
    <x v="7"/>
    <x v="5"/>
    <x v="689"/>
    <s v="Leslie Walls"/>
    <x v="863"/>
    <x v="2"/>
    <x v="885"/>
    <n v="420"/>
    <s v="Elective"/>
    <d v="2021-09-28T00:00:00"/>
    <s v="Penicillin"/>
    <s v="Normal"/>
    <x v="23"/>
  </r>
  <r>
    <x v="880"/>
    <s v="76-85"/>
    <n v="84"/>
    <s v="Female"/>
    <x v="5"/>
    <x v="5"/>
    <x v="690"/>
    <s v="Jacob White"/>
    <x v="864"/>
    <x v="2"/>
    <x v="886"/>
    <n v="340"/>
    <s v="Elective"/>
    <d v="2022-03-29T00:00:00"/>
    <s v="Penicillin"/>
    <s v="Inconclusive"/>
    <x v="17"/>
  </r>
  <r>
    <x v="881"/>
    <s v="66-75"/>
    <n v="73"/>
    <s v="Female"/>
    <x v="1"/>
    <x v="5"/>
    <x v="524"/>
    <s v="Brianna Cervantes"/>
    <x v="865"/>
    <x v="1"/>
    <x v="887"/>
    <n v="369"/>
    <s v="Emergency"/>
    <d v="2022-11-26T00:00:00"/>
    <s v="Lipitor"/>
    <s v="Normal"/>
    <x v="19"/>
  </r>
  <r>
    <x v="882"/>
    <s v="56-65"/>
    <n v="59"/>
    <s v="Male"/>
    <x v="2"/>
    <x v="5"/>
    <x v="409"/>
    <s v="Gerald Green"/>
    <x v="866"/>
    <x v="4"/>
    <x v="888"/>
    <n v="208"/>
    <s v="Emergency"/>
    <d v="2022-08-30T00:00:00"/>
    <s v="Lipitor"/>
    <s v="Inconclusive"/>
    <x v="22"/>
  </r>
  <r>
    <x v="883"/>
    <s v="76-85"/>
    <n v="78"/>
    <s v="Male"/>
    <x v="0"/>
    <x v="5"/>
    <x v="446"/>
    <s v="Erin Scott"/>
    <x v="867"/>
    <x v="4"/>
    <x v="889"/>
    <n v="331"/>
    <s v="Elective"/>
    <d v="2021-10-03T00:00:00"/>
    <s v="Lipitor"/>
    <s v="Abnormal"/>
    <x v="1"/>
  </r>
  <r>
    <x v="884"/>
    <s v="36-45"/>
    <n v="42"/>
    <s v="Female"/>
    <x v="7"/>
    <x v="5"/>
    <x v="435"/>
    <s v="Robin Rodriguez"/>
    <x v="868"/>
    <x v="2"/>
    <x v="890"/>
    <n v="199"/>
    <s v="Emergency"/>
    <d v="2021-03-06T00:00:00"/>
    <s v="Aspirin"/>
    <s v="Normal"/>
    <x v="13"/>
  </r>
  <r>
    <x v="885"/>
    <s v="66-75"/>
    <n v="70"/>
    <s v="Male"/>
    <x v="1"/>
    <x v="5"/>
    <x v="691"/>
    <s v="Kyle Estrada"/>
    <x v="869"/>
    <x v="3"/>
    <x v="891"/>
    <n v="271"/>
    <s v="Urgent"/>
    <d v="2023-09-12T00:00:00"/>
    <s v="Ibuprofen"/>
    <s v="Inconclusive"/>
    <x v="7"/>
  </r>
  <r>
    <x v="886"/>
    <s v="56-65"/>
    <n v="61"/>
    <s v="Female"/>
    <x v="5"/>
    <x v="5"/>
    <x v="692"/>
    <s v="Jesus Snyder"/>
    <x v="870"/>
    <x v="3"/>
    <x v="892"/>
    <n v="317"/>
    <s v="Emergency"/>
    <d v="2019-11-19T00:00:00"/>
    <s v="Penicillin"/>
    <s v="Inconclusive"/>
    <x v="22"/>
  </r>
  <r>
    <x v="887"/>
    <s v="36-45"/>
    <n v="39"/>
    <s v="Female"/>
    <x v="1"/>
    <x v="5"/>
    <x v="693"/>
    <s v="Michael Gonzalez"/>
    <x v="871"/>
    <x v="3"/>
    <x v="893"/>
    <n v="199"/>
    <s v="Elective"/>
    <d v="2020-07-26T00:00:00"/>
    <s v="Lipitor"/>
    <s v="Normal"/>
    <x v="15"/>
  </r>
  <r>
    <x v="888"/>
    <s v="46-55"/>
    <n v="54"/>
    <s v="Female"/>
    <x v="3"/>
    <x v="5"/>
    <x v="340"/>
    <s v="Tony Hawkins"/>
    <x v="872"/>
    <x v="3"/>
    <x v="894"/>
    <n v="164"/>
    <s v="Emergency"/>
    <d v="2021-05-30T00:00:00"/>
    <s v="Aspirin"/>
    <s v="Inconclusive"/>
    <x v="20"/>
  </r>
  <r>
    <x v="889"/>
    <s v="18-25"/>
    <n v="20"/>
    <s v="Male"/>
    <x v="7"/>
    <x v="5"/>
    <x v="694"/>
    <s v="Michelle Guzman"/>
    <x v="873"/>
    <x v="2"/>
    <x v="895"/>
    <n v="375"/>
    <s v="Emergency"/>
    <d v="2022-04-30T00:00:00"/>
    <s v="Lipitor"/>
    <s v="Normal"/>
    <x v="24"/>
  </r>
  <r>
    <x v="890"/>
    <s v="46-55"/>
    <n v="51"/>
    <s v="Male"/>
    <x v="4"/>
    <x v="5"/>
    <x v="695"/>
    <s v="Nicole Wood"/>
    <x v="874"/>
    <x v="2"/>
    <x v="896"/>
    <n v="130"/>
    <s v="Emergency"/>
    <d v="2022-11-01T00:00:00"/>
    <s v="Lipitor"/>
    <s v="Abnormal"/>
    <x v="17"/>
  </r>
  <r>
    <x v="891"/>
    <s v="76-85"/>
    <n v="81"/>
    <s v="Male"/>
    <x v="6"/>
    <x v="5"/>
    <x v="696"/>
    <s v="David Smith"/>
    <x v="875"/>
    <x v="2"/>
    <x v="897"/>
    <n v="497"/>
    <s v="Urgent"/>
    <d v="2020-02-15T00:00:00"/>
    <s v="Lipitor"/>
    <s v="Abnormal"/>
    <x v="26"/>
  </r>
  <r>
    <x v="233"/>
    <s v="26-35"/>
    <n v="32"/>
    <s v="Male"/>
    <x v="6"/>
    <x v="5"/>
    <x v="697"/>
    <s v="Troy Parker"/>
    <x v="876"/>
    <x v="2"/>
    <x v="898"/>
    <n v="382"/>
    <s v="Urgent"/>
    <d v="2023-07-15T00:00:00"/>
    <s v="Penicillin"/>
    <s v="Inconclusive"/>
    <x v="17"/>
  </r>
  <r>
    <x v="892"/>
    <s v="76-85"/>
    <n v="76"/>
    <s v="Male"/>
    <x v="3"/>
    <x v="5"/>
    <x v="698"/>
    <s v="William Meza"/>
    <x v="877"/>
    <x v="4"/>
    <x v="899"/>
    <n v="103"/>
    <s v="Urgent"/>
    <d v="2023-05-27T00:00:00"/>
    <s v="Lipitor"/>
    <s v="Inconclusive"/>
    <x v="12"/>
  </r>
  <r>
    <x v="893"/>
    <s v="46-55"/>
    <n v="46"/>
    <s v="Female"/>
    <x v="4"/>
    <x v="5"/>
    <x v="699"/>
    <s v="Robert Brown"/>
    <x v="878"/>
    <x v="4"/>
    <x v="900"/>
    <n v="200"/>
    <s v="Urgent"/>
    <d v="2023-08-18T00:00:00"/>
    <s v="Ibuprofen"/>
    <s v="Inconclusive"/>
    <x v="25"/>
  </r>
  <r>
    <x v="894"/>
    <s v="56-65"/>
    <n v="65"/>
    <s v="Male"/>
    <x v="4"/>
    <x v="5"/>
    <x v="700"/>
    <s v="Mindy Bell"/>
    <x v="879"/>
    <x v="2"/>
    <x v="901"/>
    <n v="338"/>
    <s v="Urgent"/>
    <d v="2021-02-02T00:00:00"/>
    <s v="Aspirin"/>
    <s v="Abnormal"/>
    <x v="27"/>
  </r>
  <r>
    <x v="895"/>
    <s v="66-75"/>
    <n v="69"/>
    <s v="Female"/>
    <x v="6"/>
    <x v="5"/>
    <x v="550"/>
    <s v="Andrea Nguyen"/>
    <x v="880"/>
    <x v="2"/>
    <x v="902"/>
    <n v="217"/>
    <s v="Urgent"/>
    <d v="2019-09-23T00:00:00"/>
    <s v="Aspirin"/>
    <s v="Inconclusive"/>
    <x v="6"/>
  </r>
  <r>
    <x v="896"/>
    <s v="66-75"/>
    <n v="75"/>
    <s v="Female"/>
    <x v="4"/>
    <x v="5"/>
    <x v="620"/>
    <s v="Jeffrey Bush"/>
    <x v="881"/>
    <x v="3"/>
    <x v="903"/>
    <n v="489"/>
    <s v="Emergency"/>
    <d v="2022-07-06T00:00:00"/>
    <s v="Penicillin"/>
    <s v="Abnormal"/>
    <x v="4"/>
  </r>
  <r>
    <x v="897"/>
    <s v="18-25"/>
    <n v="20"/>
    <s v="Female"/>
    <x v="7"/>
    <x v="5"/>
    <x v="701"/>
    <s v="David Fowler"/>
    <x v="882"/>
    <x v="1"/>
    <x v="904"/>
    <n v="470"/>
    <s v="Urgent"/>
    <d v="2022-08-14T00:00:00"/>
    <s v="Aspirin"/>
    <s v="Abnormal"/>
    <x v="4"/>
  </r>
  <r>
    <x v="898"/>
    <s v="66-75"/>
    <n v="69"/>
    <s v="Female"/>
    <x v="3"/>
    <x v="5"/>
    <x v="539"/>
    <s v="Jessica Cook"/>
    <x v="883"/>
    <x v="3"/>
    <x v="905"/>
    <n v="394"/>
    <s v="Emergency"/>
    <d v="2020-01-12T00:00:00"/>
    <s v="Aspirin"/>
    <s v="Normal"/>
    <x v="10"/>
  </r>
  <r>
    <x v="899"/>
    <s v="66-75"/>
    <n v="70"/>
    <s v="Female"/>
    <x v="2"/>
    <x v="5"/>
    <x v="702"/>
    <s v="Christopher Russell"/>
    <x v="884"/>
    <x v="3"/>
    <x v="906"/>
    <n v="257"/>
    <s v="Emergency"/>
    <d v="2019-07-25T00:00:00"/>
    <s v="Paracetamol"/>
    <s v="Normal"/>
    <x v="8"/>
  </r>
  <r>
    <x v="900"/>
    <s v="66-75"/>
    <n v="74"/>
    <s v="Female"/>
    <x v="1"/>
    <x v="5"/>
    <x v="703"/>
    <s v="Donna Hicks"/>
    <x v="226"/>
    <x v="3"/>
    <x v="907"/>
    <n v="229"/>
    <s v="Elective"/>
    <d v="2020-08-31T00:00:00"/>
    <s v="Paracetamol"/>
    <s v="Normal"/>
    <x v="5"/>
  </r>
  <r>
    <x v="901"/>
    <s v="36-45"/>
    <n v="37"/>
    <s v="Male"/>
    <x v="2"/>
    <x v="5"/>
    <x v="704"/>
    <s v="Larry Guzman"/>
    <x v="480"/>
    <x v="3"/>
    <x v="908"/>
    <n v="182"/>
    <s v="Emergency"/>
    <d v="2019-07-24T00:00:00"/>
    <s v="Ibuprofen"/>
    <s v="Normal"/>
    <x v="29"/>
  </r>
  <r>
    <x v="902"/>
    <s v="46-55"/>
    <n v="51"/>
    <s v="Female"/>
    <x v="1"/>
    <x v="5"/>
    <x v="705"/>
    <s v="Kimberly Valentine"/>
    <x v="885"/>
    <x v="4"/>
    <x v="909"/>
    <n v="225"/>
    <s v="Elective"/>
    <d v="2023-02-12T00:00:00"/>
    <s v="Penicillin"/>
    <s v="Abnormal"/>
    <x v="0"/>
  </r>
  <r>
    <x v="903"/>
    <s v="36-45"/>
    <n v="41"/>
    <s v="Female"/>
    <x v="5"/>
    <x v="5"/>
    <x v="493"/>
    <s v="Rebecca Morales"/>
    <x v="886"/>
    <x v="1"/>
    <x v="910"/>
    <n v="243"/>
    <s v="Elective"/>
    <d v="2023-04-14T00:00:00"/>
    <s v="Paracetamol"/>
    <s v="Normal"/>
    <x v="6"/>
  </r>
  <r>
    <x v="904"/>
    <s v="66-75"/>
    <n v="71"/>
    <s v="Male"/>
    <x v="2"/>
    <x v="5"/>
    <x v="706"/>
    <s v="Lucas Clark"/>
    <x v="887"/>
    <x v="4"/>
    <x v="911"/>
    <n v="253"/>
    <s v="Urgent"/>
    <d v="2023-09-30T00:00:00"/>
    <s v="Lipitor"/>
    <s v="Abnormal"/>
    <x v="20"/>
  </r>
  <r>
    <x v="905"/>
    <s v="76-85"/>
    <n v="83"/>
    <s v="Female"/>
    <x v="2"/>
    <x v="5"/>
    <x v="707"/>
    <s v="Jacob Friedman"/>
    <x v="888"/>
    <x v="3"/>
    <x v="912"/>
    <n v="170"/>
    <s v="Urgent"/>
    <d v="2023-02-21T00:00:00"/>
    <s v="Ibuprofen"/>
    <s v="Abnormal"/>
    <x v="20"/>
  </r>
  <r>
    <x v="906"/>
    <s v="36-45"/>
    <n v="38"/>
    <s v="Female"/>
    <x v="2"/>
    <x v="5"/>
    <x v="708"/>
    <s v="Joanne Owen"/>
    <x v="889"/>
    <x v="0"/>
    <x v="913"/>
    <n v="458"/>
    <s v="Elective"/>
    <d v="2021-11-12T00:00:00"/>
    <s v="Ibuprofen"/>
    <s v="Inconclusive"/>
    <x v="8"/>
  </r>
  <r>
    <x v="907"/>
    <s v="66-75"/>
    <n v="74"/>
    <s v="Female"/>
    <x v="3"/>
    <x v="5"/>
    <x v="709"/>
    <s v="Rhonda Adams"/>
    <x v="890"/>
    <x v="2"/>
    <x v="914"/>
    <n v="489"/>
    <s v="Emergency"/>
    <d v="2021-04-27T00:00:00"/>
    <s v="Aspirin"/>
    <s v="Normal"/>
    <x v="26"/>
  </r>
  <r>
    <x v="908"/>
    <s v="66-75"/>
    <n v="73"/>
    <s v="Female"/>
    <x v="5"/>
    <x v="5"/>
    <x v="710"/>
    <s v="Laura Ortiz"/>
    <x v="891"/>
    <x v="1"/>
    <x v="915"/>
    <n v="308"/>
    <s v="Elective"/>
    <d v="2021-01-05T00:00:00"/>
    <s v="Ibuprofen"/>
    <s v="Normal"/>
    <x v="3"/>
  </r>
  <r>
    <x v="909"/>
    <s v="56-65"/>
    <n v="59"/>
    <s v="Female"/>
    <x v="4"/>
    <x v="5"/>
    <x v="73"/>
    <s v="Tiffany Perry"/>
    <x v="892"/>
    <x v="2"/>
    <x v="916"/>
    <n v="417"/>
    <s v="Urgent"/>
    <d v="2021-10-05T00:00:00"/>
    <s v="Aspirin"/>
    <s v="Inconclusive"/>
    <x v="28"/>
  </r>
  <r>
    <x v="910"/>
    <s v="76-85"/>
    <n v="81"/>
    <s v="Female"/>
    <x v="3"/>
    <x v="5"/>
    <x v="314"/>
    <s v="Vicki Merritt"/>
    <x v="893"/>
    <x v="1"/>
    <x v="917"/>
    <n v="451"/>
    <s v="Elective"/>
    <d v="2023-05-22T00:00:00"/>
    <s v="Lipitor"/>
    <s v="Abnormal"/>
    <x v="2"/>
  </r>
  <r>
    <x v="911"/>
    <s v="46-55"/>
    <n v="51"/>
    <s v="Female"/>
    <x v="0"/>
    <x v="5"/>
    <x v="711"/>
    <s v="Amy Bush"/>
    <x v="894"/>
    <x v="3"/>
    <x v="918"/>
    <n v="252"/>
    <s v="Urgent"/>
    <d v="2023-09-10T00:00:00"/>
    <s v="Ibuprofen"/>
    <s v="Abnormal"/>
    <x v="16"/>
  </r>
  <r>
    <x v="912"/>
    <s v="56-65"/>
    <n v="57"/>
    <s v="Female"/>
    <x v="2"/>
    <x v="5"/>
    <x v="187"/>
    <s v="Melissa Nguyen"/>
    <x v="895"/>
    <x v="3"/>
    <x v="919"/>
    <n v="366"/>
    <s v="Urgent"/>
    <d v="2019-03-25T00:00:00"/>
    <s v="Ibuprofen"/>
    <s v="Inconclusive"/>
    <x v="26"/>
  </r>
  <r>
    <x v="913"/>
    <s v="26-35"/>
    <n v="31"/>
    <s v="Female"/>
    <x v="3"/>
    <x v="5"/>
    <x v="712"/>
    <s v="Nicole Holland"/>
    <x v="896"/>
    <x v="0"/>
    <x v="920"/>
    <n v="398"/>
    <s v="Emergency"/>
    <d v="2020-06-18T00:00:00"/>
    <s v="Aspirin"/>
    <s v="Normal"/>
    <x v="7"/>
  </r>
  <r>
    <x v="914"/>
    <s v="56-65"/>
    <n v="59"/>
    <s v="Female"/>
    <x v="3"/>
    <x v="5"/>
    <x v="713"/>
    <s v="Jordan Gonzales"/>
    <x v="897"/>
    <x v="1"/>
    <x v="921"/>
    <n v="266"/>
    <s v="Urgent"/>
    <d v="2023-05-20T00:00:00"/>
    <s v="Penicillin"/>
    <s v="Normal"/>
    <x v="29"/>
  </r>
  <r>
    <x v="915"/>
    <s v="56-65"/>
    <n v="58"/>
    <s v="Female"/>
    <x v="4"/>
    <x v="5"/>
    <x v="714"/>
    <s v="Blake Young"/>
    <x v="898"/>
    <x v="2"/>
    <x v="922"/>
    <n v="323"/>
    <s v="Emergency"/>
    <d v="2019-03-13T00:00:00"/>
    <s v="Aspirin"/>
    <s v="Abnormal"/>
    <x v="19"/>
  </r>
  <r>
    <x v="916"/>
    <s v="36-45"/>
    <n v="41"/>
    <s v="Male"/>
    <x v="0"/>
    <x v="5"/>
    <x v="63"/>
    <s v="Wanda Meyers"/>
    <x v="899"/>
    <x v="4"/>
    <x v="923"/>
    <n v="299"/>
    <s v="Elective"/>
    <d v="2019-11-07T00:00:00"/>
    <s v="Penicillin"/>
    <s v="Abnormal"/>
    <x v="26"/>
  </r>
  <r>
    <x v="917"/>
    <s v="66-75"/>
    <n v="68"/>
    <s v="Female"/>
    <x v="0"/>
    <x v="5"/>
    <x v="238"/>
    <s v="Jonathan Good"/>
    <x v="900"/>
    <x v="3"/>
    <x v="924"/>
    <n v="315"/>
    <s v="Urgent"/>
    <d v="2020-04-04T00:00:00"/>
    <s v="Penicillin"/>
    <s v="Inconclusive"/>
    <x v="4"/>
  </r>
  <r>
    <x v="918"/>
    <s v="76-85"/>
    <n v="79"/>
    <s v="Female"/>
    <x v="2"/>
    <x v="5"/>
    <x v="265"/>
    <s v="Amber Madden"/>
    <x v="901"/>
    <x v="2"/>
    <x v="925"/>
    <n v="320"/>
    <s v="Elective"/>
    <d v="2020-03-07T00:00:00"/>
    <s v="Ibuprofen"/>
    <s v="Abnormal"/>
    <x v="4"/>
  </r>
  <r>
    <x v="919"/>
    <s v="36-45"/>
    <n v="38"/>
    <s v="Male"/>
    <x v="0"/>
    <x v="5"/>
    <x v="715"/>
    <s v="Mark Nichols"/>
    <x v="902"/>
    <x v="2"/>
    <x v="926"/>
    <n v="372"/>
    <s v="Elective"/>
    <d v="2023-10-27T00:00:00"/>
    <s v="Lipitor"/>
    <s v="Abnormal"/>
    <x v="8"/>
  </r>
  <r>
    <x v="920"/>
    <s v="36-45"/>
    <n v="36"/>
    <s v="Female"/>
    <x v="6"/>
    <x v="5"/>
    <x v="607"/>
    <s v="Miss Rachel Barnes"/>
    <x v="903"/>
    <x v="0"/>
    <x v="927"/>
    <n v="422"/>
    <s v="Emergency"/>
    <d v="2022-08-27T00:00:00"/>
    <s v="Ibuprofen"/>
    <s v="Abnormal"/>
    <x v="21"/>
  </r>
  <r>
    <x v="921"/>
    <s v="46-55"/>
    <n v="55"/>
    <s v="Male"/>
    <x v="1"/>
    <x v="5"/>
    <x v="716"/>
    <s v="Meredith Harris"/>
    <x v="904"/>
    <x v="3"/>
    <x v="928"/>
    <n v="135"/>
    <s v="Elective"/>
    <d v="2022-01-10T00:00:00"/>
    <s v="Paracetamol"/>
    <s v="Inconclusive"/>
    <x v="19"/>
  </r>
  <r>
    <x v="922"/>
    <s v="76-85"/>
    <n v="85"/>
    <s v="Female"/>
    <x v="0"/>
    <x v="5"/>
    <x v="170"/>
    <s v="Randy Carlson"/>
    <x v="905"/>
    <x v="4"/>
    <x v="929"/>
    <n v="475"/>
    <s v="Elective"/>
    <d v="2019-11-14T00:00:00"/>
    <s v="Lipitor"/>
    <s v="Normal"/>
    <x v="17"/>
  </r>
  <r>
    <x v="923"/>
    <s v="26-35"/>
    <n v="35"/>
    <s v="Female"/>
    <x v="1"/>
    <x v="5"/>
    <x v="717"/>
    <s v="Jerome Davis"/>
    <x v="906"/>
    <x v="2"/>
    <x v="930"/>
    <n v="242"/>
    <s v="Urgent"/>
    <d v="2019-02-22T00:00:00"/>
    <s v="Penicillin"/>
    <s v="Normal"/>
    <x v="22"/>
  </r>
  <r>
    <x v="924"/>
    <s v="76-85"/>
    <n v="82"/>
    <s v="Male"/>
    <x v="3"/>
    <x v="5"/>
    <x v="375"/>
    <s v="Sarah Holden"/>
    <x v="907"/>
    <x v="2"/>
    <x v="931"/>
    <n v="119"/>
    <s v="Urgent"/>
    <d v="2019-08-13T00:00:00"/>
    <s v="Ibuprofen"/>
    <s v="Normal"/>
    <x v="3"/>
  </r>
  <r>
    <x v="925"/>
    <s v="26-35"/>
    <n v="28"/>
    <s v="Male"/>
    <x v="0"/>
    <x v="5"/>
    <x v="426"/>
    <s v="Carol Harris"/>
    <x v="908"/>
    <x v="2"/>
    <x v="932"/>
    <n v="179"/>
    <s v="Elective"/>
    <d v="2023-06-17T00:00:00"/>
    <s v="Aspirin"/>
    <s v="Inconclusive"/>
    <x v="25"/>
  </r>
  <r>
    <x v="926"/>
    <s v="36-45"/>
    <n v="41"/>
    <s v="Male"/>
    <x v="0"/>
    <x v="5"/>
    <x v="718"/>
    <s v="Jonathan Ruiz"/>
    <x v="909"/>
    <x v="1"/>
    <x v="933"/>
    <n v="195"/>
    <s v="Emergency"/>
    <d v="2018-12-29T00:00:00"/>
    <s v="Aspirin"/>
    <s v="Normal"/>
    <x v="3"/>
  </r>
  <r>
    <x v="927"/>
    <s v="18-25"/>
    <n v="21"/>
    <s v="Female"/>
    <x v="0"/>
    <x v="5"/>
    <x v="719"/>
    <s v="Laurie Gonzalez"/>
    <x v="910"/>
    <x v="1"/>
    <x v="934"/>
    <n v="482"/>
    <s v="Elective"/>
    <d v="2019-07-20T00:00:00"/>
    <s v="Penicillin"/>
    <s v="Inconclusive"/>
    <x v="6"/>
  </r>
  <r>
    <x v="928"/>
    <s v="76-85"/>
    <n v="76"/>
    <s v="Male"/>
    <x v="1"/>
    <x v="5"/>
    <x v="720"/>
    <s v="Lisa Clark"/>
    <x v="911"/>
    <x v="1"/>
    <x v="935"/>
    <n v="155"/>
    <s v="Urgent"/>
    <d v="2019-03-17T00:00:00"/>
    <s v="Ibuprofen"/>
    <s v="Abnormal"/>
    <x v="22"/>
  </r>
  <r>
    <x v="929"/>
    <s v="66-75"/>
    <n v="68"/>
    <s v="Female"/>
    <x v="5"/>
    <x v="5"/>
    <x v="721"/>
    <s v="Tiffany Pacheco"/>
    <x v="912"/>
    <x v="3"/>
    <x v="936"/>
    <n v="473"/>
    <s v="Emergency"/>
    <d v="2022-10-26T00:00:00"/>
    <s v="Lipitor"/>
    <s v="Abnormal"/>
    <x v="13"/>
  </r>
  <r>
    <x v="930"/>
    <s v="66-75"/>
    <n v="70"/>
    <s v="Female"/>
    <x v="4"/>
    <x v="5"/>
    <x v="722"/>
    <s v="Natalie Sullivan"/>
    <x v="913"/>
    <x v="1"/>
    <x v="937"/>
    <n v="379"/>
    <s v="Elective"/>
    <d v="2021-07-29T00:00:00"/>
    <s v="Paracetamol"/>
    <s v="Abnormal"/>
    <x v="26"/>
  </r>
  <r>
    <x v="931"/>
    <s v="76-85"/>
    <n v="83"/>
    <s v="Female"/>
    <x v="2"/>
    <x v="5"/>
    <x v="723"/>
    <s v="Bradley Dillon"/>
    <x v="914"/>
    <x v="2"/>
    <x v="938"/>
    <n v="317"/>
    <s v="Urgent"/>
    <d v="2020-02-08T00:00:00"/>
    <s v="Paracetamol"/>
    <s v="Abnormal"/>
    <x v="19"/>
  </r>
  <r>
    <x v="932"/>
    <s v="26-35"/>
    <n v="27"/>
    <s v="Female"/>
    <x v="7"/>
    <x v="5"/>
    <x v="724"/>
    <s v="Donald Nelson"/>
    <x v="915"/>
    <x v="1"/>
    <x v="939"/>
    <n v="139"/>
    <s v="Elective"/>
    <d v="2019-01-27T00:00:00"/>
    <s v="Aspirin"/>
    <s v="Abnormal"/>
    <x v="3"/>
  </r>
  <r>
    <x v="933"/>
    <s v="66-75"/>
    <n v="71"/>
    <s v="Female"/>
    <x v="1"/>
    <x v="5"/>
    <x v="725"/>
    <s v="Amber Hayes"/>
    <x v="916"/>
    <x v="4"/>
    <x v="940"/>
    <n v="205"/>
    <s v="Urgent"/>
    <d v="2022-11-29T00:00:00"/>
    <s v="Lipitor"/>
    <s v="Abnormal"/>
    <x v="10"/>
  </r>
  <r>
    <x v="934"/>
    <s v="18-25"/>
    <n v="18"/>
    <s v="Female"/>
    <x v="4"/>
    <x v="5"/>
    <x v="726"/>
    <s v="Thomas Rice"/>
    <x v="917"/>
    <x v="1"/>
    <x v="941"/>
    <n v="270"/>
    <s v="Elective"/>
    <d v="2022-11-08T00:00:00"/>
    <s v="Penicillin"/>
    <s v="Abnormal"/>
    <x v="27"/>
  </r>
  <r>
    <x v="935"/>
    <s v="26-35"/>
    <n v="30"/>
    <s v="Female"/>
    <x v="2"/>
    <x v="5"/>
    <x v="727"/>
    <s v="Thomas Smith"/>
    <x v="918"/>
    <x v="0"/>
    <x v="942"/>
    <n v="299"/>
    <s v="Emergency"/>
    <d v="2022-07-13T00:00:00"/>
    <s v="Aspirin"/>
    <s v="Inconclusive"/>
    <x v="6"/>
  </r>
  <r>
    <x v="936"/>
    <s v="66-75"/>
    <n v="71"/>
    <s v="Female"/>
    <x v="0"/>
    <x v="5"/>
    <x v="186"/>
    <s v="James Hatfield"/>
    <x v="919"/>
    <x v="2"/>
    <x v="943"/>
    <n v="232"/>
    <s v="Elective"/>
    <d v="2023-07-04T00:00:00"/>
    <s v="Penicillin"/>
    <s v="Inconclusive"/>
    <x v="24"/>
  </r>
  <r>
    <x v="937"/>
    <s v="76-85"/>
    <n v="83"/>
    <s v="Female"/>
    <x v="5"/>
    <x v="5"/>
    <x v="728"/>
    <s v="Joshua Myers"/>
    <x v="920"/>
    <x v="1"/>
    <x v="944"/>
    <n v="350"/>
    <s v="Elective"/>
    <d v="2021-12-18T00:00:00"/>
    <s v="Aspirin"/>
    <s v="Abnormal"/>
    <x v="11"/>
  </r>
  <r>
    <x v="938"/>
    <s v="36-45"/>
    <n v="41"/>
    <s v="Female"/>
    <x v="2"/>
    <x v="5"/>
    <x v="654"/>
    <s v="Dana Payne"/>
    <x v="921"/>
    <x v="0"/>
    <x v="945"/>
    <n v="401"/>
    <s v="Urgent"/>
    <d v="2021-03-24T00:00:00"/>
    <s v="Lipitor"/>
    <s v="Inconclusive"/>
    <x v="18"/>
  </r>
  <r>
    <x v="939"/>
    <s v="76-85"/>
    <n v="80"/>
    <s v="Female"/>
    <x v="4"/>
    <x v="5"/>
    <x v="729"/>
    <s v="Chris Cobb DVM"/>
    <x v="922"/>
    <x v="1"/>
    <x v="946"/>
    <n v="486"/>
    <s v="Elective"/>
    <d v="2018-11-14T00:00:00"/>
    <s v="Lipitor"/>
    <s v="Abnormal"/>
    <x v="18"/>
  </r>
  <r>
    <x v="940"/>
    <s v="66-75"/>
    <n v="66"/>
    <s v="Male"/>
    <x v="5"/>
    <x v="5"/>
    <x v="730"/>
    <s v="Steven Hawkins"/>
    <x v="923"/>
    <x v="1"/>
    <x v="947"/>
    <n v="424"/>
    <s v="Urgent"/>
    <d v="2018-12-02T00:00:00"/>
    <s v="Ibuprofen"/>
    <s v="Abnormal"/>
    <x v="18"/>
  </r>
  <r>
    <x v="941"/>
    <s v="56-65"/>
    <n v="64"/>
    <s v="Male"/>
    <x v="0"/>
    <x v="5"/>
    <x v="731"/>
    <s v="Jessica Yu"/>
    <x v="924"/>
    <x v="4"/>
    <x v="948"/>
    <n v="287"/>
    <s v="Urgent"/>
    <d v="2021-09-13T00:00:00"/>
    <s v="Lipitor"/>
    <s v="Inconclusive"/>
    <x v="16"/>
  </r>
  <r>
    <x v="942"/>
    <s v="56-65"/>
    <n v="61"/>
    <s v="Male"/>
    <x v="3"/>
    <x v="5"/>
    <x v="732"/>
    <s v="Whitney Gibson"/>
    <x v="925"/>
    <x v="3"/>
    <x v="949"/>
    <n v="406"/>
    <s v="Elective"/>
    <d v="2020-06-15T00:00:00"/>
    <s v="Lipitor"/>
    <s v="Inconclusive"/>
    <x v="0"/>
  </r>
  <r>
    <x v="943"/>
    <s v="36-45"/>
    <n v="44"/>
    <s v="Female"/>
    <x v="2"/>
    <x v="5"/>
    <x v="351"/>
    <s v="Rhonda Porter"/>
    <x v="926"/>
    <x v="3"/>
    <x v="950"/>
    <n v="209"/>
    <s v="Elective"/>
    <d v="2023-07-20T00:00:00"/>
    <s v="Paracetamol"/>
    <s v="Abnormal"/>
    <x v="15"/>
  </r>
  <r>
    <x v="944"/>
    <s v="46-55"/>
    <n v="53"/>
    <s v="Male"/>
    <x v="2"/>
    <x v="5"/>
    <x v="733"/>
    <s v="Victoria Stafford"/>
    <x v="927"/>
    <x v="3"/>
    <x v="951"/>
    <n v="146"/>
    <s v="Elective"/>
    <d v="2020-08-20T00:00:00"/>
    <s v="Paracetamol"/>
    <s v="Inconclusive"/>
    <x v="1"/>
  </r>
  <r>
    <x v="945"/>
    <s v="76-85"/>
    <n v="81"/>
    <s v="Female"/>
    <x v="3"/>
    <x v="5"/>
    <x v="734"/>
    <s v="Amy Matthews"/>
    <x v="928"/>
    <x v="3"/>
    <x v="952"/>
    <n v="274"/>
    <s v="Urgent"/>
    <d v="2023-07-02T00:00:00"/>
    <s v="Aspirin"/>
    <s v="Abnormal"/>
    <x v="2"/>
  </r>
  <r>
    <x v="946"/>
    <s v="66-75"/>
    <n v="71"/>
    <s v="Female"/>
    <x v="4"/>
    <x v="5"/>
    <x v="735"/>
    <s v="Misty Allen"/>
    <x v="929"/>
    <x v="0"/>
    <x v="953"/>
    <n v="299"/>
    <s v="Emergency"/>
    <d v="2020-03-18T00:00:00"/>
    <s v="Penicillin"/>
    <s v="Abnormal"/>
    <x v="22"/>
  </r>
  <r>
    <x v="947"/>
    <s v="26-35"/>
    <n v="26"/>
    <s v="Male"/>
    <x v="7"/>
    <x v="5"/>
    <x v="736"/>
    <s v="Leslie Cook"/>
    <x v="930"/>
    <x v="3"/>
    <x v="954"/>
    <n v="366"/>
    <s v="Urgent"/>
    <d v="2019-10-07T00:00:00"/>
    <s v="Lipitor"/>
    <s v="Normal"/>
    <x v="1"/>
  </r>
  <r>
    <x v="948"/>
    <s v="66-75"/>
    <n v="71"/>
    <s v="Female"/>
    <x v="7"/>
    <x v="5"/>
    <x v="731"/>
    <s v="Lindsay Collins"/>
    <x v="931"/>
    <x v="4"/>
    <x v="955"/>
    <n v="120"/>
    <s v="Emergency"/>
    <d v="2021-09-19T00:00:00"/>
    <s v="Lipitor"/>
    <s v="Normal"/>
    <x v="15"/>
  </r>
  <r>
    <x v="949"/>
    <s v="36-45"/>
    <n v="44"/>
    <s v="Male"/>
    <x v="5"/>
    <x v="5"/>
    <x v="737"/>
    <s v="Terry Cameron MD"/>
    <x v="932"/>
    <x v="1"/>
    <x v="956"/>
    <n v="240"/>
    <s v="Emergency"/>
    <d v="2019-07-02T00:00:00"/>
    <s v="Lipitor"/>
    <s v="Inconclusive"/>
    <x v="8"/>
  </r>
  <r>
    <x v="950"/>
    <s v="76-85"/>
    <n v="79"/>
    <s v="Female"/>
    <x v="7"/>
    <x v="5"/>
    <x v="738"/>
    <s v="Brittany Keith"/>
    <x v="933"/>
    <x v="3"/>
    <x v="957"/>
    <n v="174"/>
    <s v="Elective"/>
    <d v="2022-04-09T00:00:00"/>
    <s v="Paracetamol"/>
    <s v="Inconclusive"/>
    <x v="11"/>
  </r>
  <r>
    <x v="951"/>
    <s v="36-45"/>
    <n v="40"/>
    <s v="Male"/>
    <x v="3"/>
    <x v="5"/>
    <x v="319"/>
    <s v="Matthew Downs"/>
    <x v="934"/>
    <x v="0"/>
    <x v="958"/>
    <n v="400"/>
    <s v="Urgent"/>
    <d v="2023-04-14T00:00:00"/>
    <s v="Penicillin"/>
    <s v="Inconclusive"/>
    <x v="0"/>
  </r>
  <r>
    <x v="952"/>
    <s v="36-45"/>
    <n v="36"/>
    <s v="Male"/>
    <x v="0"/>
    <x v="5"/>
    <x v="739"/>
    <s v="Jake White"/>
    <x v="935"/>
    <x v="3"/>
    <x v="959"/>
    <n v="381"/>
    <s v="Emergency"/>
    <d v="2022-10-27T00:00:00"/>
    <s v="Aspirin"/>
    <s v="Normal"/>
    <x v="2"/>
  </r>
  <r>
    <x v="953"/>
    <s v="18-25"/>
    <n v="25"/>
    <s v="Female"/>
    <x v="4"/>
    <x v="5"/>
    <x v="740"/>
    <s v="Kelly Guerrero"/>
    <x v="936"/>
    <x v="4"/>
    <x v="960"/>
    <n v="374"/>
    <s v="Elective"/>
    <d v="2021-08-22T00:00:00"/>
    <s v="Ibuprofen"/>
    <s v="Normal"/>
    <x v="15"/>
  </r>
  <r>
    <x v="954"/>
    <s v="26-35"/>
    <n v="29"/>
    <s v="Male"/>
    <x v="3"/>
    <x v="5"/>
    <x v="527"/>
    <s v="Sean Black"/>
    <x v="937"/>
    <x v="3"/>
    <x v="961"/>
    <n v="270"/>
    <s v="Urgent"/>
    <d v="2022-03-05T00:00:00"/>
    <s v="Lipitor"/>
    <s v="Inconclusive"/>
    <x v="23"/>
  </r>
  <r>
    <x v="955"/>
    <s v="56-65"/>
    <n v="61"/>
    <s v="Male"/>
    <x v="0"/>
    <x v="5"/>
    <x v="741"/>
    <s v="Laura Herrera"/>
    <x v="938"/>
    <x v="1"/>
    <x v="962"/>
    <n v="363"/>
    <s v="Elective"/>
    <d v="2019-06-12T00:00:00"/>
    <s v="Aspirin"/>
    <s v="Normal"/>
    <x v="22"/>
  </r>
  <r>
    <x v="956"/>
    <s v="46-55"/>
    <n v="53"/>
    <s v="Female"/>
    <x v="1"/>
    <x v="5"/>
    <x v="742"/>
    <s v="Matthew Arnold"/>
    <x v="939"/>
    <x v="2"/>
    <x v="963"/>
    <n v="313"/>
    <s v="Elective"/>
    <d v="2020-05-06T00:00:00"/>
    <s v="Paracetamol"/>
    <s v="Abnormal"/>
    <x v="4"/>
  </r>
  <r>
    <x v="957"/>
    <s v="36-45"/>
    <n v="43"/>
    <s v="Male"/>
    <x v="7"/>
    <x v="5"/>
    <x v="743"/>
    <s v="Jared Diaz"/>
    <x v="940"/>
    <x v="1"/>
    <x v="964"/>
    <n v="158"/>
    <s v="Emergency"/>
    <d v="2022-03-09T00:00:00"/>
    <s v="Paracetamol"/>
    <s v="Normal"/>
    <x v="21"/>
  </r>
  <r>
    <x v="958"/>
    <s v="18-25"/>
    <n v="23"/>
    <s v="Male"/>
    <x v="5"/>
    <x v="5"/>
    <x v="744"/>
    <s v="Traci Henderson"/>
    <x v="941"/>
    <x v="0"/>
    <x v="965"/>
    <n v="363"/>
    <s v="Emergency"/>
    <d v="2023-07-16T00:00:00"/>
    <s v="Lipitor"/>
    <s v="Inconclusive"/>
    <x v="12"/>
  </r>
  <r>
    <x v="959"/>
    <s v="18-25"/>
    <n v="21"/>
    <s v="Male"/>
    <x v="1"/>
    <x v="5"/>
    <x v="655"/>
    <s v="Amanda Young"/>
    <x v="841"/>
    <x v="2"/>
    <x v="966"/>
    <n v="335"/>
    <s v="Urgent"/>
    <d v="2020-11-03T00:00:00"/>
    <s v="Aspirin"/>
    <s v="Inconclusive"/>
    <x v="6"/>
  </r>
  <r>
    <x v="960"/>
    <s v="76-85"/>
    <n v="82"/>
    <s v="Male"/>
    <x v="4"/>
    <x v="5"/>
    <x v="474"/>
    <s v="Kristen Henderson"/>
    <x v="942"/>
    <x v="0"/>
    <x v="967"/>
    <n v="150"/>
    <s v="Elective"/>
    <d v="2021-05-06T00:00:00"/>
    <s v="Penicillin"/>
    <s v="Normal"/>
    <x v="7"/>
  </r>
  <r>
    <x v="961"/>
    <s v="76-85"/>
    <n v="84"/>
    <s v="Male"/>
    <x v="4"/>
    <x v="5"/>
    <x v="745"/>
    <s v="Mrs. Tammy Rose"/>
    <x v="943"/>
    <x v="0"/>
    <x v="968"/>
    <n v="356"/>
    <s v="Elective"/>
    <d v="2022-10-07T00:00:00"/>
    <s v="Lipitor"/>
    <s v="Inconclusive"/>
    <x v="24"/>
  </r>
  <r>
    <x v="962"/>
    <s v="66-75"/>
    <n v="69"/>
    <s v="Male"/>
    <x v="7"/>
    <x v="5"/>
    <x v="116"/>
    <s v="David Dean"/>
    <x v="944"/>
    <x v="1"/>
    <x v="969"/>
    <n v="225"/>
    <s v="Emergency"/>
    <d v="2020-11-11T00:00:00"/>
    <s v="Lipitor"/>
    <s v="Inconclusive"/>
    <x v="9"/>
  </r>
  <r>
    <x v="963"/>
    <s v="26-35"/>
    <n v="27"/>
    <s v="Female"/>
    <x v="3"/>
    <x v="5"/>
    <x v="689"/>
    <s v="Nathan Mason"/>
    <x v="124"/>
    <x v="0"/>
    <x v="970"/>
    <n v="135"/>
    <s v="Elective"/>
    <d v="2021-09-29T00:00:00"/>
    <s v="Aspirin"/>
    <s v="Normal"/>
    <x v="5"/>
  </r>
  <r>
    <x v="964"/>
    <s v="26-35"/>
    <n v="29"/>
    <s v="Male"/>
    <x v="6"/>
    <x v="5"/>
    <x v="746"/>
    <s v="Miranda Silva"/>
    <x v="945"/>
    <x v="0"/>
    <x v="971"/>
    <n v="394"/>
    <s v="Emergency"/>
    <d v="2023-09-22T00:00:00"/>
    <s v="Lipitor"/>
    <s v="Inconclusive"/>
    <x v="26"/>
  </r>
  <r>
    <x v="965"/>
    <s v="76-85"/>
    <n v="81"/>
    <s v="Male"/>
    <x v="2"/>
    <x v="5"/>
    <x v="252"/>
    <s v="Dr. Kyle Dickson"/>
    <x v="946"/>
    <x v="3"/>
    <x v="972"/>
    <n v="197"/>
    <s v="Emergency"/>
    <d v="2023-07-17T00:00:00"/>
    <s v="Lipitor"/>
    <s v="Normal"/>
    <x v="16"/>
  </r>
  <r>
    <x v="966"/>
    <s v="36-45"/>
    <n v="37"/>
    <s v="Female"/>
    <x v="6"/>
    <x v="5"/>
    <x v="747"/>
    <s v="Eduardo Ross"/>
    <x v="947"/>
    <x v="4"/>
    <x v="973"/>
    <n v="181"/>
    <s v="Emergency"/>
    <d v="2023-03-27T00:00:00"/>
    <s v="Ibuprofen"/>
    <s v="Abnormal"/>
    <x v="12"/>
  </r>
  <r>
    <x v="967"/>
    <s v="66-75"/>
    <n v="75"/>
    <s v="Male"/>
    <x v="0"/>
    <x v="5"/>
    <x v="264"/>
    <s v="Kevin Morris"/>
    <x v="948"/>
    <x v="1"/>
    <x v="974"/>
    <n v="452"/>
    <s v="Emergency"/>
    <d v="2019-05-31T00:00:00"/>
    <s v="Lipitor"/>
    <s v="Normal"/>
    <x v="25"/>
  </r>
  <r>
    <x v="968"/>
    <s v="26-35"/>
    <n v="34"/>
    <s v="Female"/>
    <x v="5"/>
    <x v="5"/>
    <x v="216"/>
    <s v="Jamie Wright"/>
    <x v="949"/>
    <x v="3"/>
    <x v="975"/>
    <n v="454"/>
    <s v="Elective"/>
    <d v="2022-06-18T00:00:00"/>
    <s v="Paracetamol"/>
    <s v="Normal"/>
    <x v="0"/>
  </r>
  <r>
    <x v="969"/>
    <s v="36-45"/>
    <n v="44"/>
    <s v="Male"/>
    <x v="2"/>
    <x v="5"/>
    <x v="748"/>
    <s v="Brittany Gilbert"/>
    <x v="950"/>
    <x v="0"/>
    <x v="976"/>
    <n v="299"/>
    <s v="Elective"/>
    <d v="2022-09-02T00:00:00"/>
    <s v="Paracetamol"/>
    <s v="Abnormal"/>
    <x v="19"/>
  </r>
  <r>
    <x v="970"/>
    <s v="36-45"/>
    <n v="41"/>
    <s v="Female"/>
    <x v="5"/>
    <x v="5"/>
    <x v="140"/>
    <s v="Jason Beck"/>
    <x v="951"/>
    <x v="0"/>
    <x v="977"/>
    <n v="102"/>
    <s v="Elective"/>
    <d v="2023-09-21T00:00:00"/>
    <s v="Aspirin"/>
    <s v="Normal"/>
    <x v="26"/>
  </r>
  <r>
    <x v="971"/>
    <s v="66-75"/>
    <n v="73"/>
    <s v="Male"/>
    <x v="0"/>
    <x v="5"/>
    <x v="749"/>
    <s v="Susan Pennington"/>
    <x v="952"/>
    <x v="3"/>
    <x v="978"/>
    <n v="108"/>
    <s v="Urgent"/>
    <d v="2019-08-10T00:00:00"/>
    <s v="Lipitor"/>
    <s v="Normal"/>
    <x v="4"/>
  </r>
  <r>
    <x v="972"/>
    <s v="76-85"/>
    <n v="84"/>
    <s v="Male"/>
    <x v="0"/>
    <x v="5"/>
    <x v="750"/>
    <s v="Wendy Santiago"/>
    <x v="953"/>
    <x v="0"/>
    <x v="979"/>
    <n v="283"/>
    <s v="Urgent"/>
    <d v="2021-09-12T00:00:00"/>
    <s v="Paracetamol"/>
    <s v="Abnormal"/>
    <x v="27"/>
  </r>
  <r>
    <x v="973"/>
    <s v="36-45"/>
    <n v="37"/>
    <s v="Male"/>
    <x v="2"/>
    <x v="5"/>
    <x v="751"/>
    <s v="Michael Sexton"/>
    <x v="954"/>
    <x v="0"/>
    <x v="980"/>
    <n v="313"/>
    <s v="Elective"/>
    <d v="2022-04-23T00:00:00"/>
    <s v="Aspirin"/>
    <s v="Abnormal"/>
    <x v="29"/>
  </r>
  <r>
    <x v="974"/>
    <s v="46-55"/>
    <n v="48"/>
    <s v="Male"/>
    <x v="5"/>
    <x v="5"/>
    <x v="423"/>
    <s v="Heather Burns"/>
    <x v="955"/>
    <x v="0"/>
    <x v="981"/>
    <n v="147"/>
    <s v="Emergency"/>
    <d v="2018-12-17T00:00:00"/>
    <s v="Paracetamol"/>
    <s v="Abnormal"/>
    <x v="19"/>
  </r>
  <r>
    <x v="975"/>
    <s v="36-45"/>
    <n v="39"/>
    <s v="Male"/>
    <x v="4"/>
    <x v="5"/>
    <x v="752"/>
    <s v="Crystal Farmer"/>
    <x v="956"/>
    <x v="4"/>
    <x v="982"/>
    <n v="453"/>
    <s v="Emergency"/>
    <d v="2019-03-07T00:00:00"/>
    <s v="Paracetamol"/>
    <s v="Normal"/>
    <x v="21"/>
  </r>
  <r>
    <x v="976"/>
    <s v="46-55"/>
    <n v="54"/>
    <s v="Male"/>
    <x v="1"/>
    <x v="5"/>
    <x v="36"/>
    <s v="Aaron Taylor"/>
    <x v="957"/>
    <x v="1"/>
    <x v="983"/>
    <n v="440"/>
    <s v="Elective"/>
    <d v="2021-11-12T00:00:00"/>
    <s v="Penicillin"/>
    <s v="Inconclusive"/>
    <x v="15"/>
  </r>
  <r>
    <x v="977"/>
    <s v="26-35"/>
    <n v="26"/>
    <s v="Male"/>
    <x v="2"/>
    <x v="5"/>
    <x v="35"/>
    <s v="David Gregory"/>
    <x v="958"/>
    <x v="3"/>
    <x v="984"/>
    <n v="313"/>
    <s v="Emergency"/>
    <d v="2019-07-18T00:00:00"/>
    <s v="Lipitor"/>
    <s v="Abnormal"/>
    <x v="5"/>
  </r>
  <r>
    <x v="978"/>
    <s v="36-45"/>
    <n v="37"/>
    <s v="Female"/>
    <x v="3"/>
    <x v="5"/>
    <x v="704"/>
    <s v="Kristen Stewart"/>
    <x v="959"/>
    <x v="3"/>
    <x v="985"/>
    <n v="317"/>
    <s v="Elective"/>
    <d v="2019-07-05T00:00:00"/>
    <s v="Penicillin"/>
    <s v="Inconclusive"/>
    <x v="23"/>
  </r>
  <r>
    <x v="979"/>
    <s v="36-45"/>
    <n v="45"/>
    <s v="Male"/>
    <x v="1"/>
    <x v="5"/>
    <x v="581"/>
    <s v="Rebecca Myers"/>
    <x v="960"/>
    <x v="0"/>
    <x v="986"/>
    <n v="162"/>
    <s v="Elective"/>
    <d v="2022-03-27T00:00:00"/>
    <s v="Paracetamol"/>
    <s v="Abnormal"/>
    <x v="25"/>
  </r>
  <r>
    <x v="980"/>
    <s v="76-85"/>
    <n v="80"/>
    <s v="Male"/>
    <x v="2"/>
    <x v="5"/>
    <x v="753"/>
    <s v="Mary Carson"/>
    <x v="51"/>
    <x v="4"/>
    <x v="987"/>
    <n v="481"/>
    <s v="Elective"/>
    <d v="2021-11-04T00:00:00"/>
    <s v="Ibuprofen"/>
    <s v="Abnormal"/>
    <x v="11"/>
  </r>
  <r>
    <x v="981"/>
    <s v="18-25"/>
    <n v="22"/>
    <s v="Male"/>
    <x v="6"/>
    <x v="5"/>
    <x v="754"/>
    <s v="Kristi Leblanc"/>
    <x v="961"/>
    <x v="3"/>
    <x v="988"/>
    <n v="386"/>
    <s v="Urgent"/>
    <d v="2019-08-30T00:00:00"/>
    <s v="Ibuprofen"/>
    <s v="Normal"/>
    <x v="25"/>
  </r>
  <r>
    <x v="982"/>
    <s v="76-85"/>
    <n v="81"/>
    <s v="Male"/>
    <x v="0"/>
    <x v="5"/>
    <x v="755"/>
    <s v="Laura Bell"/>
    <x v="962"/>
    <x v="0"/>
    <x v="989"/>
    <n v="129"/>
    <s v="Urgent"/>
    <d v="2021-12-25T00:00:00"/>
    <s v="Penicillin"/>
    <s v="Normal"/>
    <x v="7"/>
  </r>
  <r>
    <x v="983"/>
    <s v="46-55"/>
    <n v="53"/>
    <s v="Female"/>
    <x v="2"/>
    <x v="5"/>
    <x v="756"/>
    <s v="Shelley Lang"/>
    <x v="963"/>
    <x v="0"/>
    <x v="990"/>
    <n v="153"/>
    <s v="Elective"/>
    <d v="2020-11-17T00:00:00"/>
    <s v="Paracetamol"/>
    <s v="Abnormal"/>
    <x v="16"/>
  </r>
  <r>
    <x v="984"/>
    <s v="46-55"/>
    <n v="54"/>
    <s v="Female"/>
    <x v="1"/>
    <x v="5"/>
    <x v="712"/>
    <s v="Nicole Johnson"/>
    <x v="964"/>
    <x v="2"/>
    <x v="991"/>
    <n v="218"/>
    <s v="Elective"/>
    <d v="2020-06-17T00:00:00"/>
    <s v="Paracetamol"/>
    <s v="Inconclusive"/>
    <x v="26"/>
  </r>
  <r>
    <x v="985"/>
    <s v="26-35"/>
    <n v="26"/>
    <s v="Male"/>
    <x v="2"/>
    <x v="5"/>
    <x v="757"/>
    <s v="Claire Young"/>
    <x v="965"/>
    <x v="3"/>
    <x v="992"/>
    <n v="292"/>
    <s v="Emergency"/>
    <d v="2022-03-31T00:00:00"/>
    <s v="Lipitor"/>
    <s v="Normal"/>
    <x v="22"/>
  </r>
  <r>
    <x v="986"/>
    <s v="36-45"/>
    <n v="45"/>
    <s v="Female"/>
    <x v="1"/>
    <x v="5"/>
    <x v="202"/>
    <s v="Michael Sutton"/>
    <x v="966"/>
    <x v="2"/>
    <x v="993"/>
    <n v="162"/>
    <s v="Emergency"/>
    <d v="2023-06-13T00:00:00"/>
    <s v="Lipitor"/>
    <s v="Abnormal"/>
    <x v="14"/>
  </r>
  <r>
    <x v="987"/>
    <s v="18-25"/>
    <n v="20"/>
    <s v="Female"/>
    <x v="6"/>
    <x v="5"/>
    <x v="714"/>
    <s v="Robin Lopez"/>
    <x v="967"/>
    <x v="3"/>
    <x v="994"/>
    <n v="146"/>
    <s v="Elective"/>
    <d v="2019-03-11T00:00:00"/>
    <s v="Penicillin"/>
    <s v="Inconclusive"/>
    <x v="20"/>
  </r>
  <r>
    <x v="988"/>
    <s v="26-35"/>
    <n v="31"/>
    <s v="Female"/>
    <x v="6"/>
    <x v="5"/>
    <x v="178"/>
    <s v="Glenn Burns"/>
    <x v="968"/>
    <x v="1"/>
    <x v="995"/>
    <n v="437"/>
    <s v="Elective"/>
    <d v="2021-04-02T00:00:00"/>
    <s v="Ibuprofen"/>
    <s v="Abnormal"/>
    <x v="18"/>
  </r>
  <r>
    <x v="989"/>
    <s v="76-85"/>
    <n v="78"/>
    <s v="Male"/>
    <x v="5"/>
    <x v="5"/>
    <x v="758"/>
    <s v="Charles James"/>
    <x v="969"/>
    <x v="3"/>
    <x v="996"/>
    <n v="136"/>
    <s v="Urgent"/>
    <d v="2022-06-15T00:00:00"/>
    <s v="Aspirin"/>
    <s v="Abnormal"/>
    <x v="21"/>
  </r>
  <r>
    <x v="990"/>
    <s v="26-35"/>
    <n v="32"/>
    <s v="Female"/>
    <x v="4"/>
    <x v="5"/>
    <x v="569"/>
    <s v="John Sloan"/>
    <x v="970"/>
    <x v="0"/>
    <x v="997"/>
    <n v="370"/>
    <s v="Urgent"/>
    <d v="2023-08-02T00:00:00"/>
    <s v="Paracetamol"/>
    <s v="Inconclusive"/>
    <x v="28"/>
  </r>
  <r>
    <x v="991"/>
    <s v="66-75"/>
    <n v="75"/>
    <s v="Female"/>
    <x v="7"/>
    <x v="5"/>
    <x v="267"/>
    <s v="Roberta Adams"/>
    <x v="971"/>
    <x v="3"/>
    <x v="998"/>
    <n v="418"/>
    <s v="Emergency"/>
    <d v="2020-02-06T00:00:00"/>
    <s v="Aspirin"/>
    <s v="Inconclusive"/>
    <x v="21"/>
  </r>
  <r>
    <x v="992"/>
    <m/>
    <n v="52510"/>
    <m/>
    <x v="8"/>
    <x v="6"/>
    <x v="759"/>
    <m/>
    <x v="972"/>
    <x v="5"/>
    <x v="999"/>
    <m/>
    <m/>
    <m/>
    <m/>
    <m/>
    <x v="3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n v="16"/>
    <n v="23"/>
    <n v="21"/>
    <n v="18"/>
  </r>
  <r>
    <x v="1"/>
    <x v="1"/>
    <x v="1"/>
    <n v="26"/>
    <n v="13"/>
    <n v="24"/>
    <n v="18"/>
  </r>
  <r>
    <x v="2"/>
    <x v="2"/>
    <x v="2"/>
    <n v="24"/>
    <n v="21"/>
    <n v="28"/>
    <n v="16"/>
  </r>
  <r>
    <x v="3"/>
    <x v="1"/>
    <x v="3"/>
    <n v="17"/>
    <n v="30"/>
    <n v="29"/>
    <n v="25"/>
  </r>
  <r>
    <x v="4"/>
    <x v="1"/>
    <x v="4"/>
    <n v="16"/>
    <n v="20"/>
    <n v="18"/>
    <n v="16"/>
  </r>
  <r>
    <x v="5"/>
    <x v="3"/>
    <x v="5"/>
    <n v="31"/>
    <n v="19"/>
    <n v="15"/>
    <n v="23"/>
  </r>
  <r>
    <x v="6"/>
    <x v="0"/>
    <x v="6"/>
    <n v="17"/>
    <n v="16"/>
    <n v="26"/>
    <n v="17"/>
  </r>
  <r>
    <x v="7"/>
    <x v="0"/>
    <x v="7"/>
    <n v="24"/>
    <n v="19"/>
    <n v="17"/>
    <n v="2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21"/>
    <n v="27"/>
    <n v="21"/>
    <n v="21"/>
    <n v="14"/>
    <n v="19"/>
    <n v="19"/>
  </r>
  <r>
    <x v="1"/>
    <x v="1"/>
    <n v="24"/>
    <n v="18"/>
    <n v="17"/>
    <n v="23"/>
    <n v="22"/>
    <n v="26"/>
    <n v="19"/>
  </r>
  <r>
    <x v="2"/>
    <x v="2"/>
    <n v="26"/>
    <n v="24"/>
    <n v="17"/>
    <n v="16"/>
    <n v="31"/>
    <n v="17"/>
    <n v="24"/>
  </r>
  <r>
    <x v="3"/>
    <x v="3"/>
    <n v="13"/>
    <n v="21"/>
    <n v="30"/>
    <n v="20"/>
    <n v="19"/>
    <n v="16"/>
    <n v="19"/>
  </r>
  <r>
    <x v="4"/>
    <x v="4"/>
    <n v="24"/>
    <n v="28"/>
    <n v="29"/>
    <n v="18"/>
    <n v="15"/>
    <n v="26"/>
    <n v="17"/>
  </r>
  <r>
    <x v="5"/>
    <x v="5"/>
    <n v="18"/>
    <n v="16"/>
    <n v="25"/>
    <n v="16"/>
    <n v="23"/>
    <n v="17"/>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4A632-C14D-4A06-A319-06DB50DD65E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A46" firstHeaderRow="1" firstDataRow="1" firstDataCol="1"/>
  <pivotFields count="9">
    <pivotField axis="axisRow" showAll="0">
      <items count="7">
        <item x="0"/>
        <item x="1"/>
        <item x="2"/>
        <item x="3"/>
        <item x="4"/>
        <item x="5"/>
        <item t="default"/>
      </items>
    </pivotField>
    <pivotField showAll="0">
      <items count="7">
        <item x="2"/>
        <item x="5"/>
        <item x="0"/>
        <item x="4"/>
        <item x="3"/>
        <item x="1"/>
        <item t="default"/>
      </items>
    </pivotField>
    <pivotField showAll="0"/>
    <pivotField showAll="0"/>
    <pivotField showAll="0"/>
    <pivotField showAll="0"/>
    <pivotField showAll="0"/>
    <pivotField showAll="0"/>
    <pivotField showAll="0"/>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1" rowHeaderCaption="Admission type" colHeaderCaption="Medical Condition">
  <location ref="B2:D28" firstHeaderRow="1" firstDataRow="2" firstDataCol="2"/>
  <pivotFields count="17">
    <pivotField compact="0" outline="0" showAll="0"/>
    <pivotField axis="axisRow" dataField="1" compact="0" outline="0" showAll="0">
      <items count="8">
        <item x="1"/>
        <item x="3"/>
        <item x="5"/>
        <item x="2"/>
        <item x="4"/>
        <item x="6"/>
        <item x="0"/>
        <item t="default"/>
      </items>
    </pivotField>
    <pivotField compact="0" outline="0" showAll="0"/>
    <pivotField compact="0" outline="0" showAll="0">
      <items count="3">
        <item x="0"/>
        <item x="1"/>
        <item t="default"/>
      </items>
    </pivotField>
    <pivotField compact="0" outline="0" showAll="0"/>
    <pivotField axis="axisCol" compact="0" outline="0" showAll="0">
      <items count="7">
        <item h="1" x="0"/>
        <item h="1" x="1"/>
        <item h="1" x="2"/>
        <item x="3"/>
        <item h="1" x="4"/>
        <item h="1" x="5"/>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numFmtId="14" outline="0" showAll="0"/>
    <pivotField compact="0" outline="0" showAll="0"/>
    <pivotField compact="0" outline="0" showAll="0"/>
    <pivotField compact="0" outline="0" showAll="0"/>
  </pivotFields>
  <rowFields count="2">
    <field x="12"/>
    <field x="1"/>
  </rowFields>
  <rowItems count="25">
    <i>
      <x/>
      <x/>
    </i>
    <i r="1">
      <x v="1"/>
    </i>
    <i r="1">
      <x v="2"/>
    </i>
    <i r="1">
      <x v="3"/>
    </i>
    <i r="1">
      <x v="4"/>
    </i>
    <i r="1">
      <x v="5"/>
    </i>
    <i r="1">
      <x v="6"/>
    </i>
    <i t="default">
      <x/>
    </i>
    <i>
      <x v="1"/>
      <x/>
    </i>
    <i r="1">
      <x v="1"/>
    </i>
    <i r="1">
      <x v="2"/>
    </i>
    <i r="1">
      <x v="3"/>
    </i>
    <i r="1">
      <x v="4"/>
    </i>
    <i r="1">
      <x v="5"/>
    </i>
    <i r="1">
      <x v="6"/>
    </i>
    <i t="default">
      <x v="1"/>
    </i>
    <i>
      <x v="2"/>
      <x/>
    </i>
    <i r="1">
      <x v="1"/>
    </i>
    <i r="1">
      <x v="2"/>
    </i>
    <i r="1">
      <x v="3"/>
    </i>
    <i r="1">
      <x v="4"/>
    </i>
    <i r="1">
      <x v="5"/>
    </i>
    <i r="1">
      <x v="6"/>
    </i>
    <i t="default">
      <x v="2"/>
    </i>
    <i t="grand">
      <x/>
    </i>
  </rowItems>
  <colFields count="1">
    <field x="5"/>
  </colFields>
  <colItems count="1">
    <i>
      <x v="3"/>
    </i>
  </colItems>
  <dataFields count="1">
    <dataField name="Count of Age Category" fld="1" subtotal="count" baseField="0" baseItem="0"/>
  </dataFields>
  <chartFormats count="6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3">
          <reference field="4294967294" count="1" selected="0">
            <x v="0"/>
          </reference>
          <reference field="1" count="1" selected="0">
            <x v="0"/>
          </reference>
          <reference field="5" count="1" selected="0">
            <x v="0"/>
          </reference>
        </references>
      </pivotArea>
    </chartFormat>
    <chartFormat chart="0" format="7" series="1">
      <pivotArea type="data" outline="0" fieldPosition="0">
        <references count="3">
          <reference field="4294967294" count="1" selected="0">
            <x v="0"/>
          </reference>
          <reference field="1" count="1" selected="0">
            <x v="1"/>
          </reference>
          <reference field="5" count="1" selected="0">
            <x v="0"/>
          </reference>
        </references>
      </pivotArea>
    </chartFormat>
    <chartFormat chart="0" format="8" series="1">
      <pivotArea type="data" outline="0" fieldPosition="0">
        <references count="3">
          <reference field="4294967294" count="1" selected="0">
            <x v="0"/>
          </reference>
          <reference field="1" count="1" selected="0">
            <x v="2"/>
          </reference>
          <reference field="5" count="1" selected="0">
            <x v="0"/>
          </reference>
        </references>
      </pivotArea>
    </chartFormat>
    <chartFormat chart="0" format="9" series="1">
      <pivotArea type="data" outline="0" fieldPosition="0">
        <references count="3">
          <reference field="4294967294" count="1" selected="0">
            <x v="0"/>
          </reference>
          <reference field="1" count="1" selected="0">
            <x v="3"/>
          </reference>
          <reference field="5" count="1" selected="0">
            <x v="0"/>
          </reference>
        </references>
      </pivotArea>
    </chartFormat>
    <chartFormat chart="0" format="10" series="1">
      <pivotArea type="data" outline="0" fieldPosition="0">
        <references count="3">
          <reference field="4294967294" count="1" selected="0">
            <x v="0"/>
          </reference>
          <reference field="1" count="1" selected="0">
            <x v="4"/>
          </reference>
          <reference field="5" count="1" selected="0">
            <x v="0"/>
          </reference>
        </references>
      </pivotArea>
    </chartFormat>
    <chartFormat chart="0" format="11" series="1">
      <pivotArea type="data" outline="0" fieldPosition="0">
        <references count="3">
          <reference field="4294967294" count="1" selected="0">
            <x v="0"/>
          </reference>
          <reference field="1" count="1" selected="0">
            <x v="5"/>
          </reference>
          <reference field="5" count="1" selected="0">
            <x v="0"/>
          </reference>
        </references>
      </pivotArea>
    </chartFormat>
    <chartFormat chart="0" format="12" series="1">
      <pivotArea type="data" outline="0" fieldPosition="0">
        <references count="3">
          <reference field="4294967294" count="1" selected="0">
            <x v="0"/>
          </reference>
          <reference field="1" count="1" selected="0">
            <x v="6"/>
          </reference>
          <reference field="5" count="1" selected="0">
            <x v="0"/>
          </reference>
        </references>
      </pivotArea>
    </chartFormat>
    <chartFormat chart="0" format="13" series="1">
      <pivotArea type="data" outline="0" fieldPosition="0">
        <references count="3">
          <reference field="4294967294" count="1" selected="0">
            <x v="0"/>
          </reference>
          <reference field="1" count="1" selected="0">
            <x v="0"/>
          </reference>
          <reference field="5" count="1" selected="0">
            <x v="1"/>
          </reference>
        </references>
      </pivotArea>
    </chartFormat>
    <chartFormat chart="0" format="14" series="1">
      <pivotArea type="data" outline="0" fieldPosition="0">
        <references count="3">
          <reference field="4294967294" count="1" selected="0">
            <x v="0"/>
          </reference>
          <reference field="1" count="1" selected="0">
            <x v="1"/>
          </reference>
          <reference field="5" count="1" selected="0">
            <x v="1"/>
          </reference>
        </references>
      </pivotArea>
    </chartFormat>
    <chartFormat chart="0" format="15" series="1">
      <pivotArea type="data" outline="0" fieldPosition="0">
        <references count="3">
          <reference field="4294967294" count="1" selected="0">
            <x v="0"/>
          </reference>
          <reference field="1" count="1" selected="0">
            <x v="2"/>
          </reference>
          <reference field="5" count="1" selected="0">
            <x v="1"/>
          </reference>
        </references>
      </pivotArea>
    </chartFormat>
    <chartFormat chart="0" format="16" series="1">
      <pivotArea type="data" outline="0" fieldPosition="0">
        <references count="3">
          <reference field="4294967294" count="1" selected="0">
            <x v="0"/>
          </reference>
          <reference field="1" count="1" selected="0">
            <x v="3"/>
          </reference>
          <reference field="5" count="1" selected="0">
            <x v="1"/>
          </reference>
        </references>
      </pivotArea>
    </chartFormat>
    <chartFormat chart="0" format="17" series="1">
      <pivotArea type="data" outline="0" fieldPosition="0">
        <references count="3">
          <reference field="4294967294" count="1" selected="0">
            <x v="0"/>
          </reference>
          <reference field="1" count="1" selected="0">
            <x v="4"/>
          </reference>
          <reference field="5" count="1" selected="0">
            <x v="1"/>
          </reference>
        </references>
      </pivotArea>
    </chartFormat>
    <chartFormat chart="0" format="18" series="1">
      <pivotArea type="data" outline="0" fieldPosition="0">
        <references count="3">
          <reference field="4294967294" count="1" selected="0">
            <x v="0"/>
          </reference>
          <reference field="1" count="1" selected="0">
            <x v="5"/>
          </reference>
          <reference field="5" count="1" selected="0">
            <x v="1"/>
          </reference>
        </references>
      </pivotArea>
    </chartFormat>
    <chartFormat chart="0" format="19" series="1">
      <pivotArea type="data" outline="0" fieldPosition="0">
        <references count="3">
          <reference field="4294967294" count="1" selected="0">
            <x v="0"/>
          </reference>
          <reference field="1" count="1" selected="0">
            <x v="6"/>
          </reference>
          <reference field="5" count="1" selected="0">
            <x v="1"/>
          </reference>
        </references>
      </pivotArea>
    </chartFormat>
    <chartFormat chart="0" format="20" series="1">
      <pivotArea type="data" outline="0" fieldPosition="0">
        <references count="3">
          <reference field="4294967294" count="1" selected="0">
            <x v="0"/>
          </reference>
          <reference field="1" count="1" selected="0">
            <x v="0"/>
          </reference>
          <reference field="5" count="1" selected="0">
            <x v="2"/>
          </reference>
        </references>
      </pivotArea>
    </chartFormat>
    <chartFormat chart="0" format="21" series="1">
      <pivotArea type="data" outline="0" fieldPosition="0">
        <references count="3">
          <reference field="4294967294" count="1" selected="0">
            <x v="0"/>
          </reference>
          <reference field="1" count="1" selected="0">
            <x v="1"/>
          </reference>
          <reference field="5" count="1" selected="0">
            <x v="2"/>
          </reference>
        </references>
      </pivotArea>
    </chartFormat>
    <chartFormat chart="0" format="22" series="1">
      <pivotArea type="data" outline="0" fieldPosition="0">
        <references count="3">
          <reference field="4294967294" count="1" selected="0">
            <x v="0"/>
          </reference>
          <reference field="1" count="1" selected="0">
            <x v="2"/>
          </reference>
          <reference field="5" count="1" selected="0">
            <x v="2"/>
          </reference>
        </references>
      </pivotArea>
    </chartFormat>
    <chartFormat chart="0" format="23" series="1">
      <pivotArea type="data" outline="0" fieldPosition="0">
        <references count="3">
          <reference field="4294967294" count="1" selected="0">
            <x v="0"/>
          </reference>
          <reference field="1" count="1" selected="0">
            <x v="3"/>
          </reference>
          <reference field="5" count="1" selected="0">
            <x v="2"/>
          </reference>
        </references>
      </pivotArea>
    </chartFormat>
    <chartFormat chart="0" format="24" series="1">
      <pivotArea type="data" outline="0" fieldPosition="0">
        <references count="3">
          <reference field="4294967294" count="1" selected="0">
            <x v="0"/>
          </reference>
          <reference field="1" count="1" selected="0">
            <x v="4"/>
          </reference>
          <reference field="5" count="1" selected="0">
            <x v="2"/>
          </reference>
        </references>
      </pivotArea>
    </chartFormat>
    <chartFormat chart="0" format="25" series="1">
      <pivotArea type="data" outline="0" fieldPosition="0">
        <references count="3">
          <reference field="4294967294" count="1" selected="0">
            <x v="0"/>
          </reference>
          <reference field="1" count="1" selected="0">
            <x v="5"/>
          </reference>
          <reference field="5" count="1" selected="0">
            <x v="2"/>
          </reference>
        </references>
      </pivotArea>
    </chartFormat>
    <chartFormat chart="0" format="26" series="1">
      <pivotArea type="data" outline="0" fieldPosition="0">
        <references count="3">
          <reference field="4294967294" count="1" selected="0">
            <x v="0"/>
          </reference>
          <reference field="1" count="1" selected="0">
            <x v="6"/>
          </reference>
          <reference field="5" count="1" selected="0">
            <x v="2"/>
          </reference>
        </references>
      </pivotArea>
    </chartFormat>
    <chartFormat chart="0" format="27" series="1">
      <pivotArea type="data" outline="0" fieldPosition="0">
        <references count="3">
          <reference field="4294967294" count="1" selected="0">
            <x v="0"/>
          </reference>
          <reference field="1" count="1" selected="0">
            <x v="0"/>
          </reference>
          <reference field="5" count="1" selected="0">
            <x v="3"/>
          </reference>
        </references>
      </pivotArea>
    </chartFormat>
    <chartFormat chart="0" format="28" series="1">
      <pivotArea type="data" outline="0" fieldPosition="0">
        <references count="3">
          <reference field="4294967294" count="1" selected="0">
            <x v="0"/>
          </reference>
          <reference field="1" count="1" selected="0">
            <x v="1"/>
          </reference>
          <reference field="5" count="1" selected="0">
            <x v="3"/>
          </reference>
        </references>
      </pivotArea>
    </chartFormat>
    <chartFormat chart="0" format="29" series="1">
      <pivotArea type="data" outline="0" fieldPosition="0">
        <references count="3">
          <reference field="4294967294" count="1" selected="0">
            <x v="0"/>
          </reference>
          <reference field="1" count="1" selected="0">
            <x v="2"/>
          </reference>
          <reference field="5" count="1" selected="0">
            <x v="3"/>
          </reference>
        </references>
      </pivotArea>
    </chartFormat>
    <chartFormat chart="0" format="30" series="1">
      <pivotArea type="data" outline="0" fieldPosition="0">
        <references count="3">
          <reference field="4294967294" count="1" selected="0">
            <x v="0"/>
          </reference>
          <reference field="1" count="1" selected="0">
            <x v="3"/>
          </reference>
          <reference field="5" count="1" selected="0">
            <x v="3"/>
          </reference>
        </references>
      </pivotArea>
    </chartFormat>
    <chartFormat chart="0" format="31" series="1">
      <pivotArea type="data" outline="0" fieldPosition="0">
        <references count="3">
          <reference field="4294967294" count="1" selected="0">
            <x v="0"/>
          </reference>
          <reference field="1" count="1" selected="0">
            <x v="4"/>
          </reference>
          <reference field="5" count="1" selected="0">
            <x v="3"/>
          </reference>
        </references>
      </pivotArea>
    </chartFormat>
    <chartFormat chart="0" format="32" series="1">
      <pivotArea type="data" outline="0" fieldPosition="0">
        <references count="3">
          <reference field="4294967294" count="1" selected="0">
            <x v="0"/>
          </reference>
          <reference field="1" count="1" selected="0">
            <x v="5"/>
          </reference>
          <reference field="5" count="1" selected="0">
            <x v="3"/>
          </reference>
        </references>
      </pivotArea>
    </chartFormat>
    <chartFormat chart="0" format="33" series="1">
      <pivotArea type="data" outline="0" fieldPosition="0">
        <references count="3">
          <reference field="4294967294" count="1" selected="0">
            <x v="0"/>
          </reference>
          <reference field="1" count="1" selected="0">
            <x v="6"/>
          </reference>
          <reference field="5" count="1" selected="0">
            <x v="3"/>
          </reference>
        </references>
      </pivotArea>
    </chartFormat>
    <chartFormat chart="0" format="34" series="1">
      <pivotArea type="data" outline="0" fieldPosition="0">
        <references count="3">
          <reference field="4294967294" count="1" selected="0">
            <x v="0"/>
          </reference>
          <reference field="1" count="1" selected="0">
            <x v="0"/>
          </reference>
          <reference field="5" count="1" selected="0">
            <x v="4"/>
          </reference>
        </references>
      </pivotArea>
    </chartFormat>
    <chartFormat chart="0" format="35" series="1">
      <pivotArea type="data" outline="0" fieldPosition="0">
        <references count="3">
          <reference field="4294967294" count="1" selected="0">
            <x v="0"/>
          </reference>
          <reference field="1" count="1" selected="0">
            <x v="1"/>
          </reference>
          <reference field="5" count="1" selected="0">
            <x v="4"/>
          </reference>
        </references>
      </pivotArea>
    </chartFormat>
    <chartFormat chart="0" format="36" series="1">
      <pivotArea type="data" outline="0" fieldPosition="0">
        <references count="3">
          <reference field="4294967294" count="1" selected="0">
            <x v="0"/>
          </reference>
          <reference field="1" count="1" selected="0">
            <x v="2"/>
          </reference>
          <reference field="5" count="1" selected="0">
            <x v="4"/>
          </reference>
        </references>
      </pivotArea>
    </chartFormat>
    <chartFormat chart="0" format="37" series="1">
      <pivotArea type="data" outline="0" fieldPosition="0">
        <references count="3">
          <reference field="4294967294" count="1" selected="0">
            <x v="0"/>
          </reference>
          <reference field="1" count="1" selected="0">
            <x v="3"/>
          </reference>
          <reference field="5" count="1" selected="0">
            <x v="4"/>
          </reference>
        </references>
      </pivotArea>
    </chartFormat>
    <chartFormat chart="0" format="38" series="1">
      <pivotArea type="data" outline="0" fieldPosition="0">
        <references count="3">
          <reference field="4294967294" count="1" selected="0">
            <x v="0"/>
          </reference>
          <reference field="1" count="1" selected="0">
            <x v="4"/>
          </reference>
          <reference field="5" count="1" selected="0">
            <x v="4"/>
          </reference>
        </references>
      </pivotArea>
    </chartFormat>
    <chartFormat chart="0" format="39" series="1">
      <pivotArea type="data" outline="0" fieldPosition="0">
        <references count="3">
          <reference field="4294967294" count="1" selected="0">
            <x v="0"/>
          </reference>
          <reference field="1" count="1" selected="0">
            <x v="5"/>
          </reference>
          <reference field="5" count="1" selected="0">
            <x v="4"/>
          </reference>
        </references>
      </pivotArea>
    </chartFormat>
    <chartFormat chart="0" format="40" series="1">
      <pivotArea type="data" outline="0" fieldPosition="0">
        <references count="3">
          <reference field="4294967294" count="1" selected="0">
            <x v="0"/>
          </reference>
          <reference field="1" count="1" selected="0">
            <x v="6"/>
          </reference>
          <reference field="5" count="1" selected="0">
            <x v="4"/>
          </reference>
        </references>
      </pivotArea>
    </chartFormat>
    <chartFormat chart="0" format="41" series="1">
      <pivotArea type="data" outline="0" fieldPosition="0">
        <references count="3">
          <reference field="4294967294" count="1" selected="0">
            <x v="0"/>
          </reference>
          <reference field="1" count="1" selected="0">
            <x v="0"/>
          </reference>
          <reference field="5" count="1" selected="0">
            <x v="5"/>
          </reference>
        </references>
      </pivotArea>
    </chartFormat>
    <chartFormat chart="0" format="42" series="1">
      <pivotArea type="data" outline="0" fieldPosition="0">
        <references count="3">
          <reference field="4294967294" count="1" selected="0">
            <x v="0"/>
          </reference>
          <reference field="1" count="1" selected="0">
            <x v="1"/>
          </reference>
          <reference field="5" count="1" selected="0">
            <x v="5"/>
          </reference>
        </references>
      </pivotArea>
    </chartFormat>
    <chartFormat chart="0" format="43" series="1">
      <pivotArea type="data" outline="0" fieldPosition="0">
        <references count="3">
          <reference field="4294967294" count="1" selected="0">
            <x v="0"/>
          </reference>
          <reference field="1" count="1" selected="0">
            <x v="2"/>
          </reference>
          <reference field="5" count="1" selected="0">
            <x v="5"/>
          </reference>
        </references>
      </pivotArea>
    </chartFormat>
    <chartFormat chart="0" format="44" series="1">
      <pivotArea type="data" outline="0" fieldPosition="0">
        <references count="3">
          <reference field="4294967294" count="1" selected="0">
            <x v="0"/>
          </reference>
          <reference field="1" count="1" selected="0">
            <x v="3"/>
          </reference>
          <reference field="5" count="1" selected="0">
            <x v="5"/>
          </reference>
        </references>
      </pivotArea>
    </chartFormat>
    <chartFormat chart="0" format="45" series="1">
      <pivotArea type="data" outline="0" fieldPosition="0">
        <references count="3">
          <reference field="4294967294" count="1" selected="0">
            <x v="0"/>
          </reference>
          <reference field="1" count="1" selected="0">
            <x v="4"/>
          </reference>
          <reference field="5" count="1" selected="0">
            <x v="5"/>
          </reference>
        </references>
      </pivotArea>
    </chartFormat>
    <chartFormat chart="0" format="46" series="1">
      <pivotArea type="data" outline="0" fieldPosition="0">
        <references count="3">
          <reference field="4294967294" count="1" selected="0">
            <x v="0"/>
          </reference>
          <reference field="1" count="1" selected="0">
            <x v="5"/>
          </reference>
          <reference field="5" count="1" selected="0">
            <x v="5"/>
          </reference>
        </references>
      </pivotArea>
    </chartFormat>
    <chartFormat chart="0" format="47" series="1">
      <pivotArea type="data" outline="0" fieldPosition="0">
        <references count="3">
          <reference field="4294967294" count="1" selected="0">
            <x v="0"/>
          </reference>
          <reference field="1" count="1" selected="0">
            <x v="6"/>
          </reference>
          <reference field="5" count="1" selected="0">
            <x v="5"/>
          </reference>
        </references>
      </pivotArea>
    </chartFormat>
    <chartFormat chart="5" format="54" series="1">
      <pivotArea type="data" outline="0" fieldPosition="0">
        <references count="2">
          <reference field="4294967294" count="1" selected="0">
            <x v="0"/>
          </reference>
          <reference field="5" count="1" selected="0">
            <x v="0"/>
          </reference>
        </references>
      </pivotArea>
    </chartFormat>
    <chartFormat chart="5" format="55" series="1">
      <pivotArea type="data" outline="0" fieldPosition="0">
        <references count="2">
          <reference field="4294967294" count="1" selected="0">
            <x v="0"/>
          </reference>
          <reference field="5" count="1" selected="0">
            <x v="1"/>
          </reference>
        </references>
      </pivotArea>
    </chartFormat>
    <chartFormat chart="5" format="56" series="1">
      <pivotArea type="data" outline="0" fieldPosition="0">
        <references count="2">
          <reference field="4294967294" count="1" selected="0">
            <x v="0"/>
          </reference>
          <reference field="5" count="1" selected="0">
            <x v="2"/>
          </reference>
        </references>
      </pivotArea>
    </chartFormat>
    <chartFormat chart="5" format="57" series="1">
      <pivotArea type="data" outline="0" fieldPosition="0">
        <references count="2">
          <reference field="4294967294" count="1" selected="0">
            <x v="0"/>
          </reference>
          <reference field="5" count="1" selected="0">
            <x v="3"/>
          </reference>
        </references>
      </pivotArea>
    </chartFormat>
    <chartFormat chart="5" format="58" series="1">
      <pivotArea type="data" outline="0" fieldPosition="0">
        <references count="2">
          <reference field="4294967294" count="1" selected="0">
            <x v="0"/>
          </reference>
          <reference field="5" count="1" selected="0">
            <x v="4"/>
          </reference>
        </references>
      </pivotArea>
    </chartFormat>
    <chartFormat chart="5" format="59" series="1">
      <pivotArea type="data" outline="0" fieldPosition="0">
        <references count="2">
          <reference field="4294967294" count="1" selected="0">
            <x v="0"/>
          </reference>
          <reference field="5" count="1" selected="0">
            <x v="5"/>
          </reference>
        </references>
      </pivotArea>
    </chartFormat>
    <chartFormat chart="5" format="60" series="1">
      <pivotArea type="data" outline="0" fieldPosition="0">
        <references count="1">
          <reference field="4294967294" count="1" selected="0">
            <x v="0"/>
          </reference>
        </references>
      </pivotArea>
    </chartFormat>
    <chartFormat chart="0" format="48" series="1">
      <pivotArea type="data" outline="0" fieldPosition="0">
        <references count="1">
          <reference field="4294967294" count="1" selected="0">
            <x v="0"/>
          </reference>
        </references>
      </pivotArea>
    </chartFormat>
    <chartFormat chart="15" format="62" series="1">
      <pivotArea type="data" outline="0" fieldPosition="0">
        <references count="1">
          <reference field="4294967294" count="1" selected="0">
            <x v="0"/>
          </reference>
        </references>
      </pivotArea>
    </chartFormat>
    <chartFormat chart="15" format="63" series="1">
      <pivotArea type="data" outline="0" fieldPosition="0">
        <references count="2">
          <reference field="4294967294" count="1" selected="0">
            <x v="0"/>
          </reference>
          <reference field="5" count="1" selected="0">
            <x v="1"/>
          </reference>
        </references>
      </pivotArea>
    </chartFormat>
    <chartFormat chart="15" format="64" series="1">
      <pivotArea type="data" outline="0" fieldPosition="0">
        <references count="2">
          <reference field="4294967294" count="1" selected="0">
            <x v="0"/>
          </reference>
          <reference field="5" count="1" selected="0">
            <x v="2"/>
          </reference>
        </references>
      </pivotArea>
    </chartFormat>
    <chartFormat chart="15" format="65" series="1">
      <pivotArea type="data" outline="0" fieldPosition="0">
        <references count="2">
          <reference field="4294967294" count="1" selected="0">
            <x v="0"/>
          </reference>
          <reference field="5" count="1" selected="0">
            <x v="3"/>
          </reference>
        </references>
      </pivotArea>
    </chartFormat>
    <chartFormat chart="15" format="66" series="1">
      <pivotArea type="data" outline="0" fieldPosition="0">
        <references count="2">
          <reference field="4294967294" count="1" selected="0">
            <x v="0"/>
          </reference>
          <reference field="5" count="1" selected="0">
            <x v="4"/>
          </reference>
        </references>
      </pivotArea>
    </chartFormat>
    <chartFormat chart="15" format="67" series="1">
      <pivotArea type="data" outline="0" fieldPosition="0">
        <references count="2">
          <reference field="4294967294" count="1" selected="0">
            <x v="0"/>
          </reference>
          <reference field="5" count="1" selected="0">
            <x v="5"/>
          </reference>
        </references>
      </pivotArea>
    </chartFormat>
    <chartFormat chart="15" format="68"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B31:C37" firstHeaderRow="1" firstDataRow="2" firstDataCol="1"/>
  <pivotFields count="17">
    <pivotField compact="0" outline="0" showAll="0"/>
    <pivotField compact="0" outline="0" showAll="0"/>
    <pivotField compact="0" outline="0" showAll="0"/>
    <pivotField compact="0" outline="0" showAll="0"/>
    <pivotField compact="0" outline="0" showAll="0"/>
    <pivotField axis="axisCol" compact="0" outline="0" showAll="0">
      <items count="7">
        <item h="1" x="0"/>
        <item h="1" x="1"/>
        <item h="1" x="2"/>
        <item x="3"/>
        <item h="1" x="4"/>
        <item h="1" x="5"/>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axis="axisRow" dataField="1" compact="0" outline="0" showAll="0">
      <items count="6">
        <item x="3"/>
        <item x="1"/>
        <item x="4"/>
        <item x="2"/>
        <item x="0"/>
        <item t="default"/>
      </items>
    </pivotField>
    <pivotField compact="0" outline="0" showAll="0"/>
    <pivotField compact="0" outline="0" showAll="0"/>
  </pivotFields>
  <rowFields count="1">
    <field x="14"/>
  </rowFields>
  <rowItems count="5">
    <i>
      <x/>
    </i>
    <i>
      <x v="1"/>
    </i>
    <i>
      <x v="2"/>
    </i>
    <i>
      <x v="3"/>
    </i>
    <i>
      <x v="4"/>
    </i>
  </rowItems>
  <colFields count="1">
    <field x="5"/>
  </colFields>
  <colItems count="1">
    <i>
      <x v="3"/>
    </i>
  </colItems>
  <dataFields count="1">
    <dataField name="Count of Medication" fld="14" subtotal="count" baseField="14" baseItem="0"/>
  </dataFields>
  <chartFormats count="3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3">
          <reference field="4294967294" count="1" selected="0">
            <x v="0"/>
          </reference>
          <reference field="5" count="1" selected="0">
            <x v="0"/>
          </reference>
          <reference field="14" count="1" selected="0">
            <x v="0"/>
          </reference>
        </references>
      </pivotArea>
    </chartFormat>
    <chartFormat chart="0" format="7" series="1">
      <pivotArea type="data" outline="0" fieldPosition="0">
        <references count="3">
          <reference field="4294967294" count="1" selected="0">
            <x v="0"/>
          </reference>
          <reference field="5" count="1" selected="0">
            <x v="0"/>
          </reference>
          <reference field="14" count="1" selected="0">
            <x v="1"/>
          </reference>
        </references>
      </pivotArea>
    </chartFormat>
    <chartFormat chart="0" format="8" series="1">
      <pivotArea type="data" outline="0" fieldPosition="0">
        <references count="3">
          <reference field="4294967294" count="1" selected="0">
            <x v="0"/>
          </reference>
          <reference field="5" count="1" selected="0">
            <x v="0"/>
          </reference>
          <reference field="14" count="1" selected="0">
            <x v="2"/>
          </reference>
        </references>
      </pivotArea>
    </chartFormat>
    <chartFormat chart="0" format="9" series="1">
      <pivotArea type="data" outline="0" fieldPosition="0">
        <references count="3">
          <reference field="4294967294" count="1" selected="0">
            <x v="0"/>
          </reference>
          <reference field="5" count="1" selected="0">
            <x v="0"/>
          </reference>
          <reference field="14" count="1" selected="0">
            <x v="3"/>
          </reference>
        </references>
      </pivotArea>
    </chartFormat>
    <chartFormat chart="0" format="10" series="1">
      <pivotArea type="data" outline="0" fieldPosition="0">
        <references count="3">
          <reference field="4294967294" count="1" selected="0">
            <x v="0"/>
          </reference>
          <reference field="5" count="1" selected="0">
            <x v="0"/>
          </reference>
          <reference field="14" count="1" selected="0">
            <x v="4"/>
          </reference>
        </references>
      </pivotArea>
    </chartFormat>
    <chartFormat chart="0" format="11" series="1">
      <pivotArea type="data" outline="0" fieldPosition="0">
        <references count="3">
          <reference field="4294967294" count="1" selected="0">
            <x v="0"/>
          </reference>
          <reference field="5" count="1" selected="0">
            <x v="1"/>
          </reference>
          <reference field="14" count="1" selected="0">
            <x v="0"/>
          </reference>
        </references>
      </pivotArea>
    </chartFormat>
    <chartFormat chart="0" format="12" series="1">
      <pivotArea type="data" outline="0" fieldPosition="0">
        <references count="3">
          <reference field="4294967294" count="1" selected="0">
            <x v="0"/>
          </reference>
          <reference field="5" count="1" selected="0">
            <x v="1"/>
          </reference>
          <reference field="14" count="1" selected="0">
            <x v="1"/>
          </reference>
        </references>
      </pivotArea>
    </chartFormat>
    <chartFormat chart="0" format="13" series="1">
      <pivotArea type="data" outline="0" fieldPosition="0">
        <references count="3">
          <reference field="4294967294" count="1" selected="0">
            <x v="0"/>
          </reference>
          <reference field="5" count="1" selected="0">
            <x v="1"/>
          </reference>
          <reference field="14" count="1" selected="0">
            <x v="2"/>
          </reference>
        </references>
      </pivotArea>
    </chartFormat>
    <chartFormat chart="0" format="14" series="1">
      <pivotArea type="data" outline="0" fieldPosition="0">
        <references count="3">
          <reference field="4294967294" count="1" selected="0">
            <x v="0"/>
          </reference>
          <reference field="5" count="1" selected="0">
            <x v="1"/>
          </reference>
          <reference field="14" count="1" selected="0">
            <x v="3"/>
          </reference>
        </references>
      </pivotArea>
    </chartFormat>
    <chartFormat chart="0" format="15" series="1">
      <pivotArea type="data" outline="0" fieldPosition="0">
        <references count="3">
          <reference field="4294967294" count="1" selected="0">
            <x v="0"/>
          </reference>
          <reference field="5" count="1" selected="0">
            <x v="1"/>
          </reference>
          <reference field="14" count="1" selected="0">
            <x v="4"/>
          </reference>
        </references>
      </pivotArea>
    </chartFormat>
    <chartFormat chart="0" format="16" series="1">
      <pivotArea type="data" outline="0" fieldPosition="0">
        <references count="3">
          <reference field="4294967294" count="1" selected="0">
            <x v="0"/>
          </reference>
          <reference field="5" count="1" selected="0">
            <x v="2"/>
          </reference>
          <reference field="14" count="1" selected="0">
            <x v="0"/>
          </reference>
        </references>
      </pivotArea>
    </chartFormat>
    <chartFormat chart="0" format="17" series="1">
      <pivotArea type="data" outline="0" fieldPosition="0">
        <references count="3">
          <reference field="4294967294" count="1" selected="0">
            <x v="0"/>
          </reference>
          <reference field="5" count="1" selected="0">
            <x v="2"/>
          </reference>
          <reference field="14" count="1" selected="0">
            <x v="1"/>
          </reference>
        </references>
      </pivotArea>
    </chartFormat>
    <chartFormat chart="0" format="18" series="1">
      <pivotArea type="data" outline="0" fieldPosition="0">
        <references count="3">
          <reference field="4294967294" count="1" selected="0">
            <x v="0"/>
          </reference>
          <reference field="5" count="1" selected="0">
            <x v="2"/>
          </reference>
          <reference field="14" count="1" selected="0">
            <x v="2"/>
          </reference>
        </references>
      </pivotArea>
    </chartFormat>
    <chartFormat chart="0" format="19" series="1">
      <pivotArea type="data" outline="0" fieldPosition="0">
        <references count="3">
          <reference field="4294967294" count="1" selected="0">
            <x v="0"/>
          </reference>
          <reference field="5" count="1" selected="0">
            <x v="2"/>
          </reference>
          <reference field="14" count="1" selected="0">
            <x v="3"/>
          </reference>
        </references>
      </pivotArea>
    </chartFormat>
    <chartFormat chart="0" format="20" series="1">
      <pivotArea type="data" outline="0" fieldPosition="0">
        <references count="3">
          <reference field="4294967294" count="1" selected="0">
            <x v="0"/>
          </reference>
          <reference field="5" count="1" selected="0">
            <x v="2"/>
          </reference>
          <reference field="14" count="1" selected="0">
            <x v="4"/>
          </reference>
        </references>
      </pivotArea>
    </chartFormat>
    <chartFormat chart="0" format="21" series="1">
      <pivotArea type="data" outline="0" fieldPosition="0">
        <references count="3">
          <reference field="4294967294" count="1" selected="0">
            <x v="0"/>
          </reference>
          <reference field="5" count="1" selected="0">
            <x v="3"/>
          </reference>
          <reference field="14" count="1" selected="0">
            <x v="0"/>
          </reference>
        </references>
      </pivotArea>
    </chartFormat>
    <chartFormat chart="0" format="22" series="1">
      <pivotArea type="data" outline="0" fieldPosition="0">
        <references count="3">
          <reference field="4294967294" count="1" selected="0">
            <x v="0"/>
          </reference>
          <reference field="5" count="1" selected="0">
            <x v="3"/>
          </reference>
          <reference field="14" count="1" selected="0">
            <x v="1"/>
          </reference>
        </references>
      </pivotArea>
    </chartFormat>
    <chartFormat chart="0" format="23" series="1">
      <pivotArea type="data" outline="0" fieldPosition="0">
        <references count="3">
          <reference field="4294967294" count="1" selected="0">
            <x v="0"/>
          </reference>
          <reference field="5" count="1" selected="0">
            <x v="3"/>
          </reference>
          <reference field="14" count="1" selected="0">
            <x v="2"/>
          </reference>
        </references>
      </pivotArea>
    </chartFormat>
    <chartFormat chart="0" format="24" series="1">
      <pivotArea type="data" outline="0" fieldPosition="0">
        <references count="3">
          <reference field="4294967294" count="1" selected="0">
            <x v="0"/>
          </reference>
          <reference field="5" count="1" selected="0">
            <x v="3"/>
          </reference>
          <reference field="14" count="1" selected="0">
            <x v="3"/>
          </reference>
        </references>
      </pivotArea>
    </chartFormat>
    <chartFormat chart="0" format="25" series="1">
      <pivotArea type="data" outline="0" fieldPosition="0">
        <references count="3">
          <reference field="4294967294" count="1" selected="0">
            <x v="0"/>
          </reference>
          <reference field="5" count="1" selected="0">
            <x v="3"/>
          </reference>
          <reference field="14" count="1" selected="0">
            <x v="4"/>
          </reference>
        </references>
      </pivotArea>
    </chartFormat>
    <chartFormat chart="0" format="26" series="1">
      <pivotArea type="data" outline="0" fieldPosition="0">
        <references count="3">
          <reference field="4294967294" count="1" selected="0">
            <x v="0"/>
          </reference>
          <reference field="5" count="1" selected="0">
            <x v="4"/>
          </reference>
          <reference field="14" count="1" selected="0">
            <x v="0"/>
          </reference>
        </references>
      </pivotArea>
    </chartFormat>
    <chartFormat chart="0" format="27" series="1">
      <pivotArea type="data" outline="0" fieldPosition="0">
        <references count="3">
          <reference field="4294967294" count="1" selected="0">
            <x v="0"/>
          </reference>
          <reference field="5" count="1" selected="0">
            <x v="4"/>
          </reference>
          <reference field="14" count="1" selected="0">
            <x v="1"/>
          </reference>
        </references>
      </pivotArea>
    </chartFormat>
    <chartFormat chart="0" format="28" series="1">
      <pivotArea type="data" outline="0" fieldPosition="0">
        <references count="3">
          <reference field="4294967294" count="1" selected="0">
            <x v="0"/>
          </reference>
          <reference field="5" count="1" selected="0">
            <x v="4"/>
          </reference>
          <reference field="14" count="1" selected="0">
            <x v="2"/>
          </reference>
        </references>
      </pivotArea>
    </chartFormat>
    <chartFormat chart="0" format="29" series="1">
      <pivotArea type="data" outline="0" fieldPosition="0">
        <references count="3">
          <reference field="4294967294" count="1" selected="0">
            <x v="0"/>
          </reference>
          <reference field="5" count="1" selected="0">
            <x v="4"/>
          </reference>
          <reference field="14" count="1" selected="0">
            <x v="3"/>
          </reference>
        </references>
      </pivotArea>
    </chartFormat>
    <chartFormat chart="0" format="30" series="1">
      <pivotArea type="data" outline="0" fieldPosition="0">
        <references count="3">
          <reference field="4294967294" count="1" selected="0">
            <x v="0"/>
          </reference>
          <reference field="5" count="1" selected="0">
            <x v="4"/>
          </reference>
          <reference field="14" count="1" selected="0">
            <x v="4"/>
          </reference>
        </references>
      </pivotArea>
    </chartFormat>
    <chartFormat chart="0" format="31" series="1">
      <pivotArea type="data" outline="0" fieldPosition="0">
        <references count="3">
          <reference field="4294967294" count="1" selected="0">
            <x v="0"/>
          </reference>
          <reference field="5" count="1" selected="0">
            <x v="5"/>
          </reference>
          <reference field="14" count="1" selected="0">
            <x v="0"/>
          </reference>
        </references>
      </pivotArea>
    </chartFormat>
    <chartFormat chart="0" format="32" series="1">
      <pivotArea type="data" outline="0" fieldPosition="0">
        <references count="3">
          <reference field="4294967294" count="1" selected="0">
            <x v="0"/>
          </reference>
          <reference field="5" count="1" selected="0">
            <x v="5"/>
          </reference>
          <reference field="14" count="1" selected="0">
            <x v="1"/>
          </reference>
        </references>
      </pivotArea>
    </chartFormat>
    <chartFormat chart="0" format="33" series="1">
      <pivotArea type="data" outline="0" fieldPosition="0">
        <references count="3">
          <reference field="4294967294" count="1" selected="0">
            <x v="0"/>
          </reference>
          <reference field="5" count="1" selected="0">
            <x v="5"/>
          </reference>
          <reference field="14" count="1" selected="0">
            <x v="2"/>
          </reference>
        </references>
      </pivotArea>
    </chartFormat>
    <chartFormat chart="0" format="34" series="1">
      <pivotArea type="data" outline="0" fieldPosition="0">
        <references count="3">
          <reference field="4294967294" count="1" selected="0">
            <x v="0"/>
          </reference>
          <reference field="5" count="1" selected="0">
            <x v="5"/>
          </reference>
          <reference field="14" count="1" selected="0">
            <x v="3"/>
          </reference>
        </references>
      </pivotArea>
    </chartFormat>
    <chartFormat chart="0" format="35" series="1">
      <pivotArea type="data" outline="0" fieldPosition="0">
        <references count="3">
          <reference field="4294967294" count="1" selected="0">
            <x v="0"/>
          </reference>
          <reference field="5" count="1" selected="0">
            <x v="5"/>
          </reference>
          <reference field="14" count="1" selected="0">
            <x v="4"/>
          </reference>
        </references>
      </pivotArea>
    </chartFormat>
    <chartFormat chart="0"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4D4445-7032-42C4-BD55-EE8813462C7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62:H71" firstHeaderRow="0" firstDataRow="1" firstDataCol="1"/>
  <pivotFields count="7">
    <pivotField axis="axisRow" showAll="0">
      <items count="9">
        <item x="1"/>
        <item x="0"/>
        <item x="3"/>
        <item x="2"/>
        <item x="5"/>
        <item x="4"/>
        <item x="7"/>
        <item x="6"/>
        <item t="default"/>
      </items>
    </pivotField>
    <pivotField dataField="1" showAll="0">
      <items count="5">
        <item x="3"/>
        <item x="0"/>
        <item x="1"/>
        <item x="2"/>
        <item t="default"/>
      </items>
    </pivotField>
    <pivotField dataField="1" showAll="0">
      <items count="9">
        <item x="3"/>
        <item x="2"/>
        <item x="7"/>
        <item x="5"/>
        <item x="4"/>
        <item x="1"/>
        <item x="0"/>
        <item x="6"/>
        <item t="default"/>
      </items>
    </pivotField>
    <pivotField dataField="1" showAll="0"/>
    <pivotField dataField="1" showAll="0"/>
    <pivotField dataField="1" showAll="0"/>
    <pivotField showAll="0"/>
  </pivotFields>
  <rowFields count="1">
    <field x="0"/>
  </rowFields>
  <rowItems count="9">
    <i>
      <x/>
    </i>
    <i>
      <x v="1"/>
    </i>
    <i>
      <x v="2"/>
    </i>
    <i>
      <x v="3"/>
    </i>
    <i>
      <x v="4"/>
    </i>
    <i>
      <x v="5"/>
    </i>
    <i>
      <x v="6"/>
    </i>
    <i>
      <x v="7"/>
    </i>
    <i t="grand">
      <x/>
    </i>
  </rowItems>
  <colFields count="1">
    <field x="-2"/>
  </colFields>
  <colItems count="5">
    <i>
      <x/>
    </i>
    <i i="1">
      <x v="1"/>
    </i>
    <i i="2">
      <x v="2"/>
    </i>
    <i i="3">
      <x v="3"/>
    </i>
    <i i="4">
      <x v="4"/>
    </i>
  </colItems>
  <dataFields count="5">
    <dataField name="Max of Asthma" fld="2" subtotal="max" baseField="0" baseItem="0"/>
    <dataField name="Max of Hypertension" fld="5" subtotal="max" baseField="0" baseItem="0"/>
    <dataField name="Max of Diabetes" fld="4" subtotal="max" baseField="0" baseItem="0"/>
    <dataField name="Min of Cancer" fld="3" subtotal="min" baseField="0" baseItem="0"/>
    <dataField name="Min of Arthritis" fld="1" subtotal="min"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C98532-8557-4D74-969E-7E7828B53C14}"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4" rowHeaderCaption="Status">
  <location ref="A46:B51" firstHeaderRow="1" firstDataRow="2" firstDataCol="1"/>
  <pivotFields count="17">
    <pivotField compact="0" outline="0" showAll="0"/>
    <pivotField compact="0" outline="0" showAll="0">
      <items count="8">
        <item x="1"/>
        <item x="3"/>
        <item x="5"/>
        <item x="2"/>
        <item x="4"/>
        <item x="6"/>
        <item x="0"/>
        <item t="default"/>
      </items>
    </pivotField>
    <pivotField compact="0" outline="0" showAll="0"/>
    <pivotField compact="0" outline="0" showAll="0"/>
    <pivotField compact="0" outline="0" showAll="0"/>
    <pivotField axis="axisCol" compact="0" outline="0" showAll="0">
      <items count="7">
        <item h="1" x="0"/>
        <item h="1" x="1"/>
        <item h="1" x="2"/>
        <item x="3"/>
        <item h="1" x="4"/>
        <item h="1" x="5"/>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numFmtId="14" outline="0" showAll="0"/>
    <pivotField compact="0" outline="0" showAll="0"/>
    <pivotField axis="axisRow" dataField="1" compact="0" outline="0" showAll="0">
      <items count="4">
        <item x="2"/>
        <item x="0"/>
        <item x="1"/>
        <item t="default"/>
      </items>
    </pivotField>
    <pivotField compact="0" outline="0" showAll="0"/>
  </pivotFields>
  <rowFields count="1">
    <field x="15"/>
  </rowFields>
  <rowItems count="4">
    <i>
      <x/>
    </i>
    <i>
      <x v="1"/>
    </i>
    <i>
      <x v="2"/>
    </i>
    <i t="grand">
      <x/>
    </i>
  </rowItems>
  <colFields count="1">
    <field x="5"/>
  </colFields>
  <colItems count="1">
    <i>
      <x v="3"/>
    </i>
  </colItems>
  <dataFields count="1">
    <dataField name="After Treatment status of recovery on disease" fld="15" subtotal="count" baseField="0" baseItem="0"/>
  </dataFields>
  <chartFormats count="81">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pivotArea type="data" outline="0" fieldPosition="0">
        <references count="3">
          <reference field="4294967294" count="1" selected="0">
            <x v="0"/>
          </reference>
          <reference field="5" count="1" selected="0">
            <x v="0"/>
          </reference>
          <reference field="15" count="1" selected="0">
            <x v="0"/>
          </reference>
        </references>
      </pivotArea>
    </chartFormat>
    <chartFormat chart="1" format="7">
      <pivotArea type="data" outline="0" fieldPosition="0">
        <references count="3">
          <reference field="4294967294" count="1" selected="0">
            <x v="0"/>
          </reference>
          <reference field="5" count="1" selected="0">
            <x v="0"/>
          </reference>
          <reference field="15" count="1" selected="0">
            <x v="1"/>
          </reference>
        </references>
      </pivotArea>
    </chartFormat>
    <chartFormat chart="1" format="8">
      <pivotArea type="data" outline="0" fieldPosition="0">
        <references count="3">
          <reference field="4294967294" count="1" selected="0">
            <x v="0"/>
          </reference>
          <reference field="5" count="1" selected="0">
            <x v="0"/>
          </reference>
          <reference field="15" count="1" selected="0">
            <x v="2"/>
          </reference>
        </references>
      </pivotArea>
    </chartFormat>
    <chartFormat chart="1" format="9">
      <pivotArea type="data" outline="0" fieldPosition="0">
        <references count="3">
          <reference field="4294967294" count="1" selected="0">
            <x v="0"/>
          </reference>
          <reference field="5" count="1" selected="0">
            <x v="1"/>
          </reference>
          <reference field="15" count="1" selected="0">
            <x v="0"/>
          </reference>
        </references>
      </pivotArea>
    </chartFormat>
    <chartFormat chart="1" format="10">
      <pivotArea type="data" outline="0" fieldPosition="0">
        <references count="3">
          <reference field="4294967294" count="1" selected="0">
            <x v="0"/>
          </reference>
          <reference field="5" count="1" selected="0">
            <x v="1"/>
          </reference>
          <reference field="15" count="1" selected="0">
            <x v="1"/>
          </reference>
        </references>
      </pivotArea>
    </chartFormat>
    <chartFormat chart="1" format="11">
      <pivotArea type="data" outline="0" fieldPosition="0">
        <references count="3">
          <reference field="4294967294" count="1" selected="0">
            <x v="0"/>
          </reference>
          <reference field="5" count="1" selected="0">
            <x v="1"/>
          </reference>
          <reference field="15" count="1" selected="0">
            <x v="2"/>
          </reference>
        </references>
      </pivotArea>
    </chartFormat>
    <chartFormat chart="1" format="12">
      <pivotArea type="data" outline="0" fieldPosition="0">
        <references count="3">
          <reference field="4294967294" count="1" selected="0">
            <x v="0"/>
          </reference>
          <reference field="5" count="1" selected="0">
            <x v="2"/>
          </reference>
          <reference field="15" count="1" selected="0">
            <x v="0"/>
          </reference>
        </references>
      </pivotArea>
    </chartFormat>
    <chartFormat chart="1" format="13">
      <pivotArea type="data" outline="0" fieldPosition="0">
        <references count="3">
          <reference field="4294967294" count="1" selected="0">
            <x v="0"/>
          </reference>
          <reference field="5" count="1" selected="0">
            <x v="2"/>
          </reference>
          <reference field="15" count="1" selected="0">
            <x v="1"/>
          </reference>
        </references>
      </pivotArea>
    </chartFormat>
    <chartFormat chart="1" format="14">
      <pivotArea type="data" outline="0" fieldPosition="0">
        <references count="3">
          <reference field="4294967294" count="1" selected="0">
            <x v="0"/>
          </reference>
          <reference field="5" count="1" selected="0">
            <x v="2"/>
          </reference>
          <reference field="15" count="1" selected="0">
            <x v="2"/>
          </reference>
        </references>
      </pivotArea>
    </chartFormat>
    <chartFormat chart="1" format="15">
      <pivotArea type="data" outline="0" fieldPosition="0">
        <references count="3">
          <reference field="4294967294" count="1" selected="0">
            <x v="0"/>
          </reference>
          <reference field="5" count="1" selected="0">
            <x v="3"/>
          </reference>
          <reference field="15" count="1" selected="0">
            <x v="0"/>
          </reference>
        </references>
      </pivotArea>
    </chartFormat>
    <chartFormat chart="1" format="16">
      <pivotArea type="data" outline="0" fieldPosition="0">
        <references count="3">
          <reference field="4294967294" count="1" selected="0">
            <x v="0"/>
          </reference>
          <reference field="5" count="1" selected="0">
            <x v="3"/>
          </reference>
          <reference field="15" count="1" selected="0">
            <x v="1"/>
          </reference>
        </references>
      </pivotArea>
    </chartFormat>
    <chartFormat chart="1" format="17">
      <pivotArea type="data" outline="0" fieldPosition="0">
        <references count="3">
          <reference field="4294967294" count="1" selected="0">
            <x v="0"/>
          </reference>
          <reference field="5" count="1" selected="0">
            <x v="3"/>
          </reference>
          <reference field="15" count="1" selected="0">
            <x v="2"/>
          </reference>
        </references>
      </pivotArea>
    </chartFormat>
    <chartFormat chart="1" format="18">
      <pivotArea type="data" outline="0" fieldPosition="0">
        <references count="3">
          <reference field="4294967294" count="1" selected="0">
            <x v="0"/>
          </reference>
          <reference field="5" count="1" selected="0">
            <x v="4"/>
          </reference>
          <reference field="15" count="1" selected="0">
            <x v="0"/>
          </reference>
        </references>
      </pivotArea>
    </chartFormat>
    <chartFormat chart="1" format="19">
      <pivotArea type="data" outline="0" fieldPosition="0">
        <references count="3">
          <reference field="4294967294" count="1" selected="0">
            <x v="0"/>
          </reference>
          <reference field="5" count="1" selected="0">
            <x v="4"/>
          </reference>
          <reference field="15" count="1" selected="0">
            <x v="1"/>
          </reference>
        </references>
      </pivotArea>
    </chartFormat>
    <chartFormat chart="1" format="20">
      <pivotArea type="data" outline="0" fieldPosition="0">
        <references count="3">
          <reference field="4294967294" count="1" selected="0">
            <x v="0"/>
          </reference>
          <reference field="5" count="1" selected="0">
            <x v="4"/>
          </reference>
          <reference field="15" count="1" selected="0">
            <x v="2"/>
          </reference>
        </references>
      </pivotArea>
    </chartFormat>
    <chartFormat chart="1" format="21">
      <pivotArea type="data" outline="0" fieldPosition="0">
        <references count="3">
          <reference field="4294967294" count="1" selected="0">
            <x v="0"/>
          </reference>
          <reference field="5" count="1" selected="0">
            <x v="5"/>
          </reference>
          <reference field="15" count="1" selected="0">
            <x v="0"/>
          </reference>
        </references>
      </pivotArea>
    </chartFormat>
    <chartFormat chart="1" format="22">
      <pivotArea type="data" outline="0" fieldPosition="0">
        <references count="3">
          <reference field="4294967294" count="1" selected="0">
            <x v="0"/>
          </reference>
          <reference field="5" count="1" selected="0">
            <x v="5"/>
          </reference>
          <reference field="15" count="1" selected="0">
            <x v="1"/>
          </reference>
        </references>
      </pivotArea>
    </chartFormat>
    <chartFormat chart="1" format="23">
      <pivotArea type="data" outline="0" fieldPosition="0">
        <references count="3">
          <reference field="4294967294" count="1" selected="0">
            <x v="0"/>
          </reference>
          <reference field="5" count="1" selected="0">
            <x v="5"/>
          </reference>
          <reference field="15" count="1" selected="0">
            <x v="2"/>
          </reference>
        </references>
      </pivotArea>
    </chartFormat>
    <chartFormat chart="13" format="48" series="1">
      <pivotArea type="data" outline="0" fieldPosition="0">
        <references count="2">
          <reference field="4294967294" count="1" selected="0">
            <x v="0"/>
          </reference>
          <reference field="5" count="1" selected="0">
            <x v="0"/>
          </reference>
        </references>
      </pivotArea>
    </chartFormat>
    <chartFormat chart="13" format="49">
      <pivotArea type="data" outline="0" fieldPosition="0">
        <references count="3">
          <reference field="4294967294" count="1" selected="0">
            <x v="0"/>
          </reference>
          <reference field="5" count="1" selected="0">
            <x v="0"/>
          </reference>
          <reference field="15" count="1" selected="0">
            <x v="0"/>
          </reference>
        </references>
      </pivotArea>
    </chartFormat>
    <chartFormat chart="13" format="50">
      <pivotArea type="data" outline="0" fieldPosition="0">
        <references count="3">
          <reference field="4294967294" count="1" selected="0">
            <x v="0"/>
          </reference>
          <reference field="5" count="1" selected="0">
            <x v="0"/>
          </reference>
          <reference field="15" count="1" selected="0">
            <x v="1"/>
          </reference>
        </references>
      </pivotArea>
    </chartFormat>
    <chartFormat chart="13" format="51">
      <pivotArea type="data" outline="0" fieldPosition="0">
        <references count="3">
          <reference field="4294967294" count="1" selected="0">
            <x v="0"/>
          </reference>
          <reference field="5" count="1" selected="0">
            <x v="0"/>
          </reference>
          <reference field="15" count="1" selected="0">
            <x v="2"/>
          </reference>
        </references>
      </pivotArea>
    </chartFormat>
    <chartFormat chart="13" format="52" series="1">
      <pivotArea type="data" outline="0" fieldPosition="0">
        <references count="2">
          <reference field="4294967294" count="1" selected="0">
            <x v="0"/>
          </reference>
          <reference field="5" count="1" selected="0">
            <x v="1"/>
          </reference>
        </references>
      </pivotArea>
    </chartFormat>
    <chartFormat chart="13" format="53">
      <pivotArea type="data" outline="0" fieldPosition="0">
        <references count="3">
          <reference field="4294967294" count="1" selected="0">
            <x v="0"/>
          </reference>
          <reference field="5" count="1" selected="0">
            <x v="1"/>
          </reference>
          <reference field="15" count="1" selected="0">
            <x v="0"/>
          </reference>
        </references>
      </pivotArea>
    </chartFormat>
    <chartFormat chart="13" format="54">
      <pivotArea type="data" outline="0" fieldPosition="0">
        <references count="3">
          <reference field="4294967294" count="1" selected="0">
            <x v="0"/>
          </reference>
          <reference field="5" count="1" selected="0">
            <x v="1"/>
          </reference>
          <reference field="15" count="1" selected="0">
            <x v="1"/>
          </reference>
        </references>
      </pivotArea>
    </chartFormat>
    <chartFormat chart="13" format="55">
      <pivotArea type="data" outline="0" fieldPosition="0">
        <references count="3">
          <reference field="4294967294" count="1" selected="0">
            <x v="0"/>
          </reference>
          <reference field="5" count="1" selected="0">
            <x v="1"/>
          </reference>
          <reference field="15" count="1" selected="0">
            <x v="2"/>
          </reference>
        </references>
      </pivotArea>
    </chartFormat>
    <chartFormat chart="13" format="56" series="1">
      <pivotArea type="data" outline="0" fieldPosition="0">
        <references count="2">
          <reference field="4294967294" count="1" selected="0">
            <x v="0"/>
          </reference>
          <reference field="5" count="1" selected="0">
            <x v="2"/>
          </reference>
        </references>
      </pivotArea>
    </chartFormat>
    <chartFormat chart="13" format="57">
      <pivotArea type="data" outline="0" fieldPosition="0">
        <references count="3">
          <reference field="4294967294" count="1" selected="0">
            <x v="0"/>
          </reference>
          <reference field="5" count="1" selected="0">
            <x v="2"/>
          </reference>
          <reference field="15" count="1" selected="0">
            <x v="0"/>
          </reference>
        </references>
      </pivotArea>
    </chartFormat>
    <chartFormat chart="13" format="58">
      <pivotArea type="data" outline="0" fieldPosition="0">
        <references count="3">
          <reference field="4294967294" count="1" selected="0">
            <x v="0"/>
          </reference>
          <reference field="5" count="1" selected="0">
            <x v="2"/>
          </reference>
          <reference field="15" count="1" selected="0">
            <x v="1"/>
          </reference>
        </references>
      </pivotArea>
    </chartFormat>
    <chartFormat chart="13" format="59">
      <pivotArea type="data" outline="0" fieldPosition="0">
        <references count="3">
          <reference field="4294967294" count="1" selected="0">
            <x v="0"/>
          </reference>
          <reference field="5" count="1" selected="0">
            <x v="2"/>
          </reference>
          <reference field="15" count="1" selected="0">
            <x v="2"/>
          </reference>
        </references>
      </pivotArea>
    </chartFormat>
    <chartFormat chart="13" format="60" series="1">
      <pivotArea type="data" outline="0" fieldPosition="0">
        <references count="2">
          <reference field="4294967294" count="1" selected="0">
            <x v="0"/>
          </reference>
          <reference field="5" count="1" selected="0">
            <x v="3"/>
          </reference>
        </references>
      </pivotArea>
    </chartFormat>
    <chartFormat chart="13" format="61">
      <pivotArea type="data" outline="0" fieldPosition="0">
        <references count="3">
          <reference field="4294967294" count="1" selected="0">
            <x v="0"/>
          </reference>
          <reference field="5" count="1" selected="0">
            <x v="3"/>
          </reference>
          <reference field="15" count="1" selected="0">
            <x v="0"/>
          </reference>
        </references>
      </pivotArea>
    </chartFormat>
    <chartFormat chart="13" format="62">
      <pivotArea type="data" outline="0" fieldPosition="0">
        <references count="3">
          <reference field="4294967294" count="1" selected="0">
            <x v="0"/>
          </reference>
          <reference field="5" count="1" selected="0">
            <x v="3"/>
          </reference>
          <reference field="15" count="1" selected="0">
            <x v="1"/>
          </reference>
        </references>
      </pivotArea>
    </chartFormat>
    <chartFormat chart="13" format="63">
      <pivotArea type="data" outline="0" fieldPosition="0">
        <references count="3">
          <reference field="4294967294" count="1" selected="0">
            <x v="0"/>
          </reference>
          <reference field="5" count="1" selected="0">
            <x v="3"/>
          </reference>
          <reference field="15" count="1" selected="0">
            <x v="2"/>
          </reference>
        </references>
      </pivotArea>
    </chartFormat>
    <chartFormat chart="13" format="64" series="1">
      <pivotArea type="data" outline="0" fieldPosition="0">
        <references count="2">
          <reference field="4294967294" count="1" selected="0">
            <x v="0"/>
          </reference>
          <reference field="5" count="1" selected="0">
            <x v="4"/>
          </reference>
        </references>
      </pivotArea>
    </chartFormat>
    <chartFormat chart="13" format="65">
      <pivotArea type="data" outline="0" fieldPosition="0">
        <references count="3">
          <reference field="4294967294" count="1" selected="0">
            <x v="0"/>
          </reference>
          <reference field="5" count="1" selected="0">
            <x v="4"/>
          </reference>
          <reference field="15" count="1" selected="0">
            <x v="0"/>
          </reference>
        </references>
      </pivotArea>
    </chartFormat>
    <chartFormat chart="13" format="66">
      <pivotArea type="data" outline="0" fieldPosition="0">
        <references count="3">
          <reference field="4294967294" count="1" selected="0">
            <x v="0"/>
          </reference>
          <reference field="5" count="1" selected="0">
            <x v="4"/>
          </reference>
          <reference field="15" count="1" selected="0">
            <x v="1"/>
          </reference>
        </references>
      </pivotArea>
    </chartFormat>
    <chartFormat chart="13" format="67">
      <pivotArea type="data" outline="0" fieldPosition="0">
        <references count="3">
          <reference field="4294967294" count="1" selected="0">
            <x v="0"/>
          </reference>
          <reference field="5" count="1" selected="0">
            <x v="4"/>
          </reference>
          <reference field="15" count="1" selected="0">
            <x v="2"/>
          </reference>
        </references>
      </pivotArea>
    </chartFormat>
    <chartFormat chart="13" format="68" series="1">
      <pivotArea type="data" outline="0" fieldPosition="0">
        <references count="2">
          <reference field="4294967294" count="1" selected="0">
            <x v="0"/>
          </reference>
          <reference field="5" count="1" selected="0">
            <x v="5"/>
          </reference>
        </references>
      </pivotArea>
    </chartFormat>
    <chartFormat chart="13" format="69">
      <pivotArea type="data" outline="0" fieldPosition="0">
        <references count="3">
          <reference field="4294967294" count="1" selected="0">
            <x v="0"/>
          </reference>
          <reference field="5" count="1" selected="0">
            <x v="5"/>
          </reference>
          <reference field="15" count="1" selected="0">
            <x v="0"/>
          </reference>
        </references>
      </pivotArea>
    </chartFormat>
    <chartFormat chart="13" format="70">
      <pivotArea type="data" outline="0" fieldPosition="0">
        <references count="3">
          <reference field="4294967294" count="1" selected="0">
            <x v="0"/>
          </reference>
          <reference field="5" count="1" selected="0">
            <x v="5"/>
          </reference>
          <reference field="15" count="1" selected="0">
            <x v="1"/>
          </reference>
        </references>
      </pivotArea>
    </chartFormat>
    <chartFormat chart="13" format="71">
      <pivotArea type="data" outline="0" fieldPosition="0">
        <references count="3">
          <reference field="4294967294" count="1" selected="0">
            <x v="0"/>
          </reference>
          <reference field="5" count="1" selected="0">
            <x v="5"/>
          </reference>
          <reference field="15" count="1" selected="0">
            <x v="2"/>
          </reference>
        </references>
      </pivotArea>
    </chartFormat>
    <chartFormat chart="13" format="72" series="1">
      <pivotArea type="data" outline="0" fieldPosition="0">
        <references count="1">
          <reference field="4294967294" count="1" selected="0">
            <x v="0"/>
          </reference>
        </references>
      </pivotArea>
    </chartFormat>
    <chartFormat chart="1" format="24" series="1">
      <pivotArea type="data" outline="0" fieldPosition="0">
        <references count="1">
          <reference field="4294967294" count="1" selected="0">
            <x v="0"/>
          </reference>
        </references>
      </pivotArea>
    </chartFormat>
    <chartFormat chart="1" format="25">
      <pivotArea type="data" outline="0" fieldPosition="0">
        <references count="2">
          <reference field="4294967294" count="1" selected="0">
            <x v="0"/>
          </reference>
          <reference field="15" count="1" selected="0">
            <x v="0"/>
          </reference>
        </references>
      </pivotArea>
    </chartFormat>
    <chartFormat chart="1" format="26">
      <pivotArea type="data" outline="0" fieldPosition="0">
        <references count="2">
          <reference field="4294967294" count="1" selected="0">
            <x v="0"/>
          </reference>
          <reference field="15" count="1" selected="0">
            <x v="1"/>
          </reference>
        </references>
      </pivotArea>
    </chartFormat>
    <chartFormat chart="1" format="27">
      <pivotArea type="data" outline="0" fieldPosition="0">
        <references count="2">
          <reference field="4294967294" count="1" selected="0">
            <x v="0"/>
          </reference>
          <reference field="15" count="1" selected="0">
            <x v="2"/>
          </reference>
        </references>
      </pivotArea>
    </chartFormat>
    <chartFormat chart="21" format="146" series="1">
      <pivotArea type="data" outline="0" fieldPosition="0">
        <references count="2">
          <reference field="4294967294" count="1" selected="0">
            <x v="0"/>
          </reference>
          <reference field="5" count="1" selected="0">
            <x v="0"/>
          </reference>
        </references>
      </pivotArea>
    </chartFormat>
    <chartFormat chart="21" format="147">
      <pivotArea type="data" outline="0" fieldPosition="0">
        <references count="3">
          <reference field="4294967294" count="1" selected="0">
            <x v="0"/>
          </reference>
          <reference field="5" count="1" selected="0">
            <x v="0"/>
          </reference>
          <reference field="15" count="1" selected="0">
            <x v="0"/>
          </reference>
        </references>
      </pivotArea>
    </chartFormat>
    <chartFormat chart="21" format="148">
      <pivotArea type="data" outline="0" fieldPosition="0">
        <references count="3">
          <reference field="4294967294" count="1" selected="0">
            <x v="0"/>
          </reference>
          <reference field="5" count="1" selected="0">
            <x v="0"/>
          </reference>
          <reference field="15" count="1" selected="0">
            <x v="1"/>
          </reference>
        </references>
      </pivotArea>
    </chartFormat>
    <chartFormat chart="21" format="149">
      <pivotArea type="data" outline="0" fieldPosition="0">
        <references count="3">
          <reference field="4294967294" count="1" selected="0">
            <x v="0"/>
          </reference>
          <reference field="5" count="1" selected="0">
            <x v="0"/>
          </reference>
          <reference field="15" count="1" selected="0">
            <x v="2"/>
          </reference>
        </references>
      </pivotArea>
    </chartFormat>
    <chartFormat chart="21" format="150" series="1">
      <pivotArea type="data" outline="0" fieldPosition="0">
        <references count="2">
          <reference field="4294967294" count="1" selected="0">
            <x v="0"/>
          </reference>
          <reference field="5" count="1" selected="0">
            <x v="1"/>
          </reference>
        </references>
      </pivotArea>
    </chartFormat>
    <chartFormat chart="21" format="151">
      <pivotArea type="data" outline="0" fieldPosition="0">
        <references count="3">
          <reference field="4294967294" count="1" selected="0">
            <x v="0"/>
          </reference>
          <reference field="5" count="1" selected="0">
            <x v="1"/>
          </reference>
          <reference field="15" count="1" selected="0">
            <x v="0"/>
          </reference>
        </references>
      </pivotArea>
    </chartFormat>
    <chartFormat chart="21" format="152">
      <pivotArea type="data" outline="0" fieldPosition="0">
        <references count="3">
          <reference field="4294967294" count="1" selected="0">
            <x v="0"/>
          </reference>
          <reference field="5" count="1" selected="0">
            <x v="1"/>
          </reference>
          <reference field="15" count="1" selected="0">
            <x v="1"/>
          </reference>
        </references>
      </pivotArea>
    </chartFormat>
    <chartFormat chart="21" format="153">
      <pivotArea type="data" outline="0" fieldPosition="0">
        <references count="3">
          <reference field="4294967294" count="1" selected="0">
            <x v="0"/>
          </reference>
          <reference field="5" count="1" selected="0">
            <x v="1"/>
          </reference>
          <reference field="15" count="1" selected="0">
            <x v="2"/>
          </reference>
        </references>
      </pivotArea>
    </chartFormat>
    <chartFormat chart="21" format="154" series="1">
      <pivotArea type="data" outline="0" fieldPosition="0">
        <references count="2">
          <reference field="4294967294" count="1" selected="0">
            <x v="0"/>
          </reference>
          <reference field="5" count="1" selected="0">
            <x v="2"/>
          </reference>
        </references>
      </pivotArea>
    </chartFormat>
    <chartFormat chart="21" format="155">
      <pivotArea type="data" outline="0" fieldPosition="0">
        <references count="3">
          <reference field="4294967294" count="1" selected="0">
            <x v="0"/>
          </reference>
          <reference field="5" count="1" selected="0">
            <x v="2"/>
          </reference>
          <reference field="15" count="1" selected="0">
            <x v="0"/>
          </reference>
        </references>
      </pivotArea>
    </chartFormat>
    <chartFormat chart="21" format="156">
      <pivotArea type="data" outline="0" fieldPosition="0">
        <references count="3">
          <reference field="4294967294" count="1" selected="0">
            <x v="0"/>
          </reference>
          <reference field="5" count="1" selected="0">
            <x v="2"/>
          </reference>
          <reference field="15" count="1" selected="0">
            <x v="1"/>
          </reference>
        </references>
      </pivotArea>
    </chartFormat>
    <chartFormat chart="21" format="157">
      <pivotArea type="data" outline="0" fieldPosition="0">
        <references count="3">
          <reference field="4294967294" count="1" selected="0">
            <x v="0"/>
          </reference>
          <reference field="5" count="1" selected="0">
            <x v="2"/>
          </reference>
          <reference field="15" count="1" selected="0">
            <x v="2"/>
          </reference>
        </references>
      </pivotArea>
    </chartFormat>
    <chartFormat chart="21" format="158" series="1">
      <pivotArea type="data" outline="0" fieldPosition="0">
        <references count="2">
          <reference field="4294967294" count="1" selected="0">
            <x v="0"/>
          </reference>
          <reference field="5" count="1" selected="0">
            <x v="3"/>
          </reference>
        </references>
      </pivotArea>
    </chartFormat>
    <chartFormat chart="21" format="159">
      <pivotArea type="data" outline="0" fieldPosition="0">
        <references count="3">
          <reference field="4294967294" count="1" selected="0">
            <x v="0"/>
          </reference>
          <reference field="5" count="1" selected="0">
            <x v="3"/>
          </reference>
          <reference field="15" count="1" selected="0">
            <x v="0"/>
          </reference>
        </references>
      </pivotArea>
    </chartFormat>
    <chartFormat chart="21" format="160">
      <pivotArea type="data" outline="0" fieldPosition="0">
        <references count="3">
          <reference field="4294967294" count="1" selected="0">
            <x v="0"/>
          </reference>
          <reference field="5" count="1" selected="0">
            <x v="3"/>
          </reference>
          <reference field="15" count="1" selected="0">
            <x v="1"/>
          </reference>
        </references>
      </pivotArea>
    </chartFormat>
    <chartFormat chart="21" format="161">
      <pivotArea type="data" outline="0" fieldPosition="0">
        <references count="3">
          <reference field="4294967294" count="1" selected="0">
            <x v="0"/>
          </reference>
          <reference field="5" count="1" selected="0">
            <x v="3"/>
          </reference>
          <reference field="15" count="1" selected="0">
            <x v="2"/>
          </reference>
        </references>
      </pivotArea>
    </chartFormat>
    <chartFormat chart="21" format="162" series="1">
      <pivotArea type="data" outline="0" fieldPosition="0">
        <references count="2">
          <reference field="4294967294" count="1" selected="0">
            <x v="0"/>
          </reference>
          <reference field="5" count="1" selected="0">
            <x v="4"/>
          </reference>
        </references>
      </pivotArea>
    </chartFormat>
    <chartFormat chart="21" format="163">
      <pivotArea type="data" outline="0" fieldPosition="0">
        <references count="3">
          <reference field="4294967294" count="1" selected="0">
            <x v="0"/>
          </reference>
          <reference field="5" count="1" selected="0">
            <x v="4"/>
          </reference>
          <reference field="15" count="1" selected="0">
            <x v="0"/>
          </reference>
        </references>
      </pivotArea>
    </chartFormat>
    <chartFormat chart="21" format="164">
      <pivotArea type="data" outline="0" fieldPosition="0">
        <references count="3">
          <reference field="4294967294" count="1" selected="0">
            <x v="0"/>
          </reference>
          <reference field="5" count="1" selected="0">
            <x v="4"/>
          </reference>
          <reference field="15" count="1" selected="0">
            <x v="1"/>
          </reference>
        </references>
      </pivotArea>
    </chartFormat>
    <chartFormat chart="21" format="165">
      <pivotArea type="data" outline="0" fieldPosition="0">
        <references count="3">
          <reference field="4294967294" count="1" selected="0">
            <x v="0"/>
          </reference>
          <reference field="5" count="1" selected="0">
            <x v="4"/>
          </reference>
          <reference field="15" count="1" selected="0">
            <x v="2"/>
          </reference>
        </references>
      </pivotArea>
    </chartFormat>
    <chartFormat chart="21" format="166" series="1">
      <pivotArea type="data" outline="0" fieldPosition="0">
        <references count="2">
          <reference field="4294967294" count="1" selected="0">
            <x v="0"/>
          </reference>
          <reference field="5" count="1" selected="0">
            <x v="5"/>
          </reference>
        </references>
      </pivotArea>
    </chartFormat>
    <chartFormat chart="21" format="167">
      <pivotArea type="data" outline="0" fieldPosition="0">
        <references count="3">
          <reference field="4294967294" count="1" selected="0">
            <x v="0"/>
          </reference>
          <reference field="5" count="1" selected="0">
            <x v="5"/>
          </reference>
          <reference field="15" count="1" selected="0">
            <x v="0"/>
          </reference>
        </references>
      </pivotArea>
    </chartFormat>
    <chartFormat chart="21" format="168">
      <pivotArea type="data" outline="0" fieldPosition="0">
        <references count="3">
          <reference field="4294967294" count="1" selected="0">
            <x v="0"/>
          </reference>
          <reference field="5" count="1" selected="0">
            <x v="5"/>
          </reference>
          <reference field="15" count="1" selected="0">
            <x v="1"/>
          </reference>
        </references>
      </pivotArea>
    </chartFormat>
    <chartFormat chart="21" format="169">
      <pivotArea type="data" outline="0" fieldPosition="0">
        <references count="3">
          <reference field="4294967294" count="1" selected="0">
            <x v="0"/>
          </reference>
          <reference field="5" count="1" selected="0">
            <x v="5"/>
          </reference>
          <reference field="15" count="1" selected="0">
            <x v="2"/>
          </reference>
        </references>
      </pivotArea>
    </chartFormat>
    <chartFormat chart="21" format="170" series="1">
      <pivotArea type="data" outline="0" fieldPosition="0">
        <references count="1">
          <reference field="4294967294" count="1" selected="0">
            <x v="0"/>
          </reference>
        </references>
      </pivotArea>
    </chartFormat>
    <chartFormat chart="21" format="171">
      <pivotArea type="data" outline="0" fieldPosition="0">
        <references count="2">
          <reference field="4294967294" count="1" selected="0">
            <x v="0"/>
          </reference>
          <reference field="15" count="1" selected="0">
            <x v="0"/>
          </reference>
        </references>
      </pivotArea>
    </chartFormat>
    <chartFormat chart="21" format="172">
      <pivotArea type="data" outline="0" fieldPosition="0">
        <references count="2">
          <reference field="4294967294" count="1" selected="0">
            <x v="0"/>
          </reference>
          <reference field="15" count="1" selected="0">
            <x v="1"/>
          </reference>
        </references>
      </pivotArea>
    </chartFormat>
    <chartFormat chart="21" format="17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DBE226-D958-4289-BF3B-9ACFAB396F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1:C25" firstHeaderRow="1" firstDataRow="2" firstDataCol="1"/>
  <pivotFields count="17">
    <pivotField showAll="0"/>
    <pivotField showAll="0"/>
    <pivotField showAll="0"/>
    <pivotField axis="axisRow" showAll="0">
      <items count="3">
        <item x="0"/>
        <item x="1"/>
        <item t="default"/>
      </items>
    </pivotField>
    <pivotField showAll="0"/>
    <pivotField axis="axisCol" dataField="1" showAll="0">
      <items count="7">
        <item h="1" x="0"/>
        <item h="1" x="1"/>
        <item h="1" x="2"/>
        <item x="3"/>
        <item h="1" x="4"/>
        <item h="1" x="5"/>
        <item t="default"/>
      </items>
    </pivotField>
    <pivotField numFmtId="14" showAll="0"/>
    <pivotField showAll="0"/>
    <pivotField showAll="0"/>
    <pivotField showAll="0"/>
    <pivotField showAll="0"/>
    <pivotField showAll="0"/>
    <pivotField showAll="0"/>
    <pivotField numFmtId="14" showAll="0"/>
    <pivotField showAll="0"/>
    <pivotField showAll="0"/>
    <pivotField showAll="0"/>
  </pivotFields>
  <rowFields count="1">
    <field x="3"/>
  </rowFields>
  <rowItems count="3">
    <i>
      <x/>
    </i>
    <i>
      <x v="1"/>
    </i>
    <i t="grand">
      <x/>
    </i>
  </rowItems>
  <colFields count="1">
    <field x="5"/>
  </colFields>
  <colItems count="2">
    <i>
      <x v="3"/>
    </i>
    <i t="grand">
      <x/>
    </i>
  </colItems>
  <dataFields count="1">
    <dataField name="Count of Medical Condition" fld="5" subtotal="count" baseField="3" baseItem="0"/>
  </dataFields>
  <chartFormats count="5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pivotArea type="data" outline="0" fieldPosition="0">
        <references count="3">
          <reference field="4294967294" count="1" selected="0">
            <x v="0"/>
          </reference>
          <reference field="3" count="1" selected="0">
            <x v="0"/>
          </reference>
          <reference field="5" count="1" selected="0">
            <x v="0"/>
          </reference>
        </references>
      </pivotArea>
    </chartFormat>
    <chartFormat chart="0" format="7">
      <pivotArea type="data" outline="0" fieldPosition="0">
        <references count="3">
          <reference field="4294967294" count="1" selected="0">
            <x v="0"/>
          </reference>
          <reference field="3" count="1" selected="0">
            <x v="1"/>
          </reference>
          <reference field="5" count="1" selected="0">
            <x v="0"/>
          </reference>
        </references>
      </pivotArea>
    </chartFormat>
    <chartFormat chart="0" format="8">
      <pivotArea type="data" outline="0" fieldPosition="0">
        <references count="3">
          <reference field="4294967294" count="1" selected="0">
            <x v="0"/>
          </reference>
          <reference field="3" count="1" selected="0">
            <x v="0"/>
          </reference>
          <reference field="5" count="1" selected="0">
            <x v="1"/>
          </reference>
        </references>
      </pivotArea>
    </chartFormat>
    <chartFormat chart="0" format="9">
      <pivotArea type="data" outline="0" fieldPosition="0">
        <references count="3">
          <reference field="4294967294" count="1" selected="0">
            <x v="0"/>
          </reference>
          <reference field="3" count="1" selected="0">
            <x v="1"/>
          </reference>
          <reference field="5" count="1" selected="0">
            <x v="1"/>
          </reference>
        </references>
      </pivotArea>
    </chartFormat>
    <chartFormat chart="0" format="10">
      <pivotArea type="data" outline="0" fieldPosition="0">
        <references count="3">
          <reference field="4294967294" count="1" selected="0">
            <x v="0"/>
          </reference>
          <reference field="3" count="1" selected="0">
            <x v="0"/>
          </reference>
          <reference field="5" count="1" selected="0">
            <x v="2"/>
          </reference>
        </references>
      </pivotArea>
    </chartFormat>
    <chartFormat chart="0" format="11">
      <pivotArea type="data" outline="0" fieldPosition="0">
        <references count="3">
          <reference field="4294967294" count="1" selected="0">
            <x v="0"/>
          </reference>
          <reference field="3" count="1" selected="0">
            <x v="1"/>
          </reference>
          <reference field="5" count="1" selected="0">
            <x v="2"/>
          </reference>
        </references>
      </pivotArea>
    </chartFormat>
    <chartFormat chart="0" format="12">
      <pivotArea type="data" outline="0" fieldPosition="0">
        <references count="3">
          <reference field="4294967294" count="1" selected="0">
            <x v="0"/>
          </reference>
          <reference field="3" count="1" selected="0">
            <x v="0"/>
          </reference>
          <reference field="5" count="1" selected="0">
            <x v="3"/>
          </reference>
        </references>
      </pivotArea>
    </chartFormat>
    <chartFormat chart="0" format="13">
      <pivotArea type="data" outline="0" fieldPosition="0">
        <references count="3">
          <reference field="4294967294" count="1" selected="0">
            <x v="0"/>
          </reference>
          <reference field="3" count="1" selected="0">
            <x v="1"/>
          </reference>
          <reference field="5" count="1" selected="0">
            <x v="3"/>
          </reference>
        </references>
      </pivotArea>
    </chartFormat>
    <chartFormat chart="0" format="14">
      <pivotArea type="data" outline="0" fieldPosition="0">
        <references count="3">
          <reference field="4294967294" count="1" selected="0">
            <x v="0"/>
          </reference>
          <reference field="3" count="1" selected="0">
            <x v="0"/>
          </reference>
          <reference field="5" count="1" selected="0">
            <x v="4"/>
          </reference>
        </references>
      </pivotArea>
    </chartFormat>
    <chartFormat chart="0" format="15">
      <pivotArea type="data" outline="0" fieldPosition="0">
        <references count="3">
          <reference field="4294967294" count="1" selected="0">
            <x v="0"/>
          </reference>
          <reference field="3" count="1" selected="0">
            <x v="1"/>
          </reference>
          <reference field="5" count="1" selected="0">
            <x v="4"/>
          </reference>
        </references>
      </pivotArea>
    </chartFormat>
    <chartFormat chart="0" format="16">
      <pivotArea type="data" outline="0" fieldPosition="0">
        <references count="3">
          <reference field="4294967294" count="1" selected="0">
            <x v="0"/>
          </reference>
          <reference field="3" count="1" selected="0">
            <x v="0"/>
          </reference>
          <reference field="5" count="1" selected="0">
            <x v="5"/>
          </reference>
        </references>
      </pivotArea>
    </chartFormat>
    <chartFormat chart="0" format="17">
      <pivotArea type="data" outline="0" fieldPosition="0">
        <references count="3">
          <reference field="4294967294" count="1" selected="0">
            <x v="0"/>
          </reference>
          <reference field="3" count="1" selected="0">
            <x v="1"/>
          </reference>
          <reference field="5" count="1" selected="0">
            <x v="5"/>
          </reference>
        </references>
      </pivotArea>
    </chartFormat>
    <chartFormat chart="7" format="36" series="1">
      <pivotArea type="data" outline="0" fieldPosition="0">
        <references count="2">
          <reference field="4294967294" count="1" selected="0">
            <x v="0"/>
          </reference>
          <reference field="5" count="1" selected="0">
            <x v="0"/>
          </reference>
        </references>
      </pivotArea>
    </chartFormat>
    <chartFormat chart="7" format="37">
      <pivotArea type="data" outline="0" fieldPosition="0">
        <references count="3">
          <reference field="4294967294" count="1" selected="0">
            <x v="0"/>
          </reference>
          <reference field="3" count="1" selected="0">
            <x v="0"/>
          </reference>
          <reference field="5" count="1" selected="0">
            <x v="0"/>
          </reference>
        </references>
      </pivotArea>
    </chartFormat>
    <chartFormat chart="7" format="38">
      <pivotArea type="data" outline="0" fieldPosition="0">
        <references count="3">
          <reference field="4294967294" count="1" selected="0">
            <x v="0"/>
          </reference>
          <reference field="3" count="1" selected="0">
            <x v="1"/>
          </reference>
          <reference field="5" count="1" selected="0">
            <x v="0"/>
          </reference>
        </references>
      </pivotArea>
    </chartFormat>
    <chartFormat chart="7" format="39" series="1">
      <pivotArea type="data" outline="0" fieldPosition="0">
        <references count="2">
          <reference field="4294967294" count="1" selected="0">
            <x v="0"/>
          </reference>
          <reference field="5" count="1" selected="0">
            <x v="1"/>
          </reference>
        </references>
      </pivotArea>
    </chartFormat>
    <chartFormat chart="7" format="40">
      <pivotArea type="data" outline="0" fieldPosition="0">
        <references count="3">
          <reference field="4294967294" count="1" selected="0">
            <x v="0"/>
          </reference>
          <reference field="3" count="1" selected="0">
            <x v="0"/>
          </reference>
          <reference field="5" count="1" selected="0">
            <x v="1"/>
          </reference>
        </references>
      </pivotArea>
    </chartFormat>
    <chartFormat chart="7" format="41">
      <pivotArea type="data" outline="0" fieldPosition="0">
        <references count="3">
          <reference field="4294967294" count="1" selected="0">
            <x v="0"/>
          </reference>
          <reference field="3" count="1" selected="0">
            <x v="1"/>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2"/>
          </reference>
        </references>
      </pivotArea>
    </chartFormat>
    <chartFormat chart="7" format="43">
      <pivotArea type="data" outline="0" fieldPosition="0">
        <references count="3">
          <reference field="4294967294" count="1" selected="0">
            <x v="0"/>
          </reference>
          <reference field="3" count="1" selected="0">
            <x v="0"/>
          </reference>
          <reference field="5" count="1" selected="0">
            <x v="2"/>
          </reference>
        </references>
      </pivotArea>
    </chartFormat>
    <chartFormat chart="7" format="44">
      <pivotArea type="data" outline="0" fieldPosition="0">
        <references count="3">
          <reference field="4294967294" count="1" selected="0">
            <x v="0"/>
          </reference>
          <reference field="3" count="1" selected="0">
            <x v="1"/>
          </reference>
          <reference field="5" count="1" selected="0">
            <x v="2"/>
          </reference>
        </references>
      </pivotArea>
    </chartFormat>
    <chartFormat chart="7" format="45" series="1">
      <pivotArea type="data" outline="0" fieldPosition="0">
        <references count="2">
          <reference field="4294967294" count="1" selected="0">
            <x v="0"/>
          </reference>
          <reference field="5" count="1" selected="0">
            <x v="3"/>
          </reference>
        </references>
      </pivotArea>
    </chartFormat>
    <chartFormat chart="7" format="46">
      <pivotArea type="data" outline="0" fieldPosition="0">
        <references count="3">
          <reference field="4294967294" count="1" selected="0">
            <x v="0"/>
          </reference>
          <reference field="3" count="1" selected="0">
            <x v="0"/>
          </reference>
          <reference field="5" count="1" selected="0">
            <x v="3"/>
          </reference>
        </references>
      </pivotArea>
    </chartFormat>
    <chartFormat chart="7" format="47">
      <pivotArea type="data" outline="0" fieldPosition="0">
        <references count="3">
          <reference field="4294967294" count="1" selected="0">
            <x v="0"/>
          </reference>
          <reference field="3" count="1" selected="0">
            <x v="1"/>
          </reference>
          <reference field="5" count="1" selected="0">
            <x v="3"/>
          </reference>
        </references>
      </pivotArea>
    </chartFormat>
    <chartFormat chart="7" format="48" series="1">
      <pivotArea type="data" outline="0" fieldPosition="0">
        <references count="2">
          <reference field="4294967294" count="1" selected="0">
            <x v="0"/>
          </reference>
          <reference field="5" count="1" selected="0">
            <x v="4"/>
          </reference>
        </references>
      </pivotArea>
    </chartFormat>
    <chartFormat chart="7" format="49">
      <pivotArea type="data" outline="0" fieldPosition="0">
        <references count="3">
          <reference field="4294967294" count="1" selected="0">
            <x v="0"/>
          </reference>
          <reference field="3" count="1" selected="0">
            <x v="0"/>
          </reference>
          <reference field="5" count="1" selected="0">
            <x v="4"/>
          </reference>
        </references>
      </pivotArea>
    </chartFormat>
    <chartFormat chart="7" format="50">
      <pivotArea type="data" outline="0" fieldPosition="0">
        <references count="3">
          <reference field="4294967294" count="1" selected="0">
            <x v="0"/>
          </reference>
          <reference field="3" count="1" selected="0">
            <x v="1"/>
          </reference>
          <reference field="5" count="1" selected="0">
            <x v="4"/>
          </reference>
        </references>
      </pivotArea>
    </chartFormat>
    <chartFormat chart="7" format="51" series="1">
      <pivotArea type="data" outline="0" fieldPosition="0">
        <references count="2">
          <reference field="4294967294" count="1" selected="0">
            <x v="0"/>
          </reference>
          <reference field="5" count="1" selected="0">
            <x v="5"/>
          </reference>
        </references>
      </pivotArea>
    </chartFormat>
    <chartFormat chart="7" format="52">
      <pivotArea type="data" outline="0" fieldPosition="0">
        <references count="3">
          <reference field="4294967294" count="1" selected="0">
            <x v="0"/>
          </reference>
          <reference field="3" count="1" selected="0">
            <x v="0"/>
          </reference>
          <reference field="5" count="1" selected="0">
            <x v="5"/>
          </reference>
        </references>
      </pivotArea>
    </chartFormat>
    <chartFormat chart="7" format="53">
      <pivotArea type="data" outline="0" fieldPosition="0">
        <references count="3">
          <reference field="4294967294" count="1" selected="0">
            <x v="0"/>
          </reference>
          <reference field="3" count="1" selected="0">
            <x v="1"/>
          </reference>
          <reference field="5" count="1" selected="0">
            <x v="5"/>
          </reference>
        </references>
      </pivotArea>
    </chartFormat>
    <chartFormat chart="23" format="108" series="1">
      <pivotArea type="data" outline="0" fieldPosition="0">
        <references count="2">
          <reference field="4294967294" count="1" selected="0">
            <x v="0"/>
          </reference>
          <reference field="5" count="1" selected="0">
            <x v="0"/>
          </reference>
        </references>
      </pivotArea>
    </chartFormat>
    <chartFormat chart="23" format="109">
      <pivotArea type="data" outline="0" fieldPosition="0">
        <references count="3">
          <reference field="4294967294" count="1" selected="0">
            <x v="0"/>
          </reference>
          <reference field="3" count="1" selected="0">
            <x v="0"/>
          </reference>
          <reference field="5" count="1" selected="0">
            <x v="0"/>
          </reference>
        </references>
      </pivotArea>
    </chartFormat>
    <chartFormat chart="23" format="110">
      <pivotArea type="data" outline="0" fieldPosition="0">
        <references count="3">
          <reference field="4294967294" count="1" selected="0">
            <x v="0"/>
          </reference>
          <reference field="3" count="1" selected="0">
            <x v="1"/>
          </reference>
          <reference field="5" count="1" selected="0">
            <x v="0"/>
          </reference>
        </references>
      </pivotArea>
    </chartFormat>
    <chartFormat chart="23" format="111" series="1">
      <pivotArea type="data" outline="0" fieldPosition="0">
        <references count="2">
          <reference field="4294967294" count="1" selected="0">
            <x v="0"/>
          </reference>
          <reference field="5" count="1" selected="0">
            <x v="1"/>
          </reference>
        </references>
      </pivotArea>
    </chartFormat>
    <chartFormat chart="23" format="112">
      <pivotArea type="data" outline="0" fieldPosition="0">
        <references count="3">
          <reference field="4294967294" count="1" selected="0">
            <x v="0"/>
          </reference>
          <reference field="3" count="1" selected="0">
            <x v="0"/>
          </reference>
          <reference field="5" count="1" selected="0">
            <x v="1"/>
          </reference>
        </references>
      </pivotArea>
    </chartFormat>
    <chartFormat chart="23" format="113">
      <pivotArea type="data" outline="0" fieldPosition="0">
        <references count="3">
          <reference field="4294967294" count="1" selected="0">
            <x v="0"/>
          </reference>
          <reference field="3" count="1" selected="0">
            <x v="1"/>
          </reference>
          <reference field="5" count="1" selected="0">
            <x v="1"/>
          </reference>
        </references>
      </pivotArea>
    </chartFormat>
    <chartFormat chart="23" format="114" series="1">
      <pivotArea type="data" outline="0" fieldPosition="0">
        <references count="2">
          <reference field="4294967294" count="1" selected="0">
            <x v="0"/>
          </reference>
          <reference field="5" count="1" selected="0">
            <x v="2"/>
          </reference>
        </references>
      </pivotArea>
    </chartFormat>
    <chartFormat chart="23" format="115">
      <pivotArea type="data" outline="0" fieldPosition="0">
        <references count="3">
          <reference field="4294967294" count="1" selected="0">
            <x v="0"/>
          </reference>
          <reference field="3" count="1" selected="0">
            <x v="0"/>
          </reference>
          <reference field="5" count="1" selected="0">
            <x v="2"/>
          </reference>
        </references>
      </pivotArea>
    </chartFormat>
    <chartFormat chart="23" format="116">
      <pivotArea type="data" outline="0" fieldPosition="0">
        <references count="3">
          <reference field="4294967294" count="1" selected="0">
            <x v="0"/>
          </reference>
          <reference field="3" count="1" selected="0">
            <x v="1"/>
          </reference>
          <reference field="5" count="1" selected="0">
            <x v="2"/>
          </reference>
        </references>
      </pivotArea>
    </chartFormat>
    <chartFormat chart="23" format="117" series="1">
      <pivotArea type="data" outline="0" fieldPosition="0">
        <references count="2">
          <reference field="4294967294" count="1" selected="0">
            <x v="0"/>
          </reference>
          <reference field="5" count="1" selected="0">
            <x v="3"/>
          </reference>
        </references>
      </pivotArea>
    </chartFormat>
    <chartFormat chart="23" format="118">
      <pivotArea type="data" outline="0" fieldPosition="0">
        <references count="3">
          <reference field="4294967294" count="1" selected="0">
            <x v="0"/>
          </reference>
          <reference field="3" count="1" selected="0">
            <x v="0"/>
          </reference>
          <reference field="5" count="1" selected="0">
            <x v="3"/>
          </reference>
        </references>
      </pivotArea>
    </chartFormat>
    <chartFormat chart="23" format="119">
      <pivotArea type="data" outline="0" fieldPosition="0">
        <references count="3">
          <reference field="4294967294" count="1" selected="0">
            <x v="0"/>
          </reference>
          <reference field="3" count="1" selected="0">
            <x v="1"/>
          </reference>
          <reference field="5" count="1" selected="0">
            <x v="3"/>
          </reference>
        </references>
      </pivotArea>
    </chartFormat>
    <chartFormat chart="23" format="120" series="1">
      <pivotArea type="data" outline="0" fieldPosition="0">
        <references count="2">
          <reference field="4294967294" count="1" selected="0">
            <x v="0"/>
          </reference>
          <reference field="5" count="1" selected="0">
            <x v="4"/>
          </reference>
        </references>
      </pivotArea>
    </chartFormat>
    <chartFormat chart="23" format="121">
      <pivotArea type="data" outline="0" fieldPosition="0">
        <references count="3">
          <reference field="4294967294" count="1" selected="0">
            <x v="0"/>
          </reference>
          <reference field="3" count="1" selected="0">
            <x v="0"/>
          </reference>
          <reference field="5" count="1" selected="0">
            <x v="4"/>
          </reference>
        </references>
      </pivotArea>
    </chartFormat>
    <chartFormat chart="23" format="122">
      <pivotArea type="data" outline="0" fieldPosition="0">
        <references count="3">
          <reference field="4294967294" count="1" selected="0">
            <x v="0"/>
          </reference>
          <reference field="3" count="1" selected="0">
            <x v="1"/>
          </reference>
          <reference field="5" count="1" selected="0">
            <x v="4"/>
          </reference>
        </references>
      </pivotArea>
    </chartFormat>
    <chartFormat chart="23" format="123" series="1">
      <pivotArea type="data" outline="0" fieldPosition="0">
        <references count="2">
          <reference field="4294967294" count="1" selected="0">
            <x v="0"/>
          </reference>
          <reference field="5" count="1" selected="0">
            <x v="5"/>
          </reference>
        </references>
      </pivotArea>
    </chartFormat>
    <chartFormat chart="23" format="124">
      <pivotArea type="data" outline="0" fieldPosition="0">
        <references count="3">
          <reference field="4294967294" count="1" selected="0">
            <x v="0"/>
          </reference>
          <reference field="3" count="1" selected="0">
            <x v="0"/>
          </reference>
          <reference field="5" count="1" selected="0">
            <x v="5"/>
          </reference>
        </references>
      </pivotArea>
    </chartFormat>
    <chartFormat chart="23" format="125">
      <pivotArea type="data" outline="0" fieldPosition="0">
        <references count="3">
          <reference field="4294967294" count="1" selected="0">
            <x v="0"/>
          </reference>
          <reference field="3"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45CA6F-4DEA-4068-B3BA-EBE39CBA1F69}"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colHeaderCaption="Name of Insurance">
  <location ref="A17:B22" firstHeaderRow="1" firstDataRow="1" firstDataCol="1"/>
  <pivotFields count="20">
    <pivotField dataField="1" compact="0" outline="0" showAll="0">
      <items count="994">
        <item x="992"/>
        <item x="505"/>
        <item x="161"/>
        <item x="335"/>
        <item x="506"/>
        <item x="507"/>
        <item x="0"/>
        <item x="1"/>
        <item x="664"/>
        <item x="162"/>
        <item x="508"/>
        <item x="840"/>
        <item x="665"/>
        <item x="509"/>
        <item x="841"/>
        <item x="2"/>
        <item x="510"/>
        <item x="163"/>
        <item x="3"/>
        <item x="336"/>
        <item x="842"/>
        <item x="337"/>
        <item x="511"/>
        <item x="843"/>
        <item x="164"/>
        <item x="165"/>
        <item x="512"/>
        <item x="513"/>
        <item x="844"/>
        <item x="666"/>
        <item x="845"/>
        <item x="4"/>
        <item x="514"/>
        <item x="846"/>
        <item x="338"/>
        <item x="339"/>
        <item x="515"/>
        <item x="5"/>
        <item x="166"/>
        <item x="340"/>
        <item x="667"/>
        <item x="167"/>
        <item x="341"/>
        <item x="168"/>
        <item x="516"/>
        <item x="342"/>
        <item x="343"/>
        <item x="668"/>
        <item x="169"/>
        <item x="669"/>
        <item x="847"/>
        <item x="170"/>
        <item x="6"/>
        <item x="517"/>
        <item x="848"/>
        <item x="171"/>
        <item x="670"/>
        <item x="671"/>
        <item x="672"/>
        <item x="7"/>
        <item x="518"/>
        <item x="849"/>
        <item x="519"/>
        <item x="172"/>
        <item x="344"/>
        <item x="520"/>
        <item x="345"/>
        <item x="673"/>
        <item x="521"/>
        <item x="674"/>
        <item x="173"/>
        <item x="850"/>
        <item x="8"/>
        <item x="174"/>
        <item x="346"/>
        <item x="851"/>
        <item x="675"/>
        <item x="852"/>
        <item x="175"/>
        <item x="853"/>
        <item x="522"/>
        <item x="9"/>
        <item x="10"/>
        <item x="176"/>
        <item x="177"/>
        <item x="854"/>
        <item x="11"/>
        <item x="347"/>
        <item x="855"/>
        <item x="178"/>
        <item x="179"/>
        <item x="12"/>
        <item x="676"/>
        <item x="180"/>
        <item x="181"/>
        <item x="182"/>
        <item x="856"/>
        <item x="677"/>
        <item x="523"/>
        <item x="13"/>
        <item x="678"/>
        <item x="679"/>
        <item x="183"/>
        <item x="680"/>
        <item x="681"/>
        <item x="184"/>
        <item x="857"/>
        <item x="524"/>
        <item x="14"/>
        <item x="858"/>
        <item x="348"/>
        <item x="185"/>
        <item x="859"/>
        <item x="860"/>
        <item x="186"/>
        <item x="682"/>
        <item x="15"/>
        <item x="683"/>
        <item x="861"/>
        <item x="525"/>
        <item x="349"/>
        <item x="16"/>
        <item x="350"/>
        <item x="17"/>
        <item x="684"/>
        <item x="187"/>
        <item x="526"/>
        <item x="685"/>
        <item x="527"/>
        <item x="188"/>
        <item x="686"/>
        <item x="528"/>
        <item x="351"/>
        <item x="529"/>
        <item x="687"/>
        <item x="688"/>
        <item x="689"/>
        <item x="18"/>
        <item x="690"/>
        <item x="530"/>
        <item x="531"/>
        <item x="189"/>
        <item x="862"/>
        <item x="190"/>
        <item x="19"/>
        <item x="863"/>
        <item x="532"/>
        <item x="691"/>
        <item x="864"/>
        <item x="692"/>
        <item x="352"/>
        <item x="353"/>
        <item x="354"/>
        <item x="355"/>
        <item x="533"/>
        <item x="191"/>
        <item x="356"/>
        <item x="357"/>
        <item x="192"/>
        <item x="693"/>
        <item x="20"/>
        <item x="358"/>
        <item x="694"/>
        <item x="695"/>
        <item x="21"/>
        <item x="22"/>
        <item x="865"/>
        <item x="696"/>
        <item x="534"/>
        <item x="193"/>
        <item x="23"/>
        <item x="697"/>
        <item x="535"/>
        <item x="194"/>
        <item x="866"/>
        <item x="359"/>
        <item x="24"/>
        <item x="698"/>
        <item x="195"/>
        <item x="867"/>
        <item x="25"/>
        <item x="26"/>
        <item x="360"/>
        <item x="196"/>
        <item x="868"/>
        <item x="361"/>
        <item x="536"/>
        <item x="699"/>
        <item x="869"/>
        <item x="700"/>
        <item x="197"/>
        <item x="870"/>
        <item x="27"/>
        <item x="198"/>
        <item x="871"/>
        <item x="537"/>
        <item x="28"/>
        <item x="362"/>
        <item x="199"/>
        <item x="363"/>
        <item x="200"/>
        <item x="201"/>
        <item x="202"/>
        <item x="364"/>
        <item x="365"/>
        <item x="366"/>
        <item x="701"/>
        <item x="367"/>
        <item x="368"/>
        <item x="29"/>
        <item x="872"/>
        <item x="702"/>
        <item x="369"/>
        <item x="538"/>
        <item x="539"/>
        <item x="873"/>
        <item x="203"/>
        <item x="703"/>
        <item x="204"/>
        <item x="370"/>
        <item x="371"/>
        <item x="205"/>
        <item x="704"/>
        <item x="30"/>
        <item x="540"/>
        <item x="874"/>
        <item x="705"/>
        <item x="706"/>
        <item x="206"/>
        <item x="707"/>
        <item x="372"/>
        <item x="31"/>
        <item x="32"/>
        <item x="373"/>
        <item x="708"/>
        <item x="374"/>
        <item x="875"/>
        <item x="709"/>
        <item x="207"/>
        <item x="375"/>
        <item x="208"/>
        <item x="376"/>
        <item x="209"/>
        <item x="876"/>
        <item x="541"/>
        <item x="377"/>
        <item x="210"/>
        <item x="33"/>
        <item x="34"/>
        <item x="211"/>
        <item x="35"/>
        <item x="378"/>
        <item x="710"/>
        <item x="379"/>
        <item x="711"/>
        <item x="212"/>
        <item x="213"/>
        <item x="380"/>
        <item x="877"/>
        <item x="214"/>
        <item x="215"/>
        <item x="36"/>
        <item x="37"/>
        <item x="542"/>
        <item x="878"/>
        <item x="38"/>
        <item x="712"/>
        <item x="543"/>
        <item x="216"/>
        <item x="544"/>
        <item x="381"/>
        <item x="545"/>
        <item x="879"/>
        <item x="713"/>
        <item x="880"/>
        <item x="546"/>
        <item x="39"/>
        <item x="547"/>
        <item x="881"/>
        <item x="40"/>
        <item x="217"/>
        <item x="218"/>
        <item x="219"/>
        <item x="714"/>
        <item x="548"/>
        <item x="382"/>
        <item x="549"/>
        <item x="550"/>
        <item x="383"/>
        <item x="384"/>
        <item x="220"/>
        <item x="221"/>
        <item x="715"/>
        <item x="716"/>
        <item x="882"/>
        <item x="222"/>
        <item x="883"/>
        <item x="385"/>
        <item x="223"/>
        <item x="41"/>
        <item x="42"/>
        <item x="224"/>
        <item x="551"/>
        <item x="43"/>
        <item x="717"/>
        <item x="44"/>
        <item x="225"/>
        <item x="386"/>
        <item x="226"/>
        <item x="387"/>
        <item x="388"/>
        <item x="389"/>
        <item x="45"/>
        <item x="718"/>
        <item x="227"/>
        <item x="228"/>
        <item x="884"/>
        <item x="390"/>
        <item x="719"/>
        <item x="46"/>
        <item x="229"/>
        <item x="391"/>
        <item x="885"/>
        <item x="886"/>
        <item x="720"/>
        <item x="230"/>
        <item x="392"/>
        <item x="47"/>
        <item x="552"/>
        <item x="887"/>
        <item x="231"/>
        <item x="393"/>
        <item x="394"/>
        <item x="48"/>
        <item x="888"/>
        <item x="721"/>
        <item x="232"/>
        <item x="722"/>
        <item x="553"/>
        <item x="723"/>
        <item x="724"/>
        <item x="889"/>
        <item x="49"/>
        <item x="725"/>
        <item x="890"/>
        <item x="891"/>
        <item x="554"/>
        <item x="395"/>
        <item x="396"/>
        <item x="50"/>
        <item x="726"/>
        <item x="397"/>
        <item x="51"/>
        <item x="398"/>
        <item x="555"/>
        <item x="233"/>
        <item x="52"/>
        <item x="53"/>
        <item x="892"/>
        <item x="893"/>
        <item x="234"/>
        <item x="235"/>
        <item x="556"/>
        <item x="894"/>
        <item x="895"/>
        <item x="896"/>
        <item x="236"/>
        <item x="557"/>
        <item x="54"/>
        <item x="558"/>
        <item x="897"/>
        <item x="727"/>
        <item x="55"/>
        <item x="56"/>
        <item x="898"/>
        <item x="57"/>
        <item x="237"/>
        <item x="728"/>
        <item x="899"/>
        <item x="559"/>
        <item x="238"/>
        <item x="900"/>
        <item x="239"/>
        <item x="729"/>
        <item x="901"/>
        <item x="58"/>
        <item x="560"/>
        <item x="902"/>
        <item x="59"/>
        <item x="561"/>
        <item x="562"/>
        <item x="903"/>
        <item x="60"/>
        <item x="563"/>
        <item x="730"/>
        <item x="399"/>
        <item x="400"/>
        <item x="904"/>
        <item x="401"/>
        <item x="240"/>
        <item x="241"/>
        <item x="731"/>
        <item x="905"/>
        <item x="402"/>
        <item x="906"/>
        <item x="61"/>
        <item x="242"/>
        <item x="243"/>
        <item x="403"/>
        <item x="732"/>
        <item x="733"/>
        <item x="907"/>
        <item x="734"/>
        <item x="564"/>
        <item x="244"/>
        <item x="404"/>
        <item x="908"/>
        <item x="62"/>
        <item x="735"/>
        <item x="63"/>
        <item x="909"/>
        <item x="245"/>
        <item x="736"/>
        <item x="64"/>
        <item x="65"/>
        <item x="246"/>
        <item x="247"/>
        <item x="405"/>
        <item x="66"/>
        <item x="248"/>
        <item x="565"/>
        <item x="406"/>
        <item x="67"/>
        <item x="737"/>
        <item x="566"/>
        <item x="407"/>
        <item x="408"/>
        <item x="249"/>
        <item x="738"/>
        <item x="567"/>
        <item x="910"/>
        <item x="68"/>
        <item x="911"/>
        <item x="409"/>
        <item x="250"/>
        <item x="739"/>
        <item x="912"/>
        <item x="913"/>
        <item x="568"/>
        <item x="914"/>
        <item x="569"/>
        <item x="410"/>
        <item x="915"/>
        <item x="251"/>
        <item x="570"/>
        <item x="69"/>
        <item x="571"/>
        <item x="252"/>
        <item x="740"/>
        <item x="70"/>
        <item x="411"/>
        <item x="916"/>
        <item x="917"/>
        <item x="71"/>
        <item x="72"/>
        <item x="741"/>
        <item x="253"/>
        <item x="742"/>
        <item x="73"/>
        <item x="918"/>
        <item x="74"/>
        <item x="919"/>
        <item x="75"/>
        <item x="572"/>
        <item x="412"/>
        <item x="743"/>
        <item x="920"/>
        <item x="413"/>
        <item x="921"/>
        <item x="744"/>
        <item x="254"/>
        <item x="414"/>
        <item x="76"/>
        <item x="77"/>
        <item x="745"/>
        <item x="415"/>
        <item x="573"/>
        <item x="574"/>
        <item x="255"/>
        <item x="746"/>
        <item x="256"/>
        <item x="257"/>
        <item x="747"/>
        <item x="922"/>
        <item x="575"/>
        <item x="923"/>
        <item x="576"/>
        <item x="748"/>
        <item x="577"/>
        <item x="749"/>
        <item x="578"/>
        <item x="924"/>
        <item x="78"/>
        <item x="79"/>
        <item x="416"/>
        <item x="579"/>
        <item x="580"/>
        <item x="750"/>
        <item x="581"/>
        <item x="417"/>
        <item x="925"/>
        <item x="418"/>
        <item x="926"/>
        <item x="582"/>
        <item x="258"/>
        <item x="583"/>
        <item x="751"/>
        <item x="419"/>
        <item x="259"/>
        <item x="752"/>
        <item x="584"/>
        <item x="420"/>
        <item x="80"/>
        <item x="421"/>
        <item x="585"/>
        <item x="753"/>
        <item x="260"/>
        <item x="927"/>
        <item x="261"/>
        <item x="262"/>
        <item x="263"/>
        <item x="264"/>
        <item x="265"/>
        <item x="422"/>
        <item x="81"/>
        <item x="754"/>
        <item x="755"/>
        <item x="928"/>
        <item x="756"/>
        <item x="82"/>
        <item x="423"/>
        <item x="424"/>
        <item x="83"/>
        <item x="586"/>
        <item x="757"/>
        <item x="266"/>
        <item x="84"/>
        <item x="267"/>
        <item x="929"/>
        <item x="85"/>
        <item x="587"/>
        <item x="930"/>
        <item x="425"/>
        <item x="931"/>
        <item x="932"/>
        <item x="933"/>
        <item x="588"/>
        <item x="426"/>
        <item x="758"/>
        <item x="589"/>
        <item x="86"/>
        <item x="934"/>
        <item x="935"/>
        <item x="87"/>
        <item x="427"/>
        <item x="936"/>
        <item x="937"/>
        <item x="590"/>
        <item x="268"/>
        <item x="591"/>
        <item x="759"/>
        <item x="938"/>
        <item x="760"/>
        <item x="761"/>
        <item x="592"/>
        <item x="593"/>
        <item x="762"/>
        <item x="763"/>
        <item x="764"/>
        <item x="88"/>
        <item x="428"/>
        <item x="89"/>
        <item x="594"/>
        <item x="939"/>
        <item x="90"/>
        <item x="940"/>
        <item x="765"/>
        <item x="766"/>
        <item x="941"/>
        <item x="269"/>
        <item x="767"/>
        <item x="429"/>
        <item x="91"/>
        <item x="270"/>
        <item x="271"/>
        <item x="595"/>
        <item x="92"/>
        <item x="942"/>
        <item x="768"/>
        <item x="272"/>
        <item x="769"/>
        <item x="596"/>
        <item x="597"/>
        <item x="430"/>
        <item x="431"/>
        <item x="598"/>
        <item x="599"/>
        <item x="93"/>
        <item x="94"/>
        <item x="943"/>
        <item x="95"/>
        <item x="600"/>
        <item x="944"/>
        <item x="432"/>
        <item x="945"/>
        <item x="273"/>
        <item x="433"/>
        <item x="96"/>
        <item x="97"/>
        <item x="946"/>
        <item x="601"/>
        <item x="434"/>
        <item x="770"/>
        <item x="435"/>
        <item x="602"/>
        <item x="947"/>
        <item x="603"/>
        <item x="436"/>
        <item x="771"/>
        <item x="948"/>
        <item x="772"/>
        <item x="274"/>
        <item x="773"/>
        <item x="275"/>
        <item x="774"/>
        <item x="437"/>
        <item x="438"/>
        <item x="604"/>
        <item x="439"/>
        <item x="775"/>
        <item x="949"/>
        <item x="776"/>
        <item x="777"/>
        <item x="605"/>
        <item x="276"/>
        <item x="277"/>
        <item x="440"/>
        <item x="606"/>
        <item x="607"/>
        <item x="98"/>
        <item x="778"/>
        <item x="99"/>
        <item x="779"/>
        <item x="950"/>
        <item x="278"/>
        <item x="608"/>
        <item x="279"/>
        <item x="609"/>
        <item x="780"/>
        <item x="781"/>
        <item x="782"/>
        <item x="441"/>
        <item x="442"/>
        <item x="280"/>
        <item x="443"/>
        <item x="100"/>
        <item x="951"/>
        <item x="101"/>
        <item x="444"/>
        <item x="445"/>
        <item x="102"/>
        <item x="610"/>
        <item x="446"/>
        <item x="447"/>
        <item x="448"/>
        <item x="449"/>
        <item x="450"/>
        <item x="611"/>
        <item x="451"/>
        <item x="783"/>
        <item x="452"/>
        <item x="784"/>
        <item x="952"/>
        <item x="103"/>
        <item x="281"/>
        <item x="104"/>
        <item x="282"/>
        <item x="453"/>
        <item x="953"/>
        <item x="454"/>
        <item x="283"/>
        <item x="284"/>
        <item x="455"/>
        <item x="612"/>
        <item x="105"/>
        <item x="613"/>
        <item x="456"/>
        <item x="285"/>
        <item x="457"/>
        <item x="286"/>
        <item x="614"/>
        <item x="954"/>
        <item x="785"/>
        <item x="287"/>
        <item x="106"/>
        <item x="288"/>
        <item x="786"/>
        <item x="787"/>
        <item x="788"/>
        <item x="107"/>
        <item x="789"/>
        <item x="458"/>
        <item x="459"/>
        <item x="108"/>
        <item x="109"/>
        <item x="790"/>
        <item x="460"/>
        <item x="110"/>
        <item x="615"/>
        <item x="791"/>
        <item x="461"/>
        <item x="111"/>
        <item x="616"/>
        <item x="617"/>
        <item x="955"/>
        <item x="462"/>
        <item x="289"/>
        <item x="792"/>
        <item x="290"/>
        <item x="112"/>
        <item x="113"/>
        <item x="618"/>
        <item x="793"/>
        <item x="291"/>
        <item x="114"/>
        <item x="794"/>
        <item x="956"/>
        <item x="795"/>
        <item x="796"/>
        <item x="619"/>
        <item x="797"/>
        <item x="957"/>
        <item x="463"/>
        <item x="798"/>
        <item x="115"/>
        <item x="620"/>
        <item x="292"/>
        <item x="116"/>
        <item x="117"/>
        <item x="118"/>
        <item x="119"/>
        <item x="464"/>
        <item x="293"/>
        <item x="120"/>
        <item x="121"/>
        <item x="122"/>
        <item x="958"/>
        <item x="799"/>
        <item x="959"/>
        <item x="123"/>
        <item x="800"/>
        <item x="801"/>
        <item x="802"/>
        <item x="465"/>
        <item x="466"/>
        <item x="803"/>
        <item x="467"/>
        <item x="294"/>
        <item x="295"/>
        <item x="804"/>
        <item x="124"/>
        <item x="296"/>
        <item x="468"/>
        <item x="297"/>
        <item x="298"/>
        <item x="125"/>
        <item x="621"/>
        <item x="805"/>
        <item x="622"/>
        <item x="806"/>
        <item x="299"/>
        <item x="623"/>
        <item x="126"/>
        <item x="960"/>
        <item x="961"/>
        <item x="624"/>
        <item x="625"/>
        <item x="127"/>
        <item x="807"/>
        <item x="962"/>
        <item x="300"/>
        <item x="469"/>
        <item x="808"/>
        <item x="128"/>
        <item x="129"/>
        <item x="626"/>
        <item x="470"/>
        <item x="301"/>
        <item x="302"/>
        <item x="303"/>
        <item x="304"/>
        <item x="963"/>
        <item x="964"/>
        <item x="965"/>
        <item x="627"/>
        <item x="966"/>
        <item x="471"/>
        <item x="628"/>
        <item x="305"/>
        <item x="306"/>
        <item x="809"/>
        <item x="307"/>
        <item x="810"/>
        <item x="308"/>
        <item x="967"/>
        <item x="811"/>
        <item x="472"/>
        <item x="309"/>
        <item x="629"/>
        <item x="968"/>
        <item x="473"/>
        <item x="812"/>
        <item x="969"/>
        <item x="130"/>
        <item x="474"/>
        <item x="131"/>
        <item x="132"/>
        <item x="970"/>
        <item x="971"/>
        <item x="310"/>
        <item x="813"/>
        <item x="630"/>
        <item x="631"/>
        <item x="311"/>
        <item x="814"/>
        <item x="815"/>
        <item x="133"/>
        <item x="972"/>
        <item x="312"/>
        <item x="632"/>
        <item x="134"/>
        <item x="633"/>
        <item x="634"/>
        <item x="475"/>
        <item x="135"/>
        <item x="476"/>
        <item x="973"/>
        <item x="974"/>
        <item x="136"/>
        <item x="816"/>
        <item x="137"/>
        <item x="313"/>
        <item x="314"/>
        <item x="635"/>
        <item x="636"/>
        <item x="138"/>
        <item x="975"/>
        <item x="139"/>
        <item x="637"/>
        <item x="477"/>
        <item x="638"/>
        <item x="478"/>
        <item x="479"/>
        <item x="315"/>
        <item x="480"/>
        <item x="140"/>
        <item x="817"/>
        <item x="316"/>
        <item x="976"/>
        <item x="818"/>
        <item x="977"/>
        <item x="819"/>
        <item x="820"/>
        <item x="317"/>
        <item x="141"/>
        <item x="318"/>
        <item x="319"/>
        <item x="320"/>
        <item x="142"/>
        <item x="639"/>
        <item x="640"/>
        <item x="143"/>
        <item x="978"/>
        <item x="641"/>
        <item x="144"/>
        <item x="145"/>
        <item x="642"/>
        <item x="643"/>
        <item x="821"/>
        <item x="146"/>
        <item x="147"/>
        <item x="979"/>
        <item x="148"/>
        <item x="980"/>
        <item x="481"/>
        <item x="644"/>
        <item x="645"/>
        <item x="822"/>
        <item x="482"/>
        <item x="483"/>
        <item x="646"/>
        <item x="484"/>
        <item x="485"/>
        <item x="321"/>
        <item x="647"/>
        <item x="823"/>
        <item x="322"/>
        <item x="149"/>
        <item x="150"/>
        <item x="486"/>
        <item x="981"/>
        <item x="982"/>
        <item x="648"/>
        <item x="323"/>
        <item x="151"/>
        <item x="324"/>
        <item x="325"/>
        <item x="824"/>
        <item x="487"/>
        <item x="152"/>
        <item x="488"/>
        <item x="649"/>
        <item x="326"/>
        <item x="327"/>
        <item x="328"/>
        <item x="650"/>
        <item x="651"/>
        <item x="652"/>
        <item x="653"/>
        <item x="489"/>
        <item x="490"/>
        <item x="491"/>
        <item x="654"/>
        <item x="983"/>
        <item x="153"/>
        <item x="825"/>
        <item x="329"/>
        <item x="330"/>
        <item x="492"/>
        <item x="331"/>
        <item x="493"/>
        <item x="332"/>
        <item x="494"/>
        <item x="826"/>
        <item x="333"/>
        <item x="984"/>
        <item x="655"/>
        <item x="985"/>
        <item x="495"/>
        <item x="827"/>
        <item x="154"/>
        <item x="496"/>
        <item x="828"/>
        <item x="656"/>
        <item x="497"/>
        <item x="829"/>
        <item x="498"/>
        <item x="657"/>
        <item x="830"/>
        <item x="155"/>
        <item x="334"/>
        <item x="499"/>
        <item x="658"/>
        <item x="500"/>
        <item x="659"/>
        <item x="501"/>
        <item x="831"/>
        <item x="832"/>
        <item x="833"/>
        <item x="986"/>
        <item x="502"/>
        <item x="503"/>
        <item x="987"/>
        <item x="834"/>
        <item x="660"/>
        <item x="988"/>
        <item x="835"/>
        <item x="836"/>
        <item x="156"/>
        <item x="661"/>
        <item x="989"/>
        <item x="662"/>
        <item x="157"/>
        <item x="158"/>
        <item x="837"/>
        <item x="838"/>
        <item x="159"/>
        <item x="990"/>
        <item x="663"/>
        <item x="991"/>
        <item x="839"/>
        <item x="504"/>
        <item x="160"/>
        <item t="default"/>
      </items>
    </pivotField>
    <pivotField compact="0" outline="0" showAll="0"/>
    <pivotField compact="0" outline="0" showAll="0"/>
    <pivotField compact="0" outline="0" showAll="0"/>
    <pivotField compact="0" outline="0" showAll="0"/>
    <pivotField compact="0" outline="0" showAll="0"/>
    <pivotField compact="0" outline="0" showAll="0">
      <items count="761">
        <item x="296"/>
        <item x="572"/>
        <item x="509"/>
        <item x="335"/>
        <item x="269"/>
        <item x="729"/>
        <item x="94"/>
        <item x="357"/>
        <item x="57"/>
        <item x="302"/>
        <item x="423"/>
        <item x="515"/>
        <item x="730"/>
        <item x="718"/>
        <item x="664"/>
        <item x="491"/>
        <item x="129"/>
        <item x="13"/>
        <item x="402"/>
        <item x="638"/>
        <item x="193"/>
        <item x="83"/>
        <item x="46"/>
        <item x="135"/>
        <item x="300"/>
        <item x="724"/>
        <item x="553"/>
        <item x="305"/>
        <item x="679"/>
        <item x="443"/>
        <item x="149"/>
        <item x="678"/>
        <item x="3"/>
        <item x="248"/>
        <item x="95"/>
        <item x="303"/>
        <item x="391"/>
        <item x="717"/>
        <item x="25"/>
        <item x="133"/>
        <item x="169"/>
        <item x="500"/>
        <item x="714"/>
        <item x="408"/>
        <item x="121"/>
        <item x="26"/>
        <item x="506"/>
        <item x="256"/>
        <item x="96"/>
        <item x="720"/>
        <item x="329"/>
        <item x="752"/>
        <item x="523"/>
        <item x="187"/>
        <item x="324"/>
        <item x="554"/>
        <item x="71"/>
        <item x="371"/>
        <item x="101"/>
        <item x="602"/>
        <item x="441"/>
        <item x="616"/>
        <item x="487"/>
        <item x="242"/>
        <item x="662"/>
        <item x="161"/>
        <item x="543"/>
        <item x="11"/>
        <item x="163"/>
        <item x="584"/>
        <item x="611"/>
        <item x="164"/>
        <item x="199"/>
        <item x="220"/>
        <item x="130"/>
        <item x="81"/>
        <item x="369"/>
        <item x="403"/>
        <item x="117"/>
        <item x="264"/>
        <item x="741"/>
        <item x="504"/>
        <item x="545"/>
        <item x="5"/>
        <item x="613"/>
        <item x="174"/>
        <item x="628"/>
        <item x="737"/>
        <item x="339"/>
        <item x="282"/>
        <item x="355"/>
        <item x="580"/>
        <item x="400"/>
        <item x="719"/>
        <item x="76"/>
        <item x="328"/>
        <item x="704"/>
        <item x="156"/>
        <item x="392"/>
        <item x="91"/>
        <item x="564"/>
        <item x="702"/>
        <item x="293"/>
        <item x="35"/>
        <item x="359"/>
        <item x="126"/>
        <item x="69"/>
        <item x="375"/>
        <item x="636"/>
        <item x="749"/>
        <item x="360"/>
        <item x="674"/>
        <item x="34"/>
        <item x="14"/>
        <item x="10"/>
        <item x="268"/>
        <item x="205"/>
        <item x="291"/>
        <item x="321"/>
        <item x="67"/>
        <item x="62"/>
        <item x="754"/>
        <item x="210"/>
        <item x="387"/>
        <item x="97"/>
        <item x="550"/>
        <item x="606"/>
        <item x="388"/>
        <item x="563"/>
        <item x="308"/>
        <item x="41"/>
        <item x="317"/>
        <item x="736"/>
        <item x="469"/>
        <item x="203"/>
        <item x="348"/>
        <item x="629"/>
        <item x="649"/>
        <item x="327"/>
        <item x="557"/>
        <item x="386"/>
        <item x="579"/>
        <item x="138"/>
        <item x="172"/>
        <item x="270"/>
        <item x="281"/>
        <item x="600"/>
        <item x="44"/>
        <item x="63"/>
        <item x="170"/>
        <item x="115"/>
        <item x="488"/>
        <item x="28"/>
        <item x="589"/>
        <item x="77"/>
        <item x="692"/>
        <item x="630"/>
        <item x="556"/>
        <item x="150"/>
        <item x="184"/>
        <item x="389"/>
        <item x="561"/>
        <item x="75"/>
        <item x="201"/>
        <item x="475"/>
        <item x="15"/>
        <item x="258"/>
        <item x="6"/>
        <item x="577"/>
        <item x="240"/>
        <item x="609"/>
        <item x="516"/>
        <item x="32"/>
        <item x="241"/>
        <item x="142"/>
        <item x="315"/>
        <item x="539"/>
        <item x="313"/>
        <item x="492"/>
        <item x="593"/>
        <item x="723"/>
        <item x="232"/>
        <item x="196"/>
        <item x="368"/>
        <item x="434"/>
        <item x="601"/>
        <item x="696"/>
        <item x="320"/>
        <item x="412"/>
        <item x="108"/>
        <item x="334"/>
        <item x="267"/>
        <item x="243"/>
        <item x="154"/>
        <item x="643"/>
        <item x="438"/>
        <item x="43"/>
        <item x="265"/>
        <item x="608"/>
        <item x="507"/>
        <item x="361"/>
        <item x="288"/>
        <item x="347"/>
        <item x="298"/>
        <item x="735"/>
        <item x="637"/>
        <item x="436"/>
        <item x="682"/>
        <item x="513"/>
        <item x="532"/>
        <item x="245"/>
        <item x="379"/>
        <item x="238"/>
        <item x="591"/>
        <item x="570"/>
        <item x="415"/>
        <item x="227"/>
        <item x="29"/>
        <item x="405"/>
        <item x="385"/>
        <item x="147"/>
        <item x="128"/>
        <item x="358"/>
        <item x="560"/>
        <item x="7"/>
        <item x="622"/>
        <item x="477"/>
        <item x="505"/>
        <item x="742"/>
        <item x="603"/>
        <item x="214"/>
        <item x="212"/>
        <item x="533"/>
        <item x="171"/>
        <item x="614"/>
        <item x="89"/>
        <item x="666"/>
        <item x="283"/>
        <item x="445"/>
        <item x="363"/>
        <item x="595"/>
        <item x="732"/>
        <item x="712"/>
        <item x="422"/>
        <item x="464"/>
        <item x="332"/>
        <item x="652"/>
        <item x="192"/>
        <item x="526"/>
        <item x="231"/>
        <item x="427"/>
        <item x="51"/>
        <item x="56"/>
        <item x="304"/>
        <item x="17"/>
        <item x="27"/>
        <item x="590"/>
        <item x="693"/>
        <item x="19"/>
        <item x="125"/>
        <item x="173"/>
        <item x="325"/>
        <item x="208"/>
        <item x="93"/>
        <item x="733"/>
        <item x="337"/>
        <item x="517"/>
        <item x="255"/>
        <item x="432"/>
        <item x="634"/>
        <item x="419"/>
        <item x="540"/>
        <item x="50"/>
        <item x="472"/>
        <item x="450"/>
        <item x="54"/>
        <item x="703"/>
        <item x="411"/>
        <item x="498"/>
        <item x="653"/>
        <item x="113"/>
        <item x="594"/>
        <item x="88"/>
        <item x="74"/>
        <item x="453"/>
        <item x="627"/>
        <item x="495"/>
        <item x="312"/>
        <item x="259"/>
        <item x="425"/>
        <item x="301"/>
        <item x="655"/>
        <item x="98"/>
        <item x="673"/>
        <item x="481"/>
        <item x="395"/>
        <item x="485"/>
        <item x="597"/>
        <item x="200"/>
        <item x="322"/>
        <item x="116"/>
        <item x="406"/>
        <item x="139"/>
        <item x="756"/>
        <item x="657"/>
        <item x="685"/>
        <item x="574"/>
        <item x="37"/>
        <item x="632"/>
        <item x="342"/>
        <item x="219"/>
        <item x="568"/>
        <item x="86"/>
        <item x="218"/>
        <item x="710"/>
        <item x="621"/>
        <item x="59"/>
        <item x="137"/>
        <item x="490"/>
        <item x="349"/>
        <item x="237"/>
        <item x="520"/>
        <item x="209"/>
        <item x="471"/>
        <item x="549"/>
        <item x="21"/>
        <item x="345"/>
        <item x="413"/>
        <item x="610"/>
        <item x="277"/>
        <item x="431"/>
        <item x="700"/>
        <item x="68"/>
        <item x="675"/>
        <item x="660"/>
        <item x="555"/>
        <item x="274"/>
        <item x="376"/>
        <item x="390"/>
        <item x="247"/>
        <item x="435"/>
        <item x="31"/>
        <item x="383"/>
        <item x="292"/>
        <item x="496"/>
        <item x="565"/>
        <item x="484"/>
        <item x="162"/>
        <item x="447"/>
        <item x="80"/>
        <item x="651"/>
        <item x="401"/>
        <item x="330"/>
        <item x="235"/>
        <item x="263"/>
        <item x="30"/>
        <item x="466"/>
        <item x="631"/>
        <item x="503"/>
        <item x="654"/>
        <item x="566"/>
        <item x="398"/>
        <item x="538"/>
        <item x="122"/>
        <item x="0"/>
        <item x="178"/>
        <item x="519"/>
        <item x="254"/>
        <item x="709"/>
        <item x="617"/>
        <item x="307"/>
        <item x="461"/>
        <item x="61"/>
        <item x="474"/>
        <item x="639"/>
        <item x="99"/>
        <item x="378"/>
        <item x="276"/>
        <item x="340"/>
        <item x="318"/>
        <item x="103"/>
        <item x="148"/>
        <item x="297"/>
        <item x="552"/>
        <item x="18"/>
        <item x="585"/>
        <item x="168"/>
        <item x="414"/>
        <item x="430"/>
        <item x="52"/>
        <item x="70"/>
        <item x="381"/>
        <item x="511"/>
        <item x="48"/>
        <item x="310"/>
        <item x="8"/>
        <item x="226"/>
        <item x="338"/>
        <item x="114"/>
        <item x="384"/>
        <item x="23"/>
        <item x="382"/>
        <item x="650"/>
        <item x="92"/>
        <item x="362"/>
        <item x="104"/>
        <item x="722"/>
        <item x="136"/>
        <item x="107"/>
        <item x="467"/>
        <item x="547"/>
        <item x="480"/>
        <item x="131"/>
        <item x="16"/>
        <item x="740"/>
        <item x="109"/>
        <item x="604"/>
        <item x="626"/>
        <item x="437"/>
        <item x="672"/>
        <item x="399"/>
        <item x="457"/>
        <item x="45"/>
        <item x="750"/>
        <item x="623"/>
        <item x="458"/>
        <item x="239"/>
        <item x="106"/>
        <item x="598"/>
        <item x="160"/>
        <item x="215"/>
        <item x="459"/>
        <item x="731"/>
        <item x="618"/>
        <item x="446"/>
        <item x="559"/>
        <item x="689"/>
        <item x="456"/>
        <item x="479"/>
        <item x="542"/>
        <item x="73"/>
        <item x="207"/>
        <item x="644"/>
        <item x="33"/>
        <item x="478"/>
        <item x="522"/>
        <item x="393"/>
        <item x="64"/>
        <item x="499"/>
        <item x="272"/>
        <item x="257"/>
        <item x="708"/>
        <item x="753"/>
        <item x="36"/>
        <item x="444"/>
        <item x="132"/>
        <item x="262"/>
        <item x="596"/>
        <item x="145"/>
        <item x="428"/>
        <item x="90"/>
        <item x="562"/>
        <item x="66"/>
        <item x="253"/>
        <item x="592"/>
        <item x="346"/>
        <item x="102"/>
        <item x="454"/>
        <item x="473"/>
        <item x="536"/>
        <item x="755"/>
        <item x="429"/>
        <item x="728"/>
        <item x="341"/>
        <item x="587"/>
        <item x="482"/>
        <item x="716"/>
        <item x="273"/>
        <item x="424"/>
        <item x="534"/>
        <item x="191"/>
        <item x="213"/>
        <item x="326"/>
        <item x="120"/>
        <item x="463"/>
        <item x="223"/>
        <item x="528"/>
        <item x="483"/>
        <item x="356"/>
        <item x="442"/>
        <item x="619"/>
        <item x="396"/>
        <item x="508"/>
        <item x="331"/>
        <item x="646"/>
        <item x="451"/>
        <item x="407"/>
        <item x="417"/>
        <item x="501"/>
        <item x="624"/>
        <item x="527"/>
        <item x="306"/>
        <item x="546"/>
        <item x="440"/>
        <item x="502"/>
        <item x="165"/>
        <item x="683"/>
        <item x="690"/>
        <item x="743"/>
        <item x="144"/>
        <item x="78"/>
        <item x="581"/>
        <item x="757"/>
        <item x="420"/>
        <item x="344"/>
        <item x="377"/>
        <item x="518"/>
        <item x="118"/>
        <item x="751"/>
        <item x="72"/>
        <item x="365"/>
        <item x="535"/>
        <item x="738"/>
        <item x="352"/>
        <item x="530"/>
        <item x="127"/>
        <item x="525"/>
        <item x="677"/>
        <item x="266"/>
        <item x="261"/>
        <item x="669"/>
        <item x="157"/>
        <item x="38"/>
        <item x="694"/>
        <item x="204"/>
        <item x="449"/>
        <item x="531"/>
        <item x="180"/>
        <item x="665"/>
        <item x="497"/>
        <item x="656"/>
        <item x="576"/>
        <item x="336"/>
        <item x="294"/>
        <item x="286"/>
        <item x="216"/>
        <item x="179"/>
        <item x="47"/>
        <item x="143"/>
        <item x="100"/>
        <item x="758"/>
        <item x="727"/>
        <item x="620"/>
        <item x="20"/>
        <item x="688"/>
        <item x="667"/>
        <item x="671"/>
        <item x="410"/>
        <item x="246"/>
        <item x="489"/>
        <item x="228"/>
        <item x="350"/>
        <item x="224"/>
        <item x="476"/>
        <item x="659"/>
        <item x="271"/>
        <item x="658"/>
        <item x="311"/>
        <item x="701"/>
        <item x="647"/>
        <item x="65"/>
        <item x="9"/>
        <item x="625"/>
        <item x="175"/>
        <item x="642"/>
        <item x="748"/>
        <item x="222"/>
        <item x="635"/>
        <item x="452"/>
        <item x="409"/>
        <item x="152"/>
        <item x="206"/>
        <item x="607"/>
        <item x="279"/>
        <item x="680"/>
        <item x="575"/>
        <item x="668"/>
        <item x="123"/>
        <item x="645"/>
        <item x="612"/>
        <item x="158"/>
        <item x="166"/>
        <item x="721"/>
        <item x="177"/>
        <item x="370"/>
        <item x="176"/>
        <item x="745"/>
        <item x="695"/>
        <item x="198"/>
        <item x="22"/>
        <item x="217"/>
        <item x="684"/>
        <item x="726"/>
        <item x="82"/>
        <item x="84"/>
        <item x="739"/>
        <item x="2"/>
        <item x="521"/>
        <item x="633"/>
        <item x="1"/>
        <item x="42"/>
        <item x="524"/>
        <item x="105"/>
        <item x="421"/>
        <item x="299"/>
        <item x="185"/>
        <item x="470"/>
        <item x="234"/>
        <item x="582"/>
        <item x="541"/>
        <item x="287"/>
        <item x="725"/>
        <item x="134"/>
        <item x="111"/>
        <item x="615"/>
        <item x="55"/>
        <item x="236"/>
        <item x="468"/>
        <item x="229"/>
        <item x="290"/>
        <item x="284"/>
        <item x="85"/>
        <item x="567"/>
        <item x="159"/>
        <item x="194"/>
        <item x="367"/>
        <item x="537"/>
        <item x="364"/>
        <item x="558"/>
        <item x="455"/>
        <item x="221"/>
        <item x="119"/>
        <item x="366"/>
        <item x="448"/>
        <item x="705"/>
        <item x="707"/>
        <item x="110"/>
        <item x="182"/>
        <item x="289"/>
        <item x="686"/>
        <item x="571"/>
        <item x="354"/>
        <item x="53"/>
        <item x="151"/>
        <item x="747"/>
        <item x="295"/>
        <item x="514"/>
        <item x="663"/>
        <item x="181"/>
        <item x="195"/>
        <item x="260"/>
        <item x="60"/>
        <item x="493"/>
        <item x="578"/>
        <item x="309"/>
        <item x="494"/>
        <item x="319"/>
        <item x="285"/>
        <item x="551"/>
        <item x="583"/>
        <item x="599"/>
        <item x="510"/>
        <item x="58"/>
        <item x="343"/>
        <item x="605"/>
        <item x="529"/>
        <item x="641"/>
        <item x="640"/>
        <item x="676"/>
        <item x="713"/>
        <item x="681"/>
        <item x="404"/>
        <item x="661"/>
        <item x="244"/>
        <item x="79"/>
        <item x="280"/>
        <item x="698"/>
        <item x="462"/>
        <item x="323"/>
        <item x="573"/>
        <item x="333"/>
        <item x="230"/>
        <item x="314"/>
        <item x="211"/>
        <item x="670"/>
        <item x="202"/>
        <item x="189"/>
        <item x="426"/>
        <item x="374"/>
        <item x="233"/>
        <item x="588"/>
        <item x="155"/>
        <item x="544"/>
        <item x="744"/>
        <item x="697"/>
        <item x="167"/>
        <item x="648"/>
        <item x="734"/>
        <item x="87"/>
        <item x="186"/>
        <item x="39"/>
        <item x="351"/>
        <item x="190"/>
        <item x="460"/>
        <item x="252"/>
        <item x="197"/>
        <item x="397"/>
        <item x="465"/>
        <item x="433"/>
        <item x="372"/>
        <item x="687"/>
        <item x="569"/>
        <item x="141"/>
        <item x="225"/>
        <item x="124"/>
        <item x="12"/>
        <item x="699"/>
        <item x="112"/>
        <item x="512"/>
        <item x="249"/>
        <item x="40"/>
        <item x="278"/>
        <item x="416"/>
        <item x="548"/>
        <item x="691"/>
        <item x="353"/>
        <item x="373"/>
        <item x="711"/>
        <item x="188"/>
        <item x="140"/>
        <item x="746"/>
        <item x="706"/>
        <item x="275"/>
        <item x="146"/>
        <item x="251"/>
        <item x="24"/>
        <item x="4"/>
        <item x="394"/>
        <item x="153"/>
        <item x="418"/>
        <item x="49"/>
        <item x="715"/>
        <item x="250"/>
        <item x="183"/>
        <item x="486"/>
        <item x="380"/>
        <item x="316"/>
        <item x="439"/>
        <item x="586"/>
        <item x="759"/>
        <item t="default"/>
      </items>
    </pivotField>
    <pivotField compact="0" outline="0" showAll="0"/>
    <pivotField compact="0" outline="0" showAll="0"/>
    <pivotField axis="axisRow" compact="0" outline="0" showAll="0">
      <items count="7">
        <item x="1"/>
        <item x="3"/>
        <item x="0"/>
        <item x="2"/>
        <item x="4"/>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
        <item x="0"/>
        <item x="1"/>
        <item x="2"/>
        <item x="3"/>
        <item x="4"/>
        <item x="5"/>
        <item x="6"/>
        <item x="7"/>
        <item t="default"/>
      </items>
    </pivotField>
  </pivotFields>
  <rowFields count="1">
    <field x="9"/>
  </rowFields>
  <rowItems count="5">
    <i>
      <x/>
    </i>
    <i>
      <x v="1"/>
    </i>
    <i>
      <x v="2"/>
    </i>
    <i>
      <x v="3"/>
    </i>
    <i>
      <x v="4"/>
    </i>
  </rowItems>
  <colItems count="1">
    <i/>
  </colItems>
  <dataFields count="1">
    <dataField name="Patient's claim" fld="0" subtotal="count" baseField="9" baseItem="0"/>
  </dataFields>
  <chartFormats count="30">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9" count="1" selected="0">
            <x v="4"/>
          </reference>
        </references>
      </pivotArea>
    </chartFormat>
    <chartFormat chart="11" format="2">
      <pivotArea type="data" outline="0" fieldPosition="0">
        <references count="2">
          <reference field="4294967294" count="1" selected="0">
            <x v="0"/>
          </reference>
          <reference field="9" count="1" selected="0">
            <x v="0"/>
          </reference>
        </references>
      </pivotArea>
    </chartFormat>
    <chartFormat chart="11" format="3">
      <pivotArea type="data" outline="0" fieldPosition="0">
        <references count="2">
          <reference field="4294967294" count="1" selected="0">
            <x v="0"/>
          </reference>
          <reference field="9" count="1" selected="0">
            <x v="1"/>
          </reference>
        </references>
      </pivotArea>
    </chartFormat>
    <chartFormat chart="11" format="4">
      <pivotArea type="data" outline="0" fieldPosition="0">
        <references count="2">
          <reference field="4294967294" count="1" selected="0">
            <x v="0"/>
          </reference>
          <reference field="9" count="1" selected="0">
            <x v="2"/>
          </reference>
        </references>
      </pivotArea>
    </chartFormat>
    <chartFormat chart="11" format="5">
      <pivotArea type="data" outline="0" fieldPosition="0">
        <references count="2">
          <reference field="4294967294" count="1" selected="0">
            <x v="0"/>
          </reference>
          <reference field="9" count="1" selected="0">
            <x v="3"/>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9" count="1" selected="0">
            <x v="0"/>
          </reference>
        </references>
      </pivotArea>
    </chartFormat>
    <chartFormat chart="14" format="14">
      <pivotArea type="data" outline="0" fieldPosition="0">
        <references count="2">
          <reference field="4294967294" count="1" selected="0">
            <x v="0"/>
          </reference>
          <reference field="9" count="1" selected="0">
            <x v="1"/>
          </reference>
        </references>
      </pivotArea>
    </chartFormat>
    <chartFormat chart="14" format="15">
      <pivotArea type="data" outline="0" fieldPosition="0">
        <references count="2">
          <reference field="4294967294" count="1" selected="0">
            <x v="0"/>
          </reference>
          <reference field="9" count="1" selected="0">
            <x v="2"/>
          </reference>
        </references>
      </pivotArea>
    </chartFormat>
    <chartFormat chart="14" format="16">
      <pivotArea type="data" outline="0" fieldPosition="0">
        <references count="2">
          <reference field="4294967294" count="1" selected="0">
            <x v="0"/>
          </reference>
          <reference field="9" count="1" selected="0">
            <x v="3"/>
          </reference>
        </references>
      </pivotArea>
    </chartFormat>
    <chartFormat chart="14" format="17">
      <pivotArea type="data" outline="0" fieldPosition="0">
        <references count="2">
          <reference field="4294967294" count="1" selected="0">
            <x v="0"/>
          </reference>
          <reference field="9" count="1" selected="0">
            <x v="4"/>
          </reference>
        </references>
      </pivotArea>
    </chartFormat>
    <chartFormat chart="19" format="24" series="1">
      <pivotArea type="data" outline="0" fieldPosition="0">
        <references count="1">
          <reference field="4294967294" count="1" selected="0">
            <x v="0"/>
          </reference>
        </references>
      </pivotArea>
    </chartFormat>
    <chartFormat chart="19" format="25">
      <pivotArea type="data" outline="0" fieldPosition="0">
        <references count="2">
          <reference field="4294967294" count="1" selected="0">
            <x v="0"/>
          </reference>
          <reference field="9" count="1" selected="0">
            <x v="0"/>
          </reference>
        </references>
      </pivotArea>
    </chartFormat>
    <chartFormat chart="19" format="26">
      <pivotArea type="data" outline="0" fieldPosition="0">
        <references count="2">
          <reference field="4294967294" count="1" selected="0">
            <x v="0"/>
          </reference>
          <reference field="9" count="1" selected="0">
            <x v="1"/>
          </reference>
        </references>
      </pivotArea>
    </chartFormat>
    <chartFormat chart="19" format="27">
      <pivotArea type="data" outline="0" fieldPosition="0">
        <references count="2">
          <reference field="4294967294" count="1" selected="0">
            <x v="0"/>
          </reference>
          <reference field="9" count="1" selected="0">
            <x v="2"/>
          </reference>
        </references>
      </pivotArea>
    </chartFormat>
    <chartFormat chart="19" format="28">
      <pivotArea type="data" outline="0" fieldPosition="0">
        <references count="2">
          <reference field="4294967294" count="1" selected="0">
            <x v="0"/>
          </reference>
          <reference field="9" count="1" selected="0">
            <x v="3"/>
          </reference>
        </references>
      </pivotArea>
    </chartFormat>
    <chartFormat chart="19" format="29">
      <pivotArea type="data" outline="0" fieldPosition="0">
        <references count="2">
          <reference field="4294967294" count="1" selected="0">
            <x v="0"/>
          </reference>
          <reference field="9" count="1" selected="0">
            <x v="4"/>
          </reference>
        </references>
      </pivotArea>
    </chartFormat>
    <chartFormat chart="20" format="30" series="1">
      <pivotArea type="data" outline="0" fieldPosition="0">
        <references count="1">
          <reference field="4294967294" count="1" selected="0">
            <x v="0"/>
          </reference>
        </references>
      </pivotArea>
    </chartFormat>
    <chartFormat chart="20" format="31">
      <pivotArea type="data" outline="0" fieldPosition="0">
        <references count="2">
          <reference field="4294967294" count="1" selected="0">
            <x v="0"/>
          </reference>
          <reference field="9" count="1" selected="0">
            <x v="0"/>
          </reference>
        </references>
      </pivotArea>
    </chartFormat>
    <chartFormat chart="20" format="32">
      <pivotArea type="data" outline="0" fieldPosition="0">
        <references count="2">
          <reference field="4294967294" count="1" selected="0">
            <x v="0"/>
          </reference>
          <reference field="9" count="1" selected="0">
            <x v="1"/>
          </reference>
        </references>
      </pivotArea>
    </chartFormat>
    <chartFormat chart="20" format="33">
      <pivotArea type="data" outline="0" fieldPosition="0">
        <references count="2">
          <reference field="4294967294" count="1" selected="0">
            <x v="0"/>
          </reference>
          <reference field="9" count="1" selected="0">
            <x v="2"/>
          </reference>
        </references>
      </pivotArea>
    </chartFormat>
    <chartFormat chart="20" format="34">
      <pivotArea type="data" outline="0" fieldPosition="0">
        <references count="2">
          <reference field="4294967294" count="1" selected="0">
            <x v="0"/>
          </reference>
          <reference field="9" count="1" selected="0">
            <x v="3"/>
          </reference>
        </references>
      </pivotArea>
    </chartFormat>
    <chartFormat chart="20" format="35">
      <pivotArea type="data" outline="0" fieldPosition="0">
        <references count="2">
          <reference field="4294967294" count="1" selected="0">
            <x v="0"/>
          </reference>
          <reference field="9" count="1" selected="0">
            <x v="4"/>
          </reference>
        </references>
      </pivotArea>
    </chartFormat>
    <chartFormat chart="21" format="36" series="1">
      <pivotArea type="data" outline="0" fieldPosition="0">
        <references count="1">
          <reference field="4294967294" count="1" selected="0">
            <x v="0"/>
          </reference>
        </references>
      </pivotArea>
    </chartFormat>
    <chartFormat chart="21" format="37">
      <pivotArea type="data" outline="0" fieldPosition="0">
        <references count="2">
          <reference field="4294967294" count="1" selected="0">
            <x v="0"/>
          </reference>
          <reference field="9" count="1" selected="0">
            <x v="0"/>
          </reference>
        </references>
      </pivotArea>
    </chartFormat>
    <chartFormat chart="21" format="38">
      <pivotArea type="data" outline="0" fieldPosition="0">
        <references count="2">
          <reference field="4294967294" count="1" selected="0">
            <x v="0"/>
          </reference>
          <reference field="9" count="1" selected="0">
            <x v="1"/>
          </reference>
        </references>
      </pivotArea>
    </chartFormat>
    <chartFormat chart="21" format="39">
      <pivotArea type="data" outline="0" fieldPosition="0">
        <references count="2">
          <reference field="4294967294" count="1" selected="0">
            <x v="0"/>
          </reference>
          <reference field="9" count="1" selected="0">
            <x v="2"/>
          </reference>
        </references>
      </pivotArea>
    </chartFormat>
    <chartFormat chart="21" format="40">
      <pivotArea type="data" outline="0" fieldPosition="0">
        <references count="2">
          <reference field="4294967294" count="1" selected="0">
            <x v="0"/>
          </reference>
          <reference field="9" count="1" selected="0">
            <x v="3"/>
          </reference>
        </references>
      </pivotArea>
    </chartFormat>
    <chartFormat chart="21" format="4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H12" firstHeaderRow="1" firstDataRow="2" firstDataCol="1"/>
  <pivotFields count="20">
    <pivotField showAll="0"/>
    <pivotField showAll="0"/>
    <pivotField showAll="0"/>
    <pivotField showAll="0"/>
    <pivotField showAll="0"/>
    <pivotField axis="axisCol" showAll="0">
      <items count="8">
        <item x="0"/>
        <item x="1"/>
        <item x="2"/>
        <item x="3"/>
        <item x="4"/>
        <item x="5"/>
        <item h="1" x="6"/>
        <item t="default"/>
      </items>
    </pivotField>
    <pivotField showAll="0">
      <items count="761">
        <item x="296"/>
        <item x="572"/>
        <item x="509"/>
        <item x="335"/>
        <item x="269"/>
        <item x="729"/>
        <item x="94"/>
        <item x="357"/>
        <item x="57"/>
        <item x="302"/>
        <item x="423"/>
        <item x="515"/>
        <item x="730"/>
        <item x="718"/>
        <item x="664"/>
        <item x="491"/>
        <item x="129"/>
        <item x="13"/>
        <item x="402"/>
        <item x="638"/>
        <item x="193"/>
        <item x="83"/>
        <item x="46"/>
        <item x="135"/>
        <item x="300"/>
        <item x="724"/>
        <item x="553"/>
        <item x="305"/>
        <item x="679"/>
        <item x="443"/>
        <item x="149"/>
        <item x="678"/>
        <item x="3"/>
        <item x="248"/>
        <item x="95"/>
        <item x="303"/>
        <item x="391"/>
        <item x="717"/>
        <item x="25"/>
        <item x="133"/>
        <item x="169"/>
        <item x="500"/>
        <item x="714"/>
        <item x="408"/>
        <item x="121"/>
        <item x="26"/>
        <item x="506"/>
        <item x="256"/>
        <item x="96"/>
        <item x="720"/>
        <item x="329"/>
        <item x="752"/>
        <item x="523"/>
        <item x="187"/>
        <item x="324"/>
        <item x="554"/>
        <item x="71"/>
        <item x="371"/>
        <item x="101"/>
        <item x="602"/>
        <item x="441"/>
        <item x="616"/>
        <item x="487"/>
        <item x="242"/>
        <item x="662"/>
        <item x="161"/>
        <item x="543"/>
        <item x="11"/>
        <item x="163"/>
        <item x="584"/>
        <item x="611"/>
        <item x="164"/>
        <item x="199"/>
        <item x="220"/>
        <item x="130"/>
        <item x="81"/>
        <item x="369"/>
        <item x="403"/>
        <item x="117"/>
        <item x="264"/>
        <item x="741"/>
        <item x="504"/>
        <item x="545"/>
        <item x="5"/>
        <item x="613"/>
        <item x="174"/>
        <item x="628"/>
        <item x="737"/>
        <item x="339"/>
        <item x="282"/>
        <item x="355"/>
        <item x="580"/>
        <item x="400"/>
        <item x="719"/>
        <item x="76"/>
        <item x="328"/>
        <item x="704"/>
        <item x="156"/>
        <item x="392"/>
        <item x="91"/>
        <item x="564"/>
        <item x="702"/>
        <item x="293"/>
        <item x="35"/>
        <item x="359"/>
        <item x="126"/>
        <item x="69"/>
        <item x="375"/>
        <item x="636"/>
        <item x="749"/>
        <item x="360"/>
        <item x="674"/>
        <item x="34"/>
        <item x="14"/>
        <item x="10"/>
        <item x="268"/>
        <item x="205"/>
        <item x="291"/>
        <item x="321"/>
        <item x="67"/>
        <item x="62"/>
        <item x="754"/>
        <item x="210"/>
        <item x="387"/>
        <item x="97"/>
        <item x="550"/>
        <item x="606"/>
        <item x="388"/>
        <item x="563"/>
        <item x="308"/>
        <item x="41"/>
        <item x="317"/>
        <item x="736"/>
        <item x="469"/>
        <item x="203"/>
        <item x="348"/>
        <item x="629"/>
        <item x="649"/>
        <item x="327"/>
        <item x="557"/>
        <item x="386"/>
        <item x="579"/>
        <item x="138"/>
        <item x="172"/>
        <item x="270"/>
        <item x="281"/>
        <item x="600"/>
        <item x="44"/>
        <item x="63"/>
        <item x="170"/>
        <item x="115"/>
        <item x="488"/>
        <item x="28"/>
        <item x="589"/>
        <item x="77"/>
        <item x="692"/>
        <item x="630"/>
        <item x="556"/>
        <item x="150"/>
        <item x="184"/>
        <item x="389"/>
        <item x="561"/>
        <item x="75"/>
        <item x="201"/>
        <item x="475"/>
        <item x="15"/>
        <item x="258"/>
        <item x="6"/>
        <item x="577"/>
        <item x="240"/>
        <item x="609"/>
        <item x="516"/>
        <item x="32"/>
        <item x="241"/>
        <item x="142"/>
        <item x="315"/>
        <item x="539"/>
        <item x="313"/>
        <item x="492"/>
        <item x="593"/>
        <item x="723"/>
        <item x="232"/>
        <item x="196"/>
        <item x="368"/>
        <item x="434"/>
        <item x="601"/>
        <item x="696"/>
        <item x="320"/>
        <item x="412"/>
        <item x="108"/>
        <item x="334"/>
        <item x="267"/>
        <item x="243"/>
        <item x="154"/>
        <item x="643"/>
        <item x="438"/>
        <item x="43"/>
        <item x="265"/>
        <item x="608"/>
        <item x="507"/>
        <item x="361"/>
        <item x="288"/>
        <item x="347"/>
        <item x="298"/>
        <item x="735"/>
        <item x="637"/>
        <item x="436"/>
        <item x="682"/>
        <item x="513"/>
        <item x="532"/>
        <item x="245"/>
        <item x="379"/>
        <item x="238"/>
        <item x="591"/>
        <item x="570"/>
        <item x="415"/>
        <item x="227"/>
        <item x="29"/>
        <item x="405"/>
        <item x="385"/>
        <item x="147"/>
        <item x="128"/>
        <item x="358"/>
        <item x="560"/>
        <item x="7"/>
        <item x="622"/>
        <item x="477"/>
        <item x="505"/>
        <item x="742"/>
        <item x="603"/>
        <item x="214"/>
        <item x="212"/>
        <item x="533"/>
        <item x="171"/>
        <item x="614"/>
        <item x="89"/>
        <item x="666"/>
        <item x="283"/>
        <item x="445"/>
        <item x="363"/>
        <item x="595"/>
        <item x="732"/>
        <item x="712"/>
        <item x="422"/>
        <item x="464"/>
        <item x="332"/>
        <item x="652"/>
        <item x="192"/>
        <item x="526"/>
        <item x="231"/>
        <item x="427"/>
        <item x="51"/>
        <item x="56"/>
        <item x="304"/>
        <item x="17"/>
        <item x="27"/>
        <item x="590"/>
        <item x="693"/>
        <item x="19"/>
        <item x="125"/>
        <item x="173"/>
        <item x="325"/>
        <item x="208"/>
        <item x="93"/>
        <item x="733"/>
        <item x="337"/>
        <item x="517"/>
        <item x="255"/>
        <item x="432"/>
        <item x="634"/>
        <item x="419"/>
        <item x="540"/>
        <item x="50"/>
        <item x="472"/>
        <item x="450"/>
        <item x="54"/>
        <item x="703"/>
        <item x="411"/>
        <item x="498"/>
        <item x="653"/>
        <item x="113"/>
        <item x="594"/>
        <item x="88"/>
        <item x="74"/>
        <item x="453"/>
        <item x="627"/>
        <item x="495"/>
        <item x="312"/>
        <item x="259"/>
        <item x="425"/>
        <item x="301"/>
        <item x="655"/>
        <item x="98"/>
        <item x="673"/>
        <item x="481"/>
        <item x="395"/>
        <item x="485"/>
        <item x="597"/>
        <item x="200"/>
        <item x="322"/>
        <item x="116"/>
        <item x="406"/>
        <item x="139"/>
        <item x="756"/>
        <item x="657"/>
        <item x="685"/>
        <item x="574"/>
        <item x="37"/>
        <item x="632"/>
        <item x="342"/>
        <item x="219"/>
        <item x="568"/>
        <item x="86"/>
        <item x="218"/>
        <item x="710"/>
        <item x="621"/>
        <item x="59"/>
        <item x="137"/>
        <item x="490"/>
        <item x="349"/>
        <item x="237"/>
        <item x="520"/>
        <item x="209"/>
        <item x="471"/>
        <item x="549"/>
        <item x="21"/>
        <item x="345"/>
        <item x="413"/>
        <item x="610"/>
        <item x="277"/>
        <item x="431"/>
        <item x="700"/>
        <item x="68"/>
        <item x="675"/>
        <item x="660"/>
        <item x="555"/>
        <item x="274"/>
        <item x="376"/>
        <item x="390"/>
        <item x="247"/>
        <item x="435"/>
        <item x="31"/>
        <item x="383"/>
        <item x="292"/>
        <item x="496"/>
        <item x="565"/>
        <item x="484"/>
        <item x="162"/>
        <item x="447"/>
        <item x="80"/>
        <item x="651"/>
        <item x="401"/>
        <item x="330"/>
        <item x="235"/>
        <item x="263"/>
        <item x="30"/>
        <item x="466"/>
        <item x="631"/>
        <item x="503"/>
        <item x="654"/>
        <item x="566"/>
        <item x="398"/>
        <item x="538"/>
        <item x="122"/>
        <item x="0"/>
        <item x="178"/>
        <item x="519"/>
        <item x="254"/>
        <item x="709"/>
        <item x="617"/>
        <item x="307"/>
        <item x="461"/>
        <item x="61"/>
        <item x="474"/>
        <item x="639"/>
        <item x="99"/>
        <item x="378"/>
        <item x="276"/>
        <item x="340"/>
        <item x="318"/>
        <item x="103"/>
        <item x="148"/>
        <item x="297"/>
        <item x="552"/>
        <item x="18"/>
        <item x="585"/>
        <item x="168"/>
        <item x="414"/>
        <item x="430"/>
        <item x="52"/>
        <item x="70"/>
        <item x="381"/>
        <item x="511"/>
        <item x="48"/>
        <item x="310"/>
        <item x="8"/>
        <item x="226"/>
        <item x="338"/>
        <item x="114"/>
        <item x="384"/>
        <item x="23"/>
        <item x="382"/>
        <item x="650"/>
        <item x="92"/>
        <item x="362"/>
        <item x="104"/>
        <item x="722"/>
        <item x="136"/>
        <item x="107"/>
        <item x="467"/>
        <item x="547"/>
        <item x="480"/>
        <item x="131"/>
        <item x="16"/>
        <item x="740"/>
        <item x="109"/>
        <item x="604"/>
        <item x="626"/>
        <item x="437"/>
        <item x="672"/>
        <item x="399"/>
        <item x="457"/>
        <item x="45"/>
        <item x="750"/>
        <item x="623"/>
        <item x="458"/>
        <item x="239"/>
        <item x="106"/>
        <item x="598"/>
        <item x="160"/>
        <item x="215"/>
        <item x="459"/>
        <item x="731"/>
        <item x="618"/>
        <item x="446"/>
        <item x="559"/>
        <item x="689"/>
        <item x="456"/>
        <item x="479"/>
        <item x="542"/>
        <item x="73"/>
        <item x="207"/>
        <item x="644"/>
        <item x="33"/>
        <item x="478"/>
        <item x="522"/>
        <item x="393"/>
        <item x="64"/>
        <item x="499"/>
        <item x="272"/>
        <item x="257"/>
        <item x="708"/>
        <item x="753"/>
        <item x="36"/>
        <item x="444"/>
        <item x="132"/>
        <item x="262"/>
        <item x="596"/>
        <item x="145"/>
        <item x="428"/>
        <item x="90"/>
        <item x="562"/>
        <item x="66"/>
        <item x="253"/>
        <item x="592"/>
        <item x="346"/>
        <item x="102"/>
        <item x="454"/>
        <item x="473"/>
        <item x="536"/>
        <item x="755"/>
        <item x="429"/>
        <item x="728"/>
        <item x="341"/>
        <item x="587"/>
        <item x="482"/>
        <item x="716"/>
        <item x="273"/>
        <item x="424"/>
        <item x="534"/>
        <item x="191"/>
        <item x="213"/>
        <item x="326"/>
        <item x="120"/>
        <item x="463"/>
        <item x="223"/>
        <item x="528"/>
        <item x="483"/>
        <item x="356"/>
        <item x="442"/>
        <item x="619"/>
        <item x="396"/>
        <item x="508"/>
        <item x="331"/>
        <item x="646"/>
        <item x="451"/>
        <item x="407"/>
        <item x="417"/>
        <item x="501"/>
        <item x="624"/>
        <item x="527"/>
        <item x="306"/>
        <item x="546"/>
        <item x="440"/>
        <item x="502"/>
        <item x="165"/>
        <item x="683"/>
        <item x="690"/>
        <item x="743"/>
        <item x="144"/>
        <item x="78"/>
        <item x="581"/>
        <item x="757"/>
        <item x="420"/>
        <item x="344"/>
        <item x="377"/>
        <item x="518"/>
        <item x="118"/>
        <item x="751"/>
        <item x="72"/>
        <item x="365"/>
        <item x="535"/>
        <item x="738"/>
        <item x="352"/>
        <item x="530"/>
        <item x="127"/>
        <item x="525"/>
        <item x="677"/>
        <item x="266"/>
        <item x="261"/>
        <item x="669"/>
        <item x="157"/>
        <item x="38"/>
        <item x="694"/>
        <item x="204"/>
        <item x="449"/>
        <item x="531"/>
        <item x="180"/>
        <item x="665"/>
        <item x="497"/>
        <item x="656"/>
        <item x="576"/>
        <item x="336"/>
        <item x="294"/>
        <item x="286"/>
        <item x="216"/>
        <item x="179"/>
        <item x="47"/>
        <item x="143"/>
        <item x="100"/>
        <item x="758"/>
        <item x="727"/>
        <item x="620"/>
        <item x="20"/>
        <item x="688"/>
        <item x="667"/>
        <item x="671"/>
        <item x="410"/>
        <item x="246"/>
        <item x="489"/>
        <item x="228"/>
        <item x="350"/>
        <item x="224"/>
        <item x="476"/>
        <item x="659"/>
        <item x="271"/>
        <item x="658"/>
        <item x="311"/>
        <item x="701"/>
        <item x="647"/>
        <item x="65"/>
        <item x="9"/>
        <item x="625"/>
        <item x="175"/>
        <item x="642"/>
        <item x="748"/>
        <item x="222"/>
        <item x="635"/>
        <item x="452"/>
        <item x="409"/>
        <item x="152"/>
        <item x="206"/>
        <item x="607"/>
        <item x="279"/>
        <item x="680"/>
        <item x="575"/>
        <item x="668"/>
        <item x="123"/>
        <item x="645"/>
        <item x="612"/>
        <item x="158"/>
        <item x="166"/>
        <item x="721"/>
        <item x="177"/>
        <item x="370"/>
        <item x="176"/>
        <item x="745"/>
        <item x="695"/>
        <item x="198"/>
        <item x="22"/>
        <item x="217"/>
        <item x="684"/>
        <item x="726"/>
        <item x="82"/>
        <item x="84"/>
        <item x="739"/>
        <item x="2"/>
        <item x="521"/>
        <item x="633"/>
        <item x="1"/>
        <item x="42"/>
        <item x="524"/>
        <item x="105"/>
        <item x="421"/>
        <item x="299"/>
        <item x="185"/>
        <item x="470"/>
        <item x="234"/>
        <item x="582"/>
        <item x="541"/>
        <item x="287"/>
        <item x="725"/>
        <item x="134"/>
        <item x="111"/>
        <item x="615"/>
        <item x="55"/>
        <item x="236"/>
        <item x="468"/>
        <item x="229"/>
        <item x="290"/>
        <item x="284"/>
        <item x="85"/>
        <item x="567"/>
        <item x="159"/>
        <item x="194"/>
        <item x="367"/>
        <item x="537"/>
        <item x="364"/>
        <item x="558"/>
        <item x="455"/>
        <item x="221"/>
        <item x="119"/>
        <item x="366"/>
        <item x="448"/>
        <item x="705"/>
        <item x="707"/>
        <item x="110"/>
        <item x="182"/>
        <item x="289"/>
        <item x="686"/>
        <item x="571"/>
        <item x="354"/>
        <item x="53"/>
        <item x="151"/>
        <item x="747"/>
        <item x="295"/>
        <item x="514"/>
        <item x="663"/>
        <item x="181"/>
        <item x="195"/>
        <item x="260"/>
        <item x="60"/>
        <item x="493"/>
        <item x="578"/>
        <item x="309"/>
        <item x="494"/>
        <item x="319"/>
        <item x="285"/>
        <item x="551"/>
        <item x="583"/>
        <item x="599"/>
        <item x="510"/>
        <item x="58"/>
        <item x="343"/>
        <item x="605"/>
        <item x="529"/>
        <item x="641"/>
        <item x="640"/>
        <item x="676"/>
        <item x="713"/>
        <item x="681"/>
        <item x="404"/>
        <item x="661"/>
        <item x="244"/>
        <item x="79"/>
        <item x="280"/>
        <item x="698"/>
        <item x="462"/>
        <item x="323"/>
        <item x="573"/>
        <item x="333"/>
        <item x="230"/>
        <item x="314"/>
        <item x="211"/>
        <item x="670"/>
        <item x="202"/>
        <item x="189"/>
        <item x="426"/>
        <item x="374"/>
        <item x="233"/>
        <item x="588"/>
        <item x="155"/>
        <item x="544"/>
        <item x="744"/>
        <item x="697"/>
        <item x="167"/>
        <item x="648"/>
        <item x="734"/>
        <item x="87"/>
        <item x="186"/>
        <item x="39"/>
        <item x="351"/>
        <item x="190"/>
        <item x="460"/>
        <item x="252"/>
        <item x="197"/>
        <item x="397"/>
        <item x="465"/>
        <item x="433"/>
        <item x="372"/>
        <item x="687"/>
        <item x="569"/>
        <item x="141"/>
        <item x="225"/>
        <item x="124"/>
        <item x="12"/>
        <item x="699"/>
        <item x="112"/>
        <item x="512"/>
        <item x="249"/>
        <item x="40"/>
        <item x="278"/>
        <item x="416"/>
        <item x="548"/>
        <item x="691"/>
        <item x="353"/>
        <item x="373"/>
        <item x="711"/>
        <item x="188"/>
        <item x="140"/>
        <item x="746"/>
        <item x="706"/>
        <item x="275"/>
        <item x="146"/>
        <item x="251"/>
        <item x="24"/>
        <item x="4"/>
        <item x="394"/>
        <item x="153"/>
        <item x="418"/>
        <item x="49"/>
        <item x="715"/>
        <item x="250"/>
        <item x="183"/>
        <item x="486"/>
        <item x="380"/>
        <item x="316"/>
        <item x="439"/>
        <item x="586"/>
        <item x="759"/>
        <item t="default"/>
      </items>
    </pivotField>
    <pivotField showAll="0"/>
    <pivotField showAll="0"/>
    <pivotField showAll="0"/>
    <pivotField showAll="0"/>
    <pivotField showAll="0"/>
    <pivotField showAll="0"/>
    <pivotField showAll="0"/>
    <pivotField showAll="0"/>
    <pivotField showAll="0"/>
    <pivotField dataField="1" showAll="0">
      <items count="32">
        <item x="24"/>
        <item x="21"/>
        <item x="2"/>
        <item x="18"/>
        <item x="28"/>
        <item x="10"/>
        <item x="11"/>
        <item x="16"/>
        <item x="23"/>
        <item x="5"/>
        <item x="9"/>
        <item x="14"/>
        <item x="25"/>
        <item x="15"/>
        <item x="22"/>
        <item x="0"/>
        <item x="26"/>
        <item x="7"/>
        <item x="8"/>
        <item x="4"/>
        <item x="27"/>
        <item x="1"/>
        <item x="17"/>
        <item x="20"/>
        <item x="12"/>
        <item x="19"/>
        <item x="13"/>
        <item x="29"/>
        <item x="6"/>
        <item x="3"/>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5"/>
  </colFields>
  <colItems count="7">
    <i>
      <x/>
    </i>
    <i>
      <x v="1"/>
    </i>
    <i>
      <x v="2"/>
    </i>
    <i>
      <x v="3"/>
    </i>
    <i>
      <x v="4"/>
    </i>
    <i>
      <x v="5"/>
    </i>
    <i t="grand">
      <x/>
    </i>
  </colItems>
  <dataFields count="1">
    <dataField name="Sum of Recovery Day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335FAB-EDEC-4AA7-AB6C-51671FA4D95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I51" firstHeaderRow="1" firstDataRow="2" firstDataCol="1"/>
  <pivotFields count="20">
    <pivotField showAll="0"/>
    <pivotField showAll="0"/>
    <pivotField showAll="0"/>
    <pivotField showAll="0"/>
    <pivotField showAll="0"/>
    <pivotField axis="axisRow" dataField="1" showAll="0">
      <items count="8">
        <item x="0"/>
        <item x="1"/>
        <item x="2"/>
        <item x="3"/>
        <item x="4"/>
        <item x="5"/>
        <item x="6"/>
        <item t="default"/>
      </items>
    </pivotField>
    <pivotField showAll="0">
      <items count="761">
        <item x="296"/>
        <item x="572"/>
        <item x="509"/>
        <item x="335"/>
        <item x="269"/>
        <item x="729"/>
        <item x="94"/>
        <item x="357"/>
        <item x="57"/>
        <item x="302"/>
        <item x="423"/>
        <item x="515"/>
        <item x="730"/>
        <item x="718"/>
        <item x="664"/>
        <item x="491"/>
        <item x="129"/>
        <item x="13"/>
        <item x="402"/>
        <item x="638"/>
        <item x="193"/>
        <item x="83"/>
        <item x="46"/>
        <item x="135"/>
        <item x="300"/>
        <item x="724"/>
        <item x="553"/>
        <item x="305"/>
        <item x="679"/>
        <item x="443"/>
        <item x="149"/>
        <item x="678"/>
        <item x="3"/>
        <item x="248"/>
        <item x="95"/>
        <item x="303"/>
        <item x="391"/>
        <item x="717"/>
        <item x="25"/>
        <item x="133"/>
        <item x="169"/>
        <item x="500"/>
        <item x="714"/>
        <item x="408"/>
        <item x="121"/>
        <item x="26"/>
        <item x="506"/>
        <item x="256"/>
        <item x="96"/>
        <item x="720"/>
        <item x="329"/>
        <item x="752"/>
        <item x="523"/>
        <item x="187"/>
        <item x="324"/>
        <item x="554"/>
        <item x="71"/>
        <item x="371"/>
        <item x="101"/>
        <item x="602"/>
        <item x="441"/>
        <item x="616"/>
        <item x="487"/>
        <item x="242"/>
        <item x="662"/>
        <item x="161"/>
        <item x="543"/>
        <item x="11"/>
        <item x="163"/>
        <item x="584"/>
        <item x="611"/>
        <item x="164"/>
        <item x="199"/>
        <item x="220"/>
        <item x="130"/>
        <item x="81"/>
        <item x="369"/>
        <item x="403"/>
        <item x="117"/>
        <item x="264"/>
        <item x="741"/>
        <item x="504"/>
        <item x="545"/>
        <item x="5"/>
        <item x="613"/>
        <item x="174"/>
        <item x="628"/>
        <item x="737"/>
        <item x="339"/>
        <item x="282"/>
        <item x="355"/>
        <item x="580"/>
        <item x="400"/>
        <item x="719"/>
        <item x="76"/>
        <item x="328"/>
        <item x="704"/>
        <item x="156"/>
        <item x="392"/>
        <item x="91"/>
        <item x="564"/>
        <item x="702"/>
        <item x="293"/>
        <item x="35"/>
        <item x="359"/>
        <item x="126"/>
        <item x="69"/>
        <item x="375"/>
        <item x="636"/>
        <item x="749"/>
        <item x="360"/>
        <item x="674"/>
        <item x="34"/>
        <item x="14"/>
        <item x="10"/>
        <item x="268"/>
        <item x="205"/>
        <item x="291"/>
        <item x="321"/>
        <item x="67"/>
        <item x="62"/>
        <item x="754"/>
        <item x="210"/>
        <item x="387"/>
        <item x="97"/>
        <item x="550"/>
        <item x="606"/>
        <item x="388"/>
        <item x="563"/>
        <item x="308"/>
        <item x="41"/>
        <item x="317"/>
        <item x="736"/>
        <item x="469"/>
        <item x="203"/>
        <item x="348"/>
        <item x="629"/>
        <item x="649"/>
        <item x="327"/>
        <item x="557"/>
        <item x="386"/>
        <item x="579"/>
        <item x="138"/>
        <item x="172"/>
        <item x="270"/>
        <item x="281"/>
        <item x="600"/>
        <item x="44"/>
        <item x="63"/>
        <item x="170"/>
        <item x="115"/>
        <item x="488"/>
        <item x="28"/>
        <item x="589"/>
        <item x="77"/>
        <item x="692"/>
        <item x="630"/>
        <item x="556"/>
        <item x="150"/>
        <item x="184"/>
        <item x="389"/>
        <item x="561"/>
        <item x="75"/>
        <item x="201"/>
        <item x="475"/>
        <item x="15"/>
        <item x="258"/>
        <item x="6"/>
        <item x="577"/>
        <item x="240"/>
        <item x="609"/>
        <item x="516"/>
        <item x="32"/>
        <item x="241"/>
        <item x="142"/>
        <item x="315"/>
        <item x="539"/>
        <item x="313"/>
        <item x="492"/>
        <item x="593"/>
        <item x="723"/>
        <item x="232"/>
        <item x="196"/>
        <item x="368"/>
        <item x="434"/>
        <item x="601"/>
        <item x="696"/>
        <item x="320"/>
        <item x="412"/>
        <item x="108"/>
        <item x="334"/>
        <item x="267"/>
        <item x="243"/>
        <item x="154"/>
        <item x="643"/>
        <item x="438"/>
        <item x="43"/>
        <item x="265"/>
        <item x="608"/>
        <item x="507"/>
        <item x="361"/>
        <item x="288"/>
        <item x="347"/>
        <item x="298"/>
        <item x="735"/>
        <item x="637"/>
        <item x="436"/>
        <item x="682"/>
        <item x="513"/>
        <item x="532"/>
        <item x="245"/>
        <item x="379"/>
        <item x="238"/>
        <item x="591"/>
        <item x="570"/>
        <item x="415"/>
        <item x="227"/>
        <item x="29"/>
        <item x="405"/>
        <item x="385"/>
        <item x="147"/>
        <item x="128"/>
        <item x="358"/>
        <item x="560"/>
        <item x="7"/>
        <item x="622"/>
        <item x="477"/>
        <item x="505"/>
        <item x="742"/>
        <item x="603"/>
        <item x="214"/>
        <item x="212"/>
        <item x="533"/>
        <item x="171"/>
        <item x="614"/>
        <item x="89"/>
        <item x="666"/>
        <item x="283"/>
        <item x="445"/>
        <item x="363"/>
        <item x="595"/>
        <item x="732"/>
        <item x="712"/>
        <item x="422"/>
        <item x="464"/>
        <item x="332"/>
        <item x="652"/>
        <item x="192"/>
        <item x="526"/>
        <item x="231"/>
        <item x="427"/>
        <item x="51"/>
        <item x="56"/>
        <item x="304"/>
        <item x="17"/>
        <item x="27"/>
        <item x="590"/>
        <item x="693"/>
        <item x="19"/>
        <item x="125"/>
        <item x="173"/>
        <item x="325"/>
        <item x="208"/>
        <item x="93"/>
        <item x="733"/>
        <item x="337"/>
        <item x="517"/>
        <item x="255"/>
        <item x="432"/>
        <item x="634"/>
        <item x="419"/>
        <item x="540"/>
        <item x="50"/>
        <item x="472"/>
        <item x="450"/>
        <item x="54"/>
        <item x="703"/>
        <item x="411"/>
        <item x="498"/>
        <item x="653"/>
        <item x="113"/>
        <item x="594"/>
        <item x="88"/>
        <item x="74"/>
        <item x="453"/>
        <item x="627"/>
        <item x="495"/>
        <item x="312"/>
        <item x="259"/>
        <item x="425"/>
        <item x="301"/>
        <item x="655"/>
        <item x="98"/>
        <item x="673"/>
        <item x="481"/>
        <item x="395"/>
        <item x="485"/>
        <item x="597"/>
        <item x="200"/>
        <item x="322"/>
        <item x="116"/>
        <item x="406"/>
        <item x="139"/>
        <item x="756"/>
        <item x="657"/>
        <item x="685"/>
        <item x="574"/>
        <item x="37"/>
        <item x="632"/>
        <item x="342"/>
        <item x="219"/>
        <item x="568"/>
        <item x="86"/>
        <item x="218"/>
        <item x="710"/>
        <item x="621"/>
        <item x="59"/>
        <item x="137"/>
        <item x="490"/>
        <item x="349"/>
        <item x="237"/>
        <item x="520"/>
        <item x="209"/>
        <item x="471"/>
        <item x="549"/>
        <item x="21"/>
        <item x="345"/>
        <item x="413"/>
        <item x="610"/>
        <item x="277"/>
        <item x="431"/>
        <item x="700"/>
        <item x="68"/>
        <item x="675"/>
        <item x="660"/>
        <item x="555"/>
        <item x="274"/>
        <item x="376"/>
        <item x="390"/>
        <item x="247"/>
        <item x="435"/>
        <item x="31"/>
        <item x="383"/>
        <item x="292"/>
        <item x="496"/>
        <item x="565"/>
        <item x="484"/>
        <item x="162"/>
        <item x="447"/>
        <item x="80"/>
        <item x="651"/>
        <item x="401"/>
        <item x="330"/>
        <item x="235"/>
        <item x="263"/>
        <item x="30"/>
        <item x="466"/>
        <item x="631"/>
        <item x="503"/>
        <item x="654"/>
        <item x="566"/>
        <item x="398"/>
        <item x="538"/>
        <item x="122"/>
        <item x="0"/>
        <item x="178"/>
        <item x="519"/>
        <item x="254"/>
        <item x="709"/>
        <item x="617"/>
        <item x="307"/>
        <item x="461"/>
        <item x="61"/>
        <item x="474"/>
        <item x="639"/>
        <item x="99"/>
        <item x="378"/>
        <item x="276"/>
        <item x="340"/>
        <item x="318"/>
        <item x="103"/>
        <item x="148"/>
        <item x="297"/>
        <item x="552"/>
        <item x="18"/>
        <item x="585"/>
        <item x="168"/>
        <item x="414"/>
        <item x="430"/>
        <item x="52"/>
        <item x="70"/>
        <item x="381"/>
        <item x="511"/>
        <item x="48"/>
        <item x="310"/>
        <item x="8"/>
        <item x="226"/>
        <item x="338"/>
        <item x="114"/>
        <item x="384"/>
        <item x="23"/>
        <item x="382"/>
        <item x="650"/>
        <item x="92"/>
        <item x="362"/>
        <item x="104"/>
        <item x="722"/>
        <item x="136"/>
        <item x="107"/>
        <item x="467"/>
        <item x="547"/>
        <item x="480"/>
        <item x="131"/>
        <item x="16"/>
        <item x="740"/>
        <item x="109"/>
        <item x="604"/>
        <item x="626"/>
        <item x="437"/>
        <item x="672"/>
        <item x="399"/>
        <item x="457"/>
        <item x="45"/>
        <item x="750"/>
        <item x="623"/>
        <item x="458"/>
        <item x="239"/>
        <item x="106"/>
        <item x="598"/>
        <item x="160"/>
        <item x="215"/>
        <item x="459"/>
        <item x="731"/>
        <item x="618"/>
        <item x="446"/>
        <item x="559"/>
        <item x="689"/>
        <item x="456"/>
        <item x="479"/>
        <item x="542"/>
        <item x="73"/>
        <item x="207"/>
        <item x="644"/>
        <item x="33"/>
        <item x="478"/>
        <item x="522"/>
        <item x="393"/>
        <item x="64"/>
        <item x="499"/>
        <item x="272"/>
        <item x="257"/>
        <item x="708"/>
        <item x="753"/>
        <item x="36"/>
        <item x="444"/>
        <item x="132"/>
        <item x="262"/>
        <item x="596"/>
        <item x="145"/>
        <item x="428"/>
        <item x="90"/>
        <item x="562"/>
        <item x="66"/>
        <item x="253"/>
        <item x="592"/>
        <item x="346"/>
        <item x="102"/>
        <item x="454"/>
        <item x="473"/>
        <item x="536"/>
        <item x="755"/>
        <item x="429"/>
        <item x="728"/>
        <item x="341"/>
        <item x="587"/>
        <item x="482"/>
        <item x="716"/>
        <item x="273"/>
        <item x="424"/>
        <item x="534"/>
        <item x="191"/>
        <item x="213"/>
        <item x="326"/>
        <item x="120"/>
        <item x="463"/>
        <item x="223"/>
        <item x="528"/>
        <item x="483"/>
        <item x="356"/>
        <item x="442"/>
        <item x="619"/>
        <item x="396"/>
        <item x="508"/>
        <item x="331"/>
        <item x="646"/>
        <item x="451"/>
        <item x="407"/>
        <item x="417"/>
        <item x="501"/>
        <item x="624"/>
        <item x="527"/>
        <item x="306"/>
        <item x="546"/>
        <item x="440"/>
        <item x="502"/>
        <item x="165"/>
        <item x="683"/>
        <item x="690"/>
        <item x="743"/>
        <item x="144"/>
        <item x="78"/>
        <item x="581"/>
        <item x="757"/>
        <item x="420"/>
        <item x="344"/>
        <item x="377"/>
        <item x="518"/>
        <item x="118"/>
        <item x="751"/>
        <item x="72"/>
        <item x="365"/>
        <item x="535"/>
        <item x="738"/>
        <item x="352"/>
        <item x="530"/>
        <item x="127"/>
        <item x="525"/>
        <item x="677"/>
        <item x="266"/>
        <item x="261"/>
        <item x="669"/>
        <item x="157"/>
        <item x="38"/>
        <item x="694"/>
        <item x="204"/>
        <item x="449"/>
        <item x="531"/>
        <item x="180"/>
        <item x="665"/>
        <item x="497"/>
        <item x="656"/>
        <item x="576"/>
        <item x="336"/>
        <item x="294"/>
        <item x="286"/>
        <item x="216"/>
        <item x="179"/>
        <item x="47"/>
        <item x="143"/>
        <item x="100"/>
        <item x="758"/>
        <item x="727"/>
        <item x="620"/>
        <item x="20"/>
        <item x="688"/>
        <item x="667"/>
        <item x="671"/>
        <item x="410"/>
        <item x="246"/>
        <item x="489"/>
        <item x="228"/>
        <item x="350"/>
        <item x="224"/>
        <item x="476"/>
        <item x="659"/>
        <item x="271"/>
        <item x="658"/>
        <item x="311"/>
        <item x="701"/>
        <item x="647"/>
        <item x="65"/>
        <item x="9"/>
        <item x="625"/>
        <item x="175"/>
        <item x="642"/>
        <item x="748"/>
        <item x="222"/>
        <item x="635"/>
        <item x="452"/>
        <item x="409"/>
        <item x="152"/>
        <item x="206"/>
        <item x="607"/>
        <item x="279"/>
        <item x="680"/>
        <item x="575"/>
        <item x="668"/>
        <item x="123"/>
        <item x="645"/>
        <item x="612"/>
        <item x="158"/>
        <item x="166"/>
        <item x="721"/>
        <item x="177"/>
        <item x="370"/>
        <item x="176"/>
        <item x="745"/>
        <item x="695"/>
        <item x="198"/>
        <item x="22"/>
        <item x="217"/>
        <item x="684"/>
        <item x="726"/>
        <item x="82"/>
        <item x="84"/>
        <item x="739"/>
        <item x="2"/>
        <item x="521"/>
        <item x="633"/>
        <item x="1"/>
        <item x="42"/>
        <item x="524"/>
        <item x="105"/>
        <item x="421"/>
        <item x="299"/>
        <item x="185"/>
        <item x="470"/>
        <item x="234"/>
        <item x="582"/>
        <item x="541"/>
        <item x="287"/>
        <item x="725"/>
        <item x="134"/>
        <item x="111"/>
        <item x="615"/>
        <item x="55"/>
        <item x="236"/>
        <item x="468"/>
        <item x="229"/>
        <item x="290"/>
        <item x="284"/>
        <item x="85"/>
        <item x="567"/>
        <item x="159"/>
        <item x="194"/>
        <item x="367"/>
        <item x="537"/>
        <item x="364"/>
        <item x="558"/>
        <item x="455"/>
        <item x="221"/>
        <item x="119"/>
        <item x="366"/>
        <item x="448"/>
        <item x="705"/>
        <item x="707"/>
        <item x="110"/>
        <item x="182"/>
        <item x="289"/>
        <item x="686"/>
        <item x="571"/>
        <item x="354"/>
        <item x="53"/>
        <item x="151"/>
        <item x="747"/>
        <item x="295"/>
        <item x="514"/>
        <item x="663"/>
        <item x="181"/>
        <item x="195"/>
        <item x="260"/>
        <item x="60"/>
        <item x="493"/>
        <item x="578"/>
        <item x="309"/>
        <item x="494"/>
        <item x="319"/>
        <item x="285"/>
        <item x="551"/>
        <item x="583"/>
        <item x="599"/>
        <item x="510"/>
        <item x="58"/>
        <item x="343"/>
        <item x="605"/>
        <item x="529"/>
        <item x="641"/>
        <item x="640"/>
        <item x="676"/>
        <item x="713"/>
        <item x="681"/>
        <item x="404"/>
        <item x="661"/>
        <item x="244"/>
        <item x="79"/>
        <item x="280"/>
        <item x="698"/>
        <item x="462"/>
        <item x="323"/>
        <item x="573"/>
        <item x="333"/>
        <item x="230"/>
        <item x="314"/>
        <item x="211"/>
        <item x="670"/>
        <item x="202"/>
        <item x="189"/>
        <item x="426"/>
        <item x="374"/>
        <item x="233"/>
        <item x="588"/>
        <item x="155"/>
        <item x="544"/>
        <item x="744"/>
        <item x="697"/>
        <item x="167"/>
        <item x="648"/>
        <item x="734"/>
        <item x="87"/>
        <item x="186"/>
        <item x="39"/>
        <item x="351"/>
        <item x="190"/>
        <item x="460"/>
        <item x="252"/>
        <item x="197"/>
        <item x="397"/>
        <item x="465"/>
        <item x="433"/>
        <item x="372"/>
        <item x="687"/>
        <item x="569"/>
        <item x="141"/>
        <item x="225"/>
        <item x="124"/>
        <item x="12"/>
        <item x="699"/>
        <item x="112"/>
        <item x="512"/>
        <item x="249"/>
        <item x="40"/>
        <item x="278"/>
        <item x="416"/>
        <item x="548"/>
        <item x="691"/>
        <item x="353"/>
        <item x="373"/>
        <item x="711"/>
        <item x="188"/>
        <item x="140"/>
        <item x="746"/>
        <item x="706"/>
        <item x="275"/>
        <item x="146"/>
        <item x="251"/>
        <item x="24"/>
        <item x="4"/>
        <item x="394"/>
        <item x="153"/>
        <item x="418"/>
        <item x="49"/>
        <item x="715"/>
        <item x="250"/>
        <item x="183"/>
        <item x="486"/>
        <item x="380"/>
        <item x="316"/>
        <item x="439"/>
        <item x="586"/>
        <item x="759"/>
        <item t="default"/>
      </items>
    </pivotField>
    <pivotField showAll="0"/>
    <pivotField showAll="0">
      <items count="974">
        <item x="972"/>
        <item x="731"/>
        <item x="391"/>
        <item x="816"/>
        <item x="178"/>
        <item x="76"/>
        <item x="209"/>
        <item x="357"/>
        <item x="549"/>
        <item x="404"/>
        <item x="740"/>
        <item x="466"/>
        <item x="17"/>
        <item x="93"/>
        <item x="145"/>
        <item x="824"/>
        <item x="796"/>
        <item x="504"/>
        <item x="555"/>
        <item x="737"/>
        <item x="576"/>
        <item x="763"/>
        <item x="159"/>
        <item x="868"/>
        <item x="594"/>
        <item x="210"/>
        <item x="25"/>
        <item x="495"/>
        <item x="517"/>
        <item x="250"/>
        <item x="403"/>
        <item x="825"/>
        <item x="778"/>
        <item x="256"/>
        <item x="57"/>
        <item x="55"/>
        <item x="439"/>
        <item x="106"/>
        <item x="807"/>
        <item x="800"/>
        <item x="509"/>
        <item x="799"/>
        <item x="957"/>
        <item x="507"/>
        <item x="0"/>
        <item x="682"/>
        <item x="592"/>
        <item x="681"/>
        <item x="226"/>
        <item x="147"/>
        <item x="823"/>
        <item x="645"/>
        <item x="285"/>
        <item x="560"/>
        <item x="414"/>
        <item x="809"/>
        <item x="530"/>
        <item x="766"/>
        <item x="280"/>
        <item x="352"/>
        <item x="387"/>
        <item x="797"/>
        <item x="776"/>
        <item x="701"/>
        <item x="401"/>
        <item x="73"/>
        <item x="760"/>
        <item x="911"/>
        <item x="119"/>
        <item x="877"/>
        <item x="92"/>
        <item x="272"/>
        <item x="41"/>
        <item x="452"/>
        <item x="502"/>
        <item x="713"/>
        <item x="488"/>
        <item x="343"/>
        <item x="596"/>
        <item x="121"/>
        <item x="433"/>
        <item x="407"/>
        <item x="727"/>
        <item x="755"/>
        <item x="858"/>
        <item x="18"/>
        <item x="126"/>
        <item x="574"/>
        <item x="950"/>
        <item x="310"/>
        <item x="687"/>
        <item x="744"/>
        <item x="956"/>
        <item x="398"/>
        <item x="719"/>
        <item x="284"/>
        <item x="826"/>
        <item x="16"/>
        <item x="651"/>
        <item x="302"/>
        <item x="65"/>
        <item x="150"/>
        <item x="100"/>
        <item x="288"/>
        <item x="441"/>
        <item x="885"/>
        <item x="95"/>
        <item x="367"/>
        <item x="431"/>
        <item x="630"/>
        <item x="708"/>
        <item x="474"/>
        <item x="600"/>
        <item x="748"/>
        <item x="75"/>
        <item x="161"/>
        <item x="53"/>
        <item x="960"/>
        <item x="406"/>
        <item x="774"/>
        <item x="236"/>
        <item x="309"/>
        <item x="828"/>
        <item x="290"/>
        <item x="837"/>
        <item x="360"/>
        <item x="363"/>
        <item x="437"/>
        <item x="66"/>
        <item x="821"/>
        <item x="840"/>
        <item x="127"/>
        <item x="876"/>
        <item x="72"/>
        <item x="312"/>
        <item x="24"/>
        <item x="244"/>
        <item x="180"/>
        <item x="351"/>
        <item x="294"/>
        <item x="417"/>
        <item x="581"/>
        <item x="609"/>
        <item x="951"/>
        <item x="133"/>
        <item x="641"/>
        <item x="726"/>
        <item x="193"/>
        <item x="347"/>
        <item x="271"/>
        <item x="473"/>
        <item x="319"/>
        <item x="554"/>
        <item x="912"/>
        <item x="270"/>
        <item x="205"/>
        <item x="758"/>
        <item x="300"/>
        <item x="656"/>
        <item x="751"/>
        <item x="937"/>
        <item x="68"/>
        <item x="640"/>
        <item x="801"/>
        <item x="261"/>
        <item x="786"/>
        <item x="923"/>
        <item x="649"/>
        <item x="833"/>
        <item x="935"/>
        <item x="242"/>
        <item x="114"/>
        <item x="931"/>
        <item x="330"/>
        <item x="207"/>
        <item x="15"/>
        <item x="149"/>
        <item x="678"/>
        <item x="629"/>
        <item x="889"/>
        <item x="383"/>
        <item x="769"/>
        <item x="914"/>
        <item x="77"/>
        <item x="819"/>
        <item x="436"/>
        <item x="11"/>
        <item x="773"/>
        <item x="846"/>
        <item x="610"/>
        <item x="471"/>
        <item x="673"/>
        <item x="48"/>
        <item x="184"/>
        <item x="238"/>
        <item x="167"/>
        <item x="477"/>
        <item x="832"/>
        <item x="199"/>
        <item x="541"/>
        <item x="933"/>
        <item x="108"/>
        <item x="255"/>
        <item x="30"/>
        <item x="746"/>
        <item x="516"/>
        <item x="664"/>
        <item x="38"/>
        <item x="366"/>
        <item x="936"/>
        <item x="36"/>
        <item x="534"/>
        <item x="496"/>
        <item x="920"/>
        <item x="94"/>
        <item x="314"/>
        <item x="490"/>
        <item x="632"/>
        <item x="333"/>
        <item x="487"/>
        <item x="192"/>
        <item x="871"/>
        <item x="906"/>
        <item x="96"/>
        <item x="240"/>
        <item x="557"/>
        <item x="616"/>
        <item x="80"/>
        <item x="215"/>
        <item x="580"/>
        <item x="934"/>
        <item x="249"/>
        <item x="608"/>
        <item x="465"/>
        <item x="532"/>
        <item x="860"/>
        <item x="109"/>
        <item x="444"/>
        <item x="761"/>
        <item x="620"/>
        <item x="269"/>
        <item x="585"/>
        <item x="308"/>
        <item x="386"/>
        <item x="521"/>
        <item x="907"/>
        <item x="497"/>
        <item x="675"/>
        <item x="784"/>
        <item x="331"/>
        <item x="40"/>
        <item x="958"/>
        <item x="56"/>
        <item x="861"/>
        <item x="211"/>
        <item x="287"/>
        <item x="427"/>
        <item x="514"/>
        <item x="577"/>
        <item x="191"/>
        <item x="412"/>
        <item x="223"/>
        <item x="715"/>
        <item x="568"/>
        <item x="604"/>
        <item x="43"/>
        <item x="752"/>
        <item x="177"/>
        <item x="658"/>
        <item x="930"/>
        <item x="565"/>
        <item x="736"/>
        <item x="370"/>
        <item x="728"/>
        <item x="429"/>
        <item x="964"/>
        <item x="27"/>
        <item x="913"/>
        <item x="459"/>
        <item x="227"/>
        <item x="144"/>
        <item x="216"/>
        <item x="518"/>
        <item x="358"/>
        <item x="772"/>
        <item x="661"/>
        <item x="674"/>
        <item x="134"/>
        <item x="164"/>
        <item x="82"/>
        <item x="802"/>
        <item x="362"/>
        <item x="245"/>
        <item x="711"/>
        <item x="186"/>
        <item x="636"/>
        <item x="613"/>
        <item x="390"/>
        <item x="303"/>
        <item x="963"/>
        <item x="494"/>
        <item x="700"/>
        <item x="389"/>
        <item x="37"/>
        <item x="138"/>
        <item x="434"/>
        <item x="883"/>
        <item x="291"/>
        <item x="559"/>
        <item x="257"/>
        <item x="278"/>
        <item x="762"/>
        <item x="918"/>
        <item x="467"/>
        <item x="99"/>
        <item x="135"/>
        <item x="399"/>
        <item x="903"/>
        <item x="547"/>
        <item x="486"/>
        <item x="124"/>
        <item x="852"/>
        <item x="208"/>
        <item x="307"/>
        <item x="175"/>
        <item x="420"/>
        <item x="944"/>
        <item x="342"/>
        <item x="767"/>
        <item x="299"/>
        <item x="897"/>
        <item x="464"/>
        <item x="531"/>
        <item x="928"/>
        <item x="196"/>
        <item x="305"/>
        <item x="111"/>
        <item x="804"/>
        <item x="345"/>
        <item x="375"/>
        <item x="153"/>
        <item x="787"/>
        <item x="74"/>
        <item x="262"/>
        <item x="368"/>
        <item x="173"/>
        <item x="689"/>
        <item x="110"/>
        <item x="481"/>
        <item x="451"/>
        <item x="869"/>
        <item x="707"/>
        <item x="274"/>
        <item x="525"/>
        <item x="181"/>
        <item x="54"/>
        <item x="297"/>
        <item x="970"/>
        <item x="169"/>
        <item x="116"/>
        <item x="794"/>
        <item x="720"/>
        <item x="512"/>
        <item x="141"/>
        <item x="478"/>
        <item x="925"/>
        <item x="586"/>
        <item x="233"/>
        <item x="639"/>
        <item x="422"/>
        <item x="239"/>
        <item x="831"/>
        <item x="556"/>
        <item x="553"/>
        <item x="775"/>
        <item x="365"/>
        <item x="260"/>
        <item x="78"/>
        <item x="615"/>
        <item x="552"/>
        <item x="29"/>
        <item x="445"/>
        <item x="189"/>
        <item x="932"/>
        <item x="717"/>
        <item x="395"/>
        <item x="619"/>
        <item x="939"/>
        <item x="456"/>
        <item x="588"/>
        <item x="176"/>
        <item x="688"/>
        <item x="179"/>
        <item x="295"/>
        <item x="650"/>
        <item x="396"/>
        <item x="915"/>
        <item x="863"/>
        <item x="67"/>
        <item x="666"/>
        <item x="410"/>
        <item x="449"/>
        <item x="597"/>
        <item x="222"/>
        <item x="117"/>
        <item x="69"/>
        <item x="361"/>
        <item x="377"/>
        <item x="811"/>
        <item x="371"/>
        <item x="355"/>
        <item x="881"/>
        <item x="8"/>
        <item x="965"/>
        <item x="955"/>
        <item x="789"/>
        <item x="583"/>
        <item x="311"/>
        <item x="131"/>
        <item x="771"/>
        <item x="318"/>
        <item x="589"/>
        <item x="409"/>
        <item x="60"/>
        <item x="527"/>
        <item x="51"/>
        <item x="738"/>
        <item x="107"/>
        <item x="754"/>
        <item x="569"/>
        <item x="195"/>
        <item x="953"/>
        <item x="327"/>
        <item x="171"/>
        <item x="874"/>
        <item x="893"/>
        <item x="359"/>
        <item x="908"/>
        <item x="540"/>
        <item x="98"/>
        <item x="34"/>
        <item x="829"/>
        <item x="563"/>
        <item x="724"/>
        <item x="582"/>
        <item x="419"/>
        <item x="86"/>
        <item x="276"/>
        <item x="790"/>
        <item x="128"/>
        <item x="785"/>
        <item x="621"/>
        <item x="696"/>
        <item x="753"/>
        <item x="301"/>
        <item x="602"/>
        <item x="35"/>
        <item x="718"/>
        <item x="204"/>
        <item x="277"/>
        <item x="457"/>
        <item x="50"/>
        <item x="564"/>
        <item x="428"/>
        <item x="168"/>
        <item x="194"/>
        <item x="63"/>
        <item x="783"/>
        <item x="660"/>
        <item x="966"/>
        <item x="268"/>
        <item x="266"/>
        <item x="625"/>
        <item x="896"/>
        <item x="157"/>
        <item x="888"/>
        <item x="519"/>
        <item x="515"/>
        <item x="637"/>
        <item x="385"/>
        <item x="513"/>
        <item x="447"/>
        <item x="213"/>
        <item x="337"/>
        <item x="537"/>
        <item x="388"/>
        <item x="423"/>
        <item x="558"/>
        <item x="733"/>
        <item x="601"/>
        <item x="28"/>
        <item x="709"/>
        <item x="349"/>
        <item x="648"/>
        <item x="657"/>
        <item x="393"/>
        <item x="732"/>
        <item x="536"/>
        <item x="13"/>
        <item x="232"/>
        <item x="142"/>
        <item x="590"/>
        <item x="692"/>
        <item x="722"/>
        <item x="476"/>
        <item x="780"/>
        <item x="526"/>
        <item x="425"/>
        <item x="968"/>
        <item x="735"/>
        <item x="217"/>
        <item x="743"/>
        <item x="697"/>
        <item x="265"/>
        <item x="384"/>
        <item x="734"/>
        <item x="882"/>
        <item x="335"/>
        <item x="638"/>
        <item x="684"/>
        <item x="356"/>
        <item x="855"/>
        <item x="286"/>
        <item x="218"/>
        <item x="599"/>
        <item x="548"/>
        <item x="463"/>
        <item x="612"/>
        <item x="686"/>
        <item x="808"/>
        <item x="64"/>
        <item x="543"/>
        <item x="292"/>
        <item x="163"/>
        <item x="251"/>
        <item x="538"/>
        <item x="19"/>
        <item x="902"/>
        <item x="677"/>
        <item x="961"/>
        <item x="105"/>
        <item x="542"/>
        <item x="137"/>
        <item x="566"/>
        <item x="206"/>
        <item x="857"/>
        <item x="647"/>
        <item x="415"/>
        <item x="838"/>
        <item x="329"/>
        <item x="252"/>
        <item x="788"/>
        <item x="259"/>
        <item x="248"/>
        <item x="544"/>
        <item x="522"/>
        <item x="584"/>
        <item x="653"/>
        <item x="247"/>
        <item x="33"/>
        <item x="306"/>
        <item x="910"/>
        <item x="315"/>
        <item x="705"/>
        <item x="405"/>
        <item x="475"/>
        <item x="139"/>
        <item x="803"/>
        <item x="103"/>
        <item x="483"/>
        <item x="909"/>
        <item x="448"/>
        <item x="317"/>
        <item x="892"/>
        <item x="570"/>
        <item x="739"/>
        <item x="572"/>
        <item x="947"/>
        <item x="81"/>
        <item x="667"/>
        <item x="31"/>
        <item x="382"/>
        <item x="201"/>
        <item x="62"/>
        <item x="764"/>
        <item x="948"/>
        <item x="203"/>
        <item x="499"/>
        <item x="550"/>
        <item x="174"/>
        <item x="806"/>
        <item x="198"/>
        <item x="6"/>
        <item x="332"/>
        <item x="945"/>
        <item x="533"/>
        <item x="886"/>
        <item x="895"/>
        <item x="125"/>
        <item x="643"/>
        <item x="460"/>
        <item x="469"/>
        <item x="346"/>
        <item x="461"/>
        <item x="378"/>
        <item x="917"/>
        <item x="47"/>
        <item x="633"/>
        <item x="491"/>
        <item x="634"/>
        <item x="253"/>
        <item x="890"/>
        <item x="408"/>
        <item x="282"/>
        <item x="598"/>
        <item x="843"/>
        <item x="587"/>
        <item x="856"/>
        <item x="237"/>
        <item x="87"/>
        <item x="165"/>
        <item x="927"/>
        <item x="85"/>
        <item x="49"/>
        <item x="334"/>
        <item x="870"/>
        <item x="946"/>
        <item x="847"/>
        <item x="567"/>
        <item x="146"/>
        <item x="455"/>
        <item x="376"/>
        <item x="341"/>
        <item x="323"/>
        <item x="264"/>
        <item x="328"/>
        <item x="654"/>
        <item x="793"/>
        <item x="795"/>
        <item x="952"/>
        <item x="156"/>
        <item x="777"/>
        <item x="546"/>
        <item x="765"/>
        <item x="45"/>
        <item x="22"/>
        <item x="273"/>
        <item x="304"/>
        <item x="23"/>
        <item x="710"/>
        <item x="254"/>
        <item x="836"/>
        <item x="373"/>
        <item x="873"/>
        <item x="904"/>
        <item x="529"/>
        <item x="440"/>
        <item x="851"/>
        <item x="154"/>
        <item x="676"/>
        <item x="878"/>
        <item x="822"/>
        <item x="26"/>
        <item x="759"/>
        <item x="120"/>
        <item x="817"/>
        <item x="730"/>
        <item x="545"/>
        <item x="170"/>
        <item x="472"/>
        <item x="887"/>
        <item x="166"/>
        <item x="484"/>
        <item x="510"/>
        <item x="400"/>
        <item x="498"/>
        <item x="756"/>
        <item x="182"/>
        <item x="694"/>
        <item x="160"/>
        <item x="631"/>
        <item x="706"/>
        <item x="848"/>
        <item x="224"/>
        <item x="603"/>
        <item x="623"/>
        <item x="898"/>
        <item x="862"/>
        <item x="725"/>
        <item x="104"/>
        <item x="814"/>
        <item x="152"/>
        <item x="842"/>
        <item x="595"/>
        <item x="281"/>
        <item x="812"/>
        <item x="723"/>
        <item x="729"/>
        <item x="659"/>
        <item x="296"/>
        <item x="523"/>
        <item x="336"/>
        <item x="413"/>
        <item x="348"/>
        <item x="929"/>
        <item x="830"/>
        <item x="949"/>
        <item x="919"/>
        <item x="503"/>
        <item x="646"/>
        <item x="747"/>
        <item x="4"/>
        <item x="941"/>
        <item x="617"/>
        <item x="442"/>
        <item x="14"/>
        <item x="652"/>
        <item x="493"/>
        <item x="750"/>
        <item x="220"/>
        <item x="561"/>
        <item x="539"/>
        <item x="392"/>
        <item x="102"/>
        <item x="798"/>
        <item x="959"/>
        <item x="679"/>
        <item x="7"/>
        <item x="841"/>
        <item x="229"/>
        <item x="289"/>
        <item x="190"/>
        <item x="872"/>
        <item x="59"/>
        <item x="875"/>
        <item x="187"/>
        <item x="611"/>
        <item x="485"/>
        <item x="354"/>
        <item x="462"/>
        <item x="185"/>
        <item x="350"/>
        <item x="344"/>
        <item x="571"/>
        <item x="967"/>
        <item x="714"/>
        <item x="397"/>
        <item x="58"/>
        <item x="279"/>
        <item x="779"/>
        <item x="671"/>
        <item x="624"/>
        <item x="854"/>
        <item x="901"/>
        <item x="130"/>
        <item x="528"/>
        <item x="112"/>
        <item x="339"/>
        <item x="61"/>
        <item x="151"/>
        <item x="668"/>
        <item x="84"/>
        <item x="202"/>
        <item x="32"/>
        <item x="241"/>
        <item x="148"/>
        <item x="699"/>
        <item x="313"/>
        <item x="374"/>
        <item x="21"/>
        <item x="693"/>
        <item x="432"/>
        <item x="921"/>
        <item x="364"/>
        <item x="219"/>
        <item x="129"/>
        <item x="815"/>
        <item x="635"/>
        <item x="316"/>
        <item x="221"/>
        <item x="446"/>
        <item x="680"/>
        <item x="805"/>
        <item x="450"/>
        <item x="573"/>
        <item x="663"/>
        <item x="971"/>
        <item x="827"/>
        <item x="402"/>
        <item x="845"/>
        <item x="535"/>
        <item x="745"/>
        <item x="742"/>
        <item x="853"/>
        <item x="325"/>
        <item x="380"/>
        <item x="3"/>
        <item x="421"/>
        <item x="326"/>
        <item x="704"/>
        <item x="865"/>
        <item x="562"/>
        <item x="891"/>
        <item x="443"/>
        <item x="89"/>
        <item x="293"/>
        <item x="143"/>
        <item x="5"/>
        <item x="691"/>
        <item x="298"/>
        <item x="867"/>
        <item x="922"/>
        <item x="618"/>
        <item x="605"/>
        <item x="770"/>
        <item x="118"/>
        <item x="489"/>
        <item x="83"/>
        <item x="243"/>
        <item x="258"/>
        <item x="511"/>
        <item x="669"/>
        <item x="622"/>
        <item x="71"/>
        <item x="212"/>
        <item x="839"/>
        <item x="381"/>
        <item x="492"/>
        <item x="155"/>
        <item x="627"/>
        <item x="606"/>
        <item x="458"/>
        <item x="500"/>
        <item x="453"/>
        <item x="672"/>
        <item x="39"/>
        <item x="924"/>
        <item x="411"/>
        <item x="372"/>
        <item x="524"/>
        <item x="818"/>
        <item x="123"/>
        <item x="813"/>
        <item x="579"/>
        <item x="225"/>
        <item x="501"/>
        <item x="188"/>
        <item x="741"/>
        <item x="200"/>
        <item x="338"/>
        <item x="246"/>
        <item x="70"/>
        <item x="263"/>
        <item x="44"/>
        <item x="479"/>
        <item x="607"/>
        <item x="162"/>
        <item x="480"/>
        <item x="267"/>
        <item x="418"/>
        <item x="716"/>
        <item x="835"/>
        <item x="614"/>
        <item x="849"/>
        <item x="844"/>
        <item x="468"/>
        <item x="235"/>
        <item x="283"/>
        <item x="482"/>
        <item x="665"/>
        <item x="214"/>
        <item x="781"/>
        <item x="626"/>
        <item x="690"/>
        <item x="379"/>
        <item x="662"/>
        <item x="591"/>
        <item x="231"/>
        <item x="670"/>
        <item x="698"/>
        <item x="320"/>
        <item x="810"/>
        <item x="88"/>
        <item x="768"/>
        <item x="183"/>
        <item x="628"/>
        <item x="172"/>
        <item x="97"/>
        <item x="721"/>
        <item x="644"/>
        <item x="551"/>
        <item x="655"/>
        <item x="884"/>
        <item x="505"/>
        <item x="850"/>
        <item x="791"/>
        <item x="782"/>
        <item x="685"/>
        <item x="880"/>
        <item x="712"/>
        <item x="894"/>
        <item x="275"/>
        <item x="9"/>
        <item x="859"/>
        <item x="702"/>
        <item x="52"/>
        <item x="2"/>
        <item x="695"/>
        <item x="954"/>
        <item x="520"/>
        <item x="593"/>
        <item x="1"/>
        <item x="900"/>
        <item x="749"/>
        <item x="683"/>
        <item x="942"/>
        <item x="905"/>
        <item x="834"/>
        <item x="864"/>
        <item x="926"/>
        <item x="12"/>
        <item x="916"/>
        <item x="438"/>
        <item x="46"/>
        <item x="10"/>
        <item x="962"/>
        <item x="820"/>
        <item x="234"/>
        <item x="757"/>
        <item x="136"/>
        <item x="42"/>
        <item x="101"/>
        <item x="394"/>
        <item x="454"/>
        <item x="20"/>
        <item x="321"/>
        <item x="943"/>
        <item x="506"/>
        <item x="122"/>
        <item x="91"/>
        <item x="115"/>
        <item x="424"/>
        <item x="435"/>
        <item x="703"/>
        <item x="879"/>
        <item x="416"/>
        <item x="113"/>
        <item x="322"/>
        <item x="866"/>
        <item x="578"/>
        <item x="899"/>
        <item x="969"/>
        <item x="426"/>
        <item x="575"/>
        <item x="230"/>
        <item x="158"/>
        <item x="132"/>
        <item x="792"/>
        <item x="340"/>
        <item x="140"/>
        <item x="228"/>
        <item x="369"/>
        <item x="938"/>
        <item x="79"/>
        <item x="324"/>
        <item x="353"/>
        <item x="430"/>
        <item x="90"/>
        <item x="197"/>
        <item x="508"/>
        <item x="642"/>
        <item x="470"/>
        <item x="940"/>
        <item t="default"/>
      </items>
    </pivotField>
    <pivotField showAll="0"/>
    <pivotField showAll="0">
      <items count="1001">
        <item x="857"/>
        <item x="251"/>
        <item x="197"/>
        <item x="110"/>
        <item x="677"/>
        <item x="434"/>
        <item x="527"/>
        <item x="93"/>
        <item x="499"/>
        <item x="174"/>
        <item x="262"/>
        <item x="494"/>
        <item x="186"/>
        <item x="453"/>
        <item x="70"/>
        <item x="381"/>
        <item x="599"/>
        <item x="683"/>
        <item x="892"/>
        <item x="237"/>
        <item x="231"/>
        <item x="851"/>
        <item x="975"/>
        <item x="326"/>
        <item x="21"/>
        <item x="545"/>
        <item x="484"/>
        <item x="623"/>
        <item x="290"/>
        <item x="125"/>
        <item x="412"/>
        <item x="630"/>
        <item x="455"/>
        <item x="393"/>
        <item x="835"/>
        <item x="702"/>
        <item x="832"/>
        <item x="745"/>
        <item x="265"/>
        <item x="538"/>
        <item x="775"/>
        <item x="790"/>
        <item x="337"/>
        <item x="591"/>
        <item x="247"/>
        <item x="305"/>
        <item x="117"/>
        <item x="473"/>
        <item x="180"/>
        <item x="292"/>
        <item x="948"/>
        <item x="2"/>
        <item x="223"/>
        <item x="700"/>
        <item x="611"/>
        <item x="653"/>
        <item x="541"/>
        <item x="307"/>
        <item x="361"/>
        <item x="151"/>
        <item x="750"/>
        <item x="884"/>
        <item x="318"/>
        <item x="323"/>
        <item x="157"/>
        <item x="979"/>
        <item x="322"/>
        <item x="858"/>
        <item x="162"/>
        <item x="676"/>
        <item x="535"/>
        <item x="29"/>
        <item x="459"/>
        <item x="203"/>
        <item x="124"/>
        <item x="218"/>
        <item x="373"/>
        <item x="349"/>
        <item x="59"/>
        <item x="244"/>
        <item x="141"/>
        <item x="716"/>
        <item x="713"/>
        <item x="450"/>
        <item x="939"/>
        <item x="406"/>
        <item x="11"/>
        <item x="593"/>
        <item x="53"/>
        <item x="682"/>
        <item x="471"/>
        <item x="425"/>
        <item x="806"/>
        <item x="746"/>
        <item x="554"/>
        <item x="547"/>
        <item x="245"/>
        <item x="228"/>
        <item x="216"/>
        <item x="351"/>
        <item x="866"/>
        <item x="811"/>
        <item x="795"/>
        <item x="147"/>
        <item x="796"/>
        <item x="482"/>
        <item x="474"/>
        <item x="678"/>
        <item x="396"/>
        <item x="865"/>
        <item x="183"/>
        <item x="34"/>
        <item x="23"/>
        <item x="9"/>
        <item x="370"/>
        <item x="303"/>
        <item x="703"/>
        <item x="506"/>
        <item x="798"/>
        <item x="520"/>
        <item x="119"/>
        <item x="24"/>
        <item x="17"/>
        <item x="101"/>
        <item x="96"/>
        <item x="241"/>
        <item x="160"/>
        <item x="284"/>
        <item x="26"/>
        <item x="10"/>
        <item x="641"/>
        <item x="961"/>
        <item x="173"/>
        <item x="805"/>
        <item x="522"/>
        <item x="687"/>
        <item x="415"/>
        <item x="927"/>
        <item x="466"/>
        <item x="655"/>
        <item x="568"/>
        <item x="259"/>
        <item x="325"/>
        <item x="891"/>
        <item x="90"/>
        <item x="421"/>
        <item x="940"/>
        <item x="270"/>
        <item x="341"/>
        <item x="331"/>
        <item x="477"/>
        <item x="819"/>
        <item x="640"/>
        <item x="860"/>
        <item x="695"/>
        <item x="814"/>
        <item x="288"/>
        <item x="759"/>
        <item x="607"/>
        <item x="824"/>
        <item x="266"/>
        <item x="598"/>
        <item x="267"/>
        <item x="771"/>
        <item x="534"/>
        <item x="365"/>
        <item x="50"/>
        <item x="810"/>
        <item x="143"/>
        <item x="502"/>
        <item x="384"/>
        <item x="451"/>
        <item x="458"/>
        <item x="89"/>
        <item x="130"/>
        <item x="457"/>
        <item x="675"/>
        <item x="895"/>
        <item x="324"/>
        <item x="890"/>
        <item x="827"/>
        <item x="914"/>
        <item x="878"/>
        <item x="907"/>
        <item x="390"/>
        <item x="423"/>
        <item x="78"/>
        <item x="438"/>
        <item x="809"/>
        <item x="445"/>
        <item x="717"/>
        <item x="778"/>
        <item x="519"/>
        <item x="637"/>
        <item x="705"/>
        <item x="938"/>
        <item x="383"/>
        <item x="803"/>
        <item x="212"/>
        <item x="30"/>
        <item x="699"/>
        <item x="661"/>
        <item x="142"/>
        <item x="714"/>
        <item x="882"/>
        <item x="311"/>
        <item x="294"/>
        <item x="359"/>
        <item x="582"/>
        <item x="192"/>
        <item x="114"/>
        <item x="897"/>
        <item x="398"/>
        <item x="923"/>
        <item x="967"/>
        <item x="379"/>
        <item x="389"/>
        <item x="172"/>
        <item x="743"/>
        <item x="550"/>
        <item x="540"/>
        <item x="794"/>
        <item x="610"/>
        <item x="627"/>
        <item x="319"/>
        <item x="416"/>
        <item x="802"/>
        <item x="222"/>
        <item x="104"/>
        <item x="106"/>
        <item x="797"/>
        <item x="454"/>
        <item x="132"/>
        <item x="872"/>
        <item x="983"/>
        <item x="274"/>
        <item x="723"/>
        <item x="957"/>
        <item x="572"/>
        <item x="230"/>
        <item x="486"/>
        <item x="472"/>
        <item x="65"/>
        <item x="785"/>
        <item x="950"/>
        <item x="638"/>
        <item x="767"/>
        <item x="701"/>
        <item x="126"/>
        <item x="161"/>
        <item x="561"/>
        <item x="786"/>
        <item x="414"/>
        <item x="122"/>
        <item x="997"/>
        <item x="956"/>
        <item x="711"/>
        <item x="33"/>
        <item x="665"/>
        <item x="779"/>
        <item x="12"/>
        <item x="440"/>
        <item x="619"/>
        <item x="360"/>
        <item x="926"/>
        <item x="404"/>
        <item x="67"/>
        <item x="253"/>
        <item x="310"/>
        <item x="551"/>
        <item x="913"/>
        <item x="729"/>
        <item x="660"/>
        <item x="613"/>
        <item x="533"/>
        <item x="46"/>
        <item x="993"/>
        <item x="578"/>
        <item x="718"/>
        <item x="366"/>
        <item x="922"/>
        <item x="651"/>
        <item x="252"/>
        <item x="523"/>
        <item x="842"/>
        <item x="464"/>
        <item x="812"/>
        <item x="490"/>
        <item x="768"/>
        <item x="255"/>
        <item x="285"/>
        <item x="727"/>
        <item x="446"/>
        <item x="679"/>
        <item x="85"/>
        <item x="503"/>
        <item x="496"/>
        <item x="275"/>
        <item x="371"/>
        <item x="436"/>
        <item x="877"/>
        <item x="131"/>
        <item x="725"/>
        <item x="896"/>
        <item x="647"/>
        <item x="614"/>
        <item x="332"/>
        <item x="575"/>
        <item x="301"/>
        <item x="515"/>
        <item x="51"/>
        <item x="887"/>
        <item x="512"/>
        <item x="563"/>
        <item x="66"/>
        <item x="312"/>
        <item x="227"/>
        <item x="968"/>
        <item x="420"/>
        <item x="622"/>
        <item x="920"/>
        <item x="601"/>
        <item x="129"/>
        <item x="86"/>
        <item x="424"/>
        <item x="152"/>
        <item x="168"/>
        <item x="304"/>
        <item x="140"/>
        <item x="514"/>
        <item x="452"/>
        <item x="698"/>
        <item x="108"/>
        <item x="460"/>
        <item x="635"/>
        <item x="577"/>
        <item x="649"/>
        <item x="736"/>
        <item x="194"/>
        <item x="134"/>
        <item x="722"/>
        <item x="821"/>
        <item x="376"/>
        <item x="25"/>
        <item x="276"/>
        <item x="776"/>
        <item x="429"/>
        <item x="881"/>
        <item x="447"/>
        <item x="516"/>
        <item x="296"/>
        <item x="388"/>
        <item x="838"/>
        <item x="475"/>
        <item x="411"/>
        <item x="233"/>
        <item x="562"/>
        <item x="330"/>
        <item x="906"/>
        <item x="663"/>
        <item x="43"/>
        <item x="730"/>
        <item x="590"/>
        <item x="28"/>
        <item x="836"/>
        <item x="402"/>
        <item x="333"/>
        <item x="721"/>
        <item x="969"/>
        <item x="833"/>
        <item x="710"/>
        <item x="103"/>
        <item x="571"/>
        <item x="403"/>
        <item x="95"/>
        <item x="735"/>
        <item x="530"/>
        <item x="3"/>
        <item x="492"/>
        <item x="859"/>
        <item x="210"/>
        <item x="840"/>
        <item x="931"/>
        <item x="433"/>
        <item x="293"/>
        <item x="991"/>
        <item x="158"/>
        <item x="932"/>
        <item x="658"/>
        <item x="69"/>
        <item x="807"/>
        <item x="470"/>
        <item x="972"/>
        <item x="708"/>
        <item x="206"/>
        <item x="633"/>
        <item x="268"/>
        <item x="112"/>
        <item x="170"/>
        <item x="297"/>
        <item x="652"/>
        <item x="109"/>
        <item x="829"/>
        <item x="826"/>
        <item x="774"/>
        <item x="544"/>
        <item x="83"/>
        <item x="54"/>
        <item x="949"/>
        <item x="899"/>
        <item x="8"/>
        <item x="925"/>
        <item x="71"/>
        <item x="880"/>
        <item x="646"/>
        <item x="286"/>
        <item x="924"/>
        <item x="501"/>
        <item x="618"/>
        <item x="145"/>
        <item x="521"/>
        <item x="150"/>
        <item x="900"/>
        <item x="982"/>
        <item x="793"/>
        <item x="120"/>
        <item x="525"/>
        <item x="209"/>
        <item x="818"/>
        <item x="740"/>
        <item x="964"/>
        <item x="73"/>
        <item x="539"/>
        <item x="943"/>
        <item x="272"/>
        <item x="531"/>
        <item x="264"/>
        <item x="576"/>
        <item x="314"/>
        <item x="483"/>
        <item x="61"/>
        <item x="608"/>
        <item x="962"/>
        <item x="336"/>
        <item x="742"/>
        <item x="919"/>
        <item x="846"/>
        <item x="903"/>
        <item x="204"/>
        <item x="60"/>
        <item x="693"/>
        <item x="179"/>
        <item x="335"/>
        <item x="909"/>
        <item x="387"/>
        <item x="669"/>
        <item x="670"/>
        <item x="240"/>
        <item x="491"/>
        <item x="799"/>
        <item x="127"/>
        <item x="201"/>
        <item x="845"/>
        <item x="163"/>
        <item x="681"/>
        <item x="636"/>
        <item x="372"/>
        <item x="672"/>
        <item x="226"/>
        <item x="224"/>
        <item x="692"/>
        <item x="902"/>
        <item x="822"/>
        <item x="232"/>
        <item x="13"/>
        <item x="526"/>
        <item x="511"/>
        <item x="234"/>
        <item x="187"/>
        <item x="947"/>
        <item x="626"/>
        <item x="645"/>
        <item x="62"/>
        <item x="760"/>
        <item x="664"/>
        <item x="761"/>
        <item x="430"/>
        <item x="532"/>
        <item x="852"/>
        <item x="631"/>
        <item x="604"/>
        <item x="564"/>
        <item x="989"/>
        <item x="875"/>
        <item x="313"/>
        <item x="111"/>
        <item x="734"/>
        <item x="344"/>
        <item x="102"/>
        <item x="469"/>
        <item x="449"/>
        <item x="176"/>
        <item x="309"/>
        <item x="98"/>
        <item x="256"/>
        <item x="485"/>
        <item x="58"/>
        <item x="397"/>
        <item x="830"/>
        <item x="36"/>
        <item x="166"/>
        <item x="32"/>
        <item x="41"/>
        <item x="254"/>
        <item x="427"/>
        <item x="374"/>
        <item x="988"/>
        <item x="167"/>
        <item x="410"/>
        <item x="182"/>
        <item x="985"/>
        <item x="864"/>
        <item x="75"/>
        <item x="789"/>
        <item x="91"/>
        <item x="139"/>
        <item x="893"/>
        <item x="289"/>
        <item x="205"/>
        <item x="585"/>
        <item x="367"/>
        <item x="40"/>
        <item x="350"/>
        <item x="815"/>
        <item x="596"/>
        <item x="146"/>
        <item x="629"/>
        <item x="437"/>
        <item x="813"/>
        <item x="271"/>
        <item x="257"/>
        <item x="588"/>
        <item x="380"/>
        <item x="946"/>
        <item x="628"/>
        <item x="929"/>
        <item x="586"/>
        <item x="431"/>
        <item x="749"/>
        <item x="64"/>
        <item x="765"/>
        <item x="831"/>
        <item x="867"/>
        <item x="7"/>
        <item x="16"/>
        <item x="685"/>
        <item x="118"/>
        <item x="214"/>
        <item x="395"/>
        <item x="986"/>
        <item x="918"/>
        <item x="930"/>
        <item x="980"/>
        <item x="128"/>
        <item x="144"/>
        <item x="517"/>
        <item x="461"/>
        <item x="364"/>
        <item x="597"/>
        <item x="820"/>
        <item x="148"/>
        <item x="277"/>
        <item x="738"/>
        <item x="76"/>
        <item x="195"/>
        <item x="207"/>
        <item x="639"/>
        <item x="346"/>
        <item x="428"/>
        <item x="487"/>
        <item x="650"/>
        <item x="648"/>
        <item x="594"/>
        <item x="456"/>
        <item x="260"/>
        <item x="668"/>
        <item x="35"/>
        <item x="356"/>
        <item x="55"/>
        <item x="261"/>
        <item x="751"/>
        <item x="278"/>
        <item x="933"/>
        <item x="518"/>
        <item x="505"/>
        <item x="328"/>
        <item x="556"/>
        <item x="911"/>
        <item x="443"/>
        <item x="20"/>
        <item x="269"/>
        <item x="138"/>
        <item x="408"/>
        <item x="489"/>
        <item x="47"/>
        <item x="63"/>
        <item x="382"/>
        <item x="1"/>
        <item x="348"/>
        <item x="500"/>
        <item x="507"/>
        <item x="763"/>
        <item x="159"/>
        <item x="573"/>
        <item x="941"/>
        <item x="910"/>
        <item x="137"/>
        <item x="944"/>
        <item x="579"/>
        <item x="958"/>
        <item x="49"/>
        <item x="536"/>
        <item x="385"/>
        <item x="82"/>
        <item x="298"/>
        <item x="409"/>
        <item x="476"/>
        <item x="606"/>
        <item x="620"/>
        <item x="386"/>
        <item x="871"/>
        <item x="691"/>
        <item x="263"/>
        <item x="546"/>
        <item x="345"/>
        <item x="435"/>
        <item x="56"/>
        <item x="133"/>
        <item x="48"/>
        <item x="528"/>
        <item x="317"/>
        <item x="992"/>
        <item x="439"/>
        <item x="479"/>
        <item x="656"/>
        <item x="912"/>
        <item x="885"/>
        <item x="680"/>
        <item x="156"/>
        <item x="529"/>
        <item x="413"/>
        <item x="72"/>
        <item x="19"/>
        <item x="673"/>
        <item x="193"/>
        <item x="441"/>
        <item x="327"/>
        <item x="537"/>
        <item x="963"/>
        <item x="418"/>
        <item x="889"/>
        <item x="737"/>
        <item x="189"/>
        <item x="621"/>
        <item x="952"/>
        <item x="246"/>
        <item x="347"/>
        <item x="5"/>
        <item x="674"/>
        <item x="340"/>
        <item x="358"/>
        <item x="548"/>
        <item x="883"/>
        <item x="990"/>
        <item x="615"/>
        <item x="250"/>
        <item x="587"/>
        <item x="955"/>
        <item x="908"/>
        <item x="839"/>
        <item x="480"/>
        <item x="248"/>
        <item x="984"/>
        <item x="462"/>
        <item x="14"/>
        <item x="603"/>
        <item x="280"/>
        <item x="463"/>
        <item x="823"/>
        <item x="850"/>
        <item x="184"/>
        <item x="321"/>
        <item x="856"/>
        <item x="788"/>
        <item x="405"/>
        <item x="690"/>
        <item x="426"/>
        <item x="792"/>
        <item x="712"/>
        <item x="369"/>
        <item x="671"/>
        <item x="198"/>
        <item x="123"/>
        <item x="965"/>
        <item x="715"/>
        <item x="754"/>
        <item x="936"/>
        <item x="513"/>
        <item x="726"/>
        <item x="894"/>
        <item x="524"/>
        <item x="196"/>
        <item x="981"/>
        <item x="279"/>
        <item x="937"/>
        <item x="566"/>
        <item x="329"/>
        <item x="773"/>
        <item x="510"/>
        <item x="764"/>
        <item x="400"/>
        <item x="291"/>
        <item x="973"/>
        <item x="928"/>
        <item x="339"/>
        <item x="80"/>
        <item x="706"/>
        <item x="287"/>
        <item x="589"/>
        <item x="756"/>
        <item x="558"/>
        <item x="917"/>
        <item x="772"/>
        <item x="849"/>
        <item x="869"/>
        <item x="362"/>
        <item x="45"/>
        <item x="169"/>
        <item x="694"/>
        <item x="741"/>
        <item x="731"/>
        <item x="493"/>
        <item x="219"/>
        <item x="898"/>
        <item x="225"/>
        <item x="282"/>
        <item x="970"/>
        <item x="581"/>
        <item x="783"/>
        <item x="92"/>
        <item x="657"/>
        <item x="769"/>
        <item x="442"/>
        <item x="136"/>
        <item x="557"/>
        <item x="467"/>
        <item x="848"/>
        <item x="643"/>
        <item x="77"/>
        <item x="704"/>
        <item x="879"/>
        <item x="770"/>
        <item x="828"/>
        <item x="316"/>
        <item x="509"/>
        <item x="724"/>
        <item x="659"/>
        <item x="971"/>
        <item x="728"/>
        <item x="959"/>
        <item x="874"/>
        <item x="996"/>
        <item x="686"/>
        <item x="81"/>
        <item x="199"/>
        <item x="116"/>
        <item x="87"/>
        <item x="605"/>
        <item x="342"/>
        <item x="299"/>
        <item x="987"/>
        <item x="377"/>
        <item x="816"/>
        <item x="916"/>
        <item x="378"/>
        <item x="616"/>
        <item x="165"/>
        <item x="739"/>
        <item x="392"/>
        <item x="105"/>
        <item x="758"/>
        <item x="97"/>
        <item x="18"/>
        <item x="52"/>
        <item x="666"/>
        <item x="696"/>
        <item x="868"/>
        <item x="934"/>
        <item x="302"/>
        <item x="732"/>
        <item x="634"/>
        <item x="88"/>
        <item x="847"/>
        <item x="42"/>
        <item x="945"/>
        <item x="787"/>
        <item x="343"/>
        <item x="688"/>
        <item x="592"/>
        <item x="747"/>
        <item x="855"/>
        <item x="0"/>
        <item x="837"/>
        <item x="854"/>
        <item x="960"/>
        <item x="31"/>
        <item x="213"/>
        <item x="609"/>
        <item x="177"/>
        <item x="171"/>
        <item x="15"/>
        <item x="888"/>
        <item x="689"/>
        <item x="468"/>
        <item x="185"/>
        <item x="200"/>
        <item x="220"/>
        <item x="215"/>
        <item x="584"/>
        <item x="977"/>
        <item x="719"/>
        <item x="994"/>
        <item x="375"/>
        <item x="249"/>
        <item x="762"/>
        <item x="354"/>
        <item x="817"/>
        <item x="565"/>
        <item x="654"/>
        <item x="873"/>
        <item x="844"/>
        <item x="720"/>
        <item x="155"/>
        <item x="644"/>
        <item x="782"/>
        <item x="915"/>
        <item x="954"/>
        <item x="755"/>
        <item x="188"/>
        <item x="748"/>
        <item x="801"/>
        <item x="37"/>
        <item x="684"/>
        <item x="553"/>
        <item x="481"/>
        <item x="444"/>
        <item x="600"/>
        <item x="320"/>
        <item x="238"/>
        <item x="190"/>
        <item x="498"/>
        <item x="862"/>
        <item x="107"/>
        <item x="781"/>
        <item x="57"/>
        <item x="300"/>
        <item x="27"/>
        <item x="543"/>
        <item x="202"/>
        <item x="602"/>
        <item x="595"/>
        <item x="667"/>
        <item x="560"/>
        <item x="94"/>
        <item x="175"/>
        <item x="258"/>
        <item x="217"/>
        <item x="569"/>
        <item x="153"/>
        <item x="391"/>
        <item x="697"/>
        <item x="707"/>
        <item x="407"/>
        <item x="495"/>
        <item x="236"/>
        <item x="766"/>
        <item x="709"/>
        <item x="904"/>
        <item x="39"/>
        <item x="552"/>
        <item x="154"/>
        <item x="478"/>
        <item x="113"/>
        <item x="612"/>
        <item x="542"/>
        <item x="100"/>
        <item x="79"/>
        <item x="38"/>
        <item x="804"/>
        <item x="825"/>
        <item x="465"/>
        <item x="135"/>
        <item x="834"/>
        <item x="508"/>
        <item x="208"/>
        <item x="995"/>
        <item x="905"/>
        <item x="368"/>
        <item x="504"/>
        <item x="935"/>
        <item x="953"/>
        <item x="800"/>
        <item x="149"/>
        <item x="497"/>
        <item x="334"/>
        <item x="353"/>
        <item x="419"/>
        <item x="757"/>
        <item x="121"/>
        <item x="574"/>
        <item x="886"/>
        <item x="752"/>
        <item x="876"/>
        <item x="44"/>
        <item x="281"/>
        <item x="401"/>
        <item x="191"/>
        <item x="662"/>
        <item x="808"/>
        <item x="74"/>
        <item x="744"/>
        <item x="784"/>
        <item x="363"/>
        <item x="178"/>
        <item x="352"/>
        <item x="357"/>
        <item x="355"/>
        <item x="181"/>
        <item x="976"/>
        <item x="580"/>
        <item x="583"/>
        <item x="283"/>
        <item x="273"/>
        <item x="921"/>
        <item x="555"/>
        <item x="753"/>
        <item x="617"/>
        <item x="432"/>
        <item x="306"/>
        <item x="549"/>
        <item x="338"/>
        <item x="295"/>
        <item x="422"/>
        <item x="998"/>
        <item x="870"/>
        <item x="229"/>
        <item x="853"/>
        <item x="448"/>
        <item x="624"/>
        <item x="417"/>
        <item x="632"/>
        <item x="567"/>
        <item x="901"/>
        <item x="625"/>
        <item x="164"/>
        <item x="399"/>
        <item x="791"/>
        <item x="559"/>
        <item x="841"/>
        <item x="68"/>
        <item x="861"/>
        <item x="22"/>
        <item x="966"/>
        <item x="235"/>
        <item x="642"/>
        <item x="777"/>
        <item x="978"/>
        <item x="211"/>
        <item x="974"/>
        <item x="733"/>
        <item x="4"/>
        <item x="942"/>
        <item x="99"/>
        <item x="488"/>
        <item x="221"/>
        <item x="6"/>
        <item x="570"/>
        <item x="951"/>
        <item x="84"/>
        <item x="243"/>
        <item x="315"/>
        <item x="843"/>
        <item x="242"/>
        <item x="394"/>
        <item x="115"/>
        <item x="863"/>
        <item x="239"/>
        <item x="308"/>
        <item x="780"/>
        <item x="999"/>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9">
        <item x="0"/>
        <item x="1"/>
        <item x="2"/>
        <item x="3"/>
        <item x="4"/>
        <item x="5"/>
        <item x="6"/>
        <item x="7"/>
        <item t="default"/>
      </items>
    </pivotField>
  </pivotFields>
  <rowFields count="1">
    <field x="5"/>
  </rowFields>
  <rowItems count="8">
    <i>
      <x/>
    </i>
    <i>
      <x v="1"/>
    </i>
    <i>
      <x v="2"/>
    </i>
    <i>
      <x v="3"/>
    </i>
    <i>
      <x v="4"/>
    </i>
    <i>
      <x v="5"/>
    </i>
    <i>
      <x v="6"/>
    </i>
    <i t="grand">
      <x/>
    </i>
  </rowItems>
  <colFields count="1">
    <field x="19"/>
  </colFields>
  <colItems count="8">
    <i>
      <x/>
    </i>
    <i>
      <x v="1"/>
    </i>
    <i>
      <x v="2"/>
    </i>
    <i>
      <x v="3"/>
    </i>
    <i>
      <x v="4"/>
    </i>
    <i>
      <x v="5"/>
    </i>
    <i>
      <x v="6"/>
    </i>
    <i t="grand">
      <x/>
    </i>
  </colItems>
  <dataFields count="1">
    <dataField name="Count of Medical Condition" fld="5" subtotal="count" baseField="5" baseItem="0"/>
  </dataFields>
  <chartFormats count="7">
    <chartFormat chart="1" format="14" series="1">
      <pivotArea type="data" outline="0" fieldPosition="0">
        <references count="1">
          <reference field="19" count="1" selected="0">
            <x v="0"/>
          </reference>
        </references>
      </pivotArea>
    </chartFormat>
    <chartFormat chart="1" format="15" series="1">
      <pivotArea type="data" outline="0" fieldPosition="0">
        <references count="1">
          <reference field="19" count="1" selected="0">
            <x v="1"/>
          </reference>
        </references>
      </pivotArea>
    </chartFormat>
    <chartFormat chart="1" format="16" series="1">
      <pivotArea type="data" outline="0" fieldPosition="0">
        <references count="1">
          <reference field="19" count="1" selected="0">
            <x v="2"/>
          </reference>
        </references>
      </pivotArea>
    </chartFormat>
    <chartFormat chart="1" format="17" series="1">
      <pivotArea type="data" outline="0" fieldPosition="0">
        <references count="1">
          <reference field="19" count="1" selected="0">
            <x v="3"/>
          </reference>
        </references>
      </pivotArea>
    </chartFormat>
    <chartFormat chart="1" format="18" series="1">
      <pivotArea type="data" outline="0" fieldPosition="0">
        <references count="1">
          <reference field="19" count="1" selected="0">
            <x v="4"/>
          </reference>
        </references>
      </pivotArea>
    </chartFormat>
    <chartFormat chart="1" format="19" series="1">
      <pivotArea type="data" outline="0" fieldPosition="0">
        <references count="1">
          <reference field="19" count="1" selected="0">
            <x v="5"/>
          </reference>
        </references>
      </pivotArea>
    </chartFormat>
    <chartFormat chart="1" format="20" series="1">
      <pivotArea type="data" outline="0" fieldPosition="0">
        <references count="1">
          <reference field="1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A31D426F-FCDC-4717-9165-5FDB64BF290A}" sourceName="Age Category">
  <pivotTables>
    <pivotTable tabId="2" name="PivotTable1"/>
  </pivotTables>
  <data>
    <tabular pivotCacheId="293035643">
      <items count="7">
        <i x="1" s="1"/>
        <i x="3" s="1"/>
        <i x="5" s="1"/>
        <i x="2" s="1"/>
        <i x="4"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D359C87-BBD3-4B00-B4C6-736650737228}" sourceName="Gender">
  <pivotTables>
    <pivotTable tabId="2" name="PivotTable1"/>
  </pivotTables>
  <data>
    <tabular pivotCacheId="29303564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1" xr10:uid="{266A563E-35B1-438B-89AB-60C7794B6A66}" sourceName="Medical Condition">
  <pivotTables>
    <pivotTable tabId="2" name="PivotTable1"/>
    <pivotTable tabId="2" name="PivotTable2"/>
    <pivotTable tabId="5" name="PivotTable2"/>
    <pivotTable tabId="5" name="PivotTable4"/>
  </pivotTables>
  <data>
    <tabular pivotCacheId="293035643">
      <items count="6">
        <i x="0"/>
        <i x="1"/>
        <i x="2"/>
        <i x="3" s="1"/>
        <i x="4"/>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659F4C7F-057C-4193-A4C6-A159B4197D5A}" sourceName="Admission Type">
  <pivotTables>
    <pivotTable tabId="2" name="PivotTable1"/>
  </pivotTables>
  <data>
    <tabular pivotCacheId="2930356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xr10:uid="{FD5FE8C6-A3F2-42BC-860A-A44E1E36665B}" cache="Slicer_Age_Category" caption="Age Category" columnCount="2" style="SlicerStyleDark5 2" rowHeight="457200"/>
  <slicer name="Gender" xr10:uid="{DF406442-F344-4BB9-88B0-916D3B8684A7}" cache="Slicer_Gender" caption="Gender" columnCount="2" style="SlicerStyleDark2 2" rowHeight="731520"/>
  <slicer name="Medical Condition 1" xr10:uid="{FB7D85CE-FC87-42DC-BD1D-BAB1FBF080C7}" cache="Slicer_Medical_Condition1" caption="Medical Condition" columnCount="2" style="SlicerStyleDark3 2" rowHeight="548640"/>
  <slicer name="Admission Type" xr10:uid="{7D46E219-DEAF-488E-9ACE-8346AB6554E0}" cache="Slicer_Admission_Type" caption="Admission Type" columnCount="2" style="SlicerStyleDark4 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B0C036-2CB3-46CE-BAE2-D27A174E7F13}" name="Table1" displayName="Table1" ref="U13:U20" totalsRowShown="0" headerRowDxfId="4" dataDxfId="3" tableBorderDxfId="2">
  <autoFilter ref="U13:U20" xr:uid="{52B0C036-2CB3-46CE-BAE2-D27A174E7F13}"/>
  <tableColumns count="1">
    <tableColumn id="1" xr3:uid="{E9F92588-9D8D-4F48-A280-DCCD797546FA}" name="AgeGroup"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B110BA-6349-4CA0-8D19-4286F382AA3D}" name="Table3" displayName="Table3" ref="B3:I9" totalsRowShown="0">
  <autoFilter ref="B3:I9" xr:uid="{6DB110BA-6349-4CA0-8D19-4286F382AA3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D087C86-FF47-492E-910F-43A5FA770ADD}" name="AgeGroup" dataDxfId="0"/>
    <tableColumn id="2" xr3:uid="{222CB185-DCF1-4E36-8348-42274F3882D2}" name="18-25"/>
    <tableColumn id="3" xr3:uid="{A80A9D28-A0CF-4F49-962C-8A678B1A8CFA}" name="26-35"/>
    <tableColumn id="4" xr3:uid="{C5B00EE1-8CB5-4F36-B022-3E70AEEB55CE}" name="36-45"/>
    <tableColumn id="5" xr3:uid="{D08F457F-B607-4284-A838-2E237DDBDC5E}" name="46-55"/>
    <tableColumn id="6" xr3:uid="{8A57EFBB-B2AA-41C5-915C-DC5AAB74F3E1}" name="56-65"/>
    <tableColumn id="7" xr3:uid="{6BD907FD-96E5-4BA8-BDDE-0973F4D7FB44}" name="66-75"/>
    <tableColumn id="8" xr3:uid="{E902BF11-A5D1-4D88-9656-C3F69D7F3DDB}" name="76-8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001"/>
  <sheetViews>
    <sheetView topLeftCell="G1" workbookViewId="0">
      <selection activeCell="U26" sqref="U26"/>
    </sheetView>
  </sheetViews>
  <sheetFormatPr defaultColWidth="8.81640625" defaultRowHeight="14.5" x14ac:dyDescent="0.35"/>
  <cols>
    <col min="1" max="1" width="25.1796875" customWidth="1"/>
    <col min="2" max="2" width="12.81640625" customWidth="1"/>
    <col min="3" max="3" width="12.453125" customWidth="1"/>
    <col min="4" max="4" width="11" customWidth="1"/>
    <col min="5" max="5" width="13" customWidth="1"/>
    <col min="6" max="6" width="12.36328125" customWidth="1"/>
    <col min="7" max="7" width="16.81640625" customWidth="1"/>
    <col min="8" max="8" width="11.453125" customWidth="1"/>
    <col min="9" max="9" width="14.36328125" customWidth="1"/>
    <col min="10" max="10" width="15.81640625" customWidth="1"/>
    <col min="11" max="12" width="11.453125" customWidth="1"/>
    <col min="13" max="13" width="12.6328125" customWidth="1"/>
    <col min="14" max="14" width="12.81640625" customWidth="1"/>
    <col min="15" max="15" width="14.81640625" customWidth="1"/>
    <col min="16" max="16" width="12.36328125" customWidth="1"/>
    <col min="17" max="17" width="12.1796875" customWidth="1"/>
    <col min="20" max="20" width="17.6328125" customWidth="1"/>
    <col min="21" max="21" width="10.81640625" customWidth="1"/>
    <col min="22" max="22" width="17.453125" customWidth="1"/>
    <col min="23" max="23" width="15.36328125" customWidth="1"/>
    <col min="24" max="24" width="12.453125" bestFit="1" customWidth="1"/>
    <col min="25" max="25" width="12.81640625" customWidth="1"/>
    <col min="26" max="26" width="17.36328125" customWidth="1"/>
    <col min="27" max="27" width="9.1796875" customWidth="1"/>
  </cols>
  <sheetData>
    <row r="1" spans="1:29" x14ac:dyDescent="0.35">
      <c r="A1" t="s">
        <v>0</v>
      </c>
      <c r="B1" t="s">
        <v>2998</v>
      </c>
      <c r="C1" t="s">
        <v>1</v>
      </c>
      <c r="D1" t="s">
        <v>2</v>
      </c>
      <c r="E1" t="s">
        <v>3</v>
      </c>
      <c r="F1" t="s">
        <v>4</v>
      </c>
      <c r="G1" t="s">
        <v>5</v>
      </c>
      <c r="H1" t="s">
        <v>6</v>
      </c>
      <c r="I1" t="s">
        <v>7</v>
      </c>
      <c r="J1" t="s">
        <v>8</v>
      </c>
      <c r="K1" t="s">
        <v>9</v>
      </c>
      <c r="L1" t="s">
        <v>10</v>
      </c>
      <c r="M1" t="s">
        <v>11</v>
      </c>
      <c r="N1" t="s">
        <v>12</v>
      </c>
      <c r="O1" t="s">
        <v>13</v>
      </c>
      <c r="P1" t="s">
        <v>14</v>
      </c>
      <c r="Q1" t="s">
        <v>2988</v>
      </c>
    </row>
    <row r="2" spans="1:29" x14ac:dyDescent="0.35">
      <c r="A2" t="s">
        <v>2089</v>
      </c>
      <c r="B2" t="str">
        <f>VLOOKUP(C2,$T$3:$U$9,2,TRUE)</f>
        <v>76-85</v>
      </c>
      <c r="C2">
        <v>79</v>
      </c>
      <c r="D2" t="s">
        <v>16</v>
      </c>
      <c r="E2" t="s">
        <v>17</v>
      </c>
      <c r="F2" t="s">
        <v>47</v>
      </c>
      <c r="G2" s="1">
        <v>44283</v>
      </c>
      <c r="H2" t="s">
        <v>2090</v>
      </c>
      <c r="I2" t="s">
        <v>2091</v>
      </c>
      <c r="J2" t="s">
        <v>59</v>
      </c>
      <c r="K2">
        <v>40482.860919821796</v>
      </c>
      <c r="L2">
        <v>173</v>
      </c>
      <c r="M2" t="s">
        <v>22</v>
      </c>
      <c r="N2" s="1">
        <v>44299</v>
      </c>
      <c r="O2" t="s">
        <v>44</v>
      </c>
      <c r="P2" t="s">
        <v>24</v>
      </c>
      <c r="Q2">
        <f>_xlfn.DAYS(N2,G2)</f>
        <v>16</v>
      </c>
      <c r="T2" t="s">
        <v>2989</v>
      </c>
      <c r="U2" t="s">
        <v>2997</v>
      </c>
      <c r="V2" t="s">
        <v>3006</v>
      </c>
      <c r="W2" t="s">
        <v>3007</v>
      </c>
      <c r="X2" t="s">
        <v>4</v>
      </c>
      <c r="Y2" t="s">
        <v>3005</v>
      </c>
      <c r="AC2" t="s">
        <v>2990</v>
      </c>
    </row>
    <row r="3" spans="1:29" x14ac:dyDescent="0.35">
      <c r="A3" t="s">
        <v>1047</v>
      </c>
      <c r="B3" t="str">
        <f t="shared" ref="B3:B66" si="0">VLOOKUP(C3,$T$3:$U$9,2,TRUE)</f>
        <v>18-25</v>
      </c>
      <c r="C3">
        <v>22</v>
      </c>
      <c r="D3" t="s">
        <v>26</v>
      </c>
      <c r="E3" t="s">
        <v>65</v>
      </c>
      <c r="F3" t="s">
        <v>47</v>
      </c>
      <c r="G3" s="1">
        <v>44863</v>
      </c>
      <c r="H3" t="s">
        <v>1048</v>
      </c>
      <c r="I3" t="s">
        <v>1049</v>
      </c>
      <c r="J3" t="s">
        <v>59</v>
      </c>
      <c r="K3">
        <v>30203.557649485701</v>
      </c>
      <c r="L3">
        <v>490</v>
      </c>
      <c r="M3" t="s">
        <v>32</v>
      </c>
      <c r="N3" s="1">
        <v>44885</v>
      </c>
      <c r="O3" t="s">
        <v>87</v>
      </c>
      <c r="P3" t="s">
        <v>24</v>
      </c>
      <c r="Q3" cm="1">
        <f t="array" ref="Q3:Q1000">_xlfn.DAYS(N3:N1000,G3:G1000)</f>
        <v>22</v>
      </c>
      <c r="T3">
        <v>18</v>
      </c>
      <c r="U3" t="s">
        <v>2990</v>
      </c>
      <c r="V3">
        <f t="shared" ref="V3:V9" si="1">COUNTIFS($C$2:$C$1000,"&gt;="&amp;LEFT(U3,FIND("-",U3)-1),$C$2:$C$1000,"&lt;="&amp;RIGHT(U3,FIND("-",U3)-1))</f>
        <v>100</v>
      </c>
      <c r="W3">
        <f t="shared" ref="W3:W8" si="2">COUNTIF($F$2:$F$1000,X3)</f>
        <v>161</v>
      </c>
      <c r="X3" t="s">
        <v>47</v>
      </c>
      <c r="Y3" cm="1">
        <f t="array" ref="Y3:Y9">COUNTIFS($B$2:$B$1000,AC2:AC8,$F$2:$F$1000,X3:X8)</f>
        <v>18</v>
      </c>
      <c r="AC3" t="s">
        <v>2991</v>
      </c>
    </row>
    <row r="4" spans="1:29" x14ac:dyDescent="0.35">
      <c r="A4" t="s">
        <v>616</v>
      </c>
      <c r="B4" t="str">
        <f t="shared" si="0"/>
        <v>46-55</v>
      </c>
      <c r="C4">
        <v>53</v>
      </c>
      <c r="D4" t="s">
        <v>26</v>
      </c>
      <c r="E4" t="s">
        <v>65</v>
      </c>
      <c r="F4" t="s">
        <v>47</v>
      </c>
      <c r="G4" s="1">
        <v>44859</v>
      </c>
      <c r="H4" t="s">
        <v>617</v>
      </c>
      <c r="I4" t="s">
        <v>618</v>
      </c>
      <c r="J4" t="s">
        <v>54</v>
      </c>
      <c r="K4">
        <v>3673.0429478707401</v>
      </c>
      <c r="L4">
        <v>489</v>
      </c>
      <c r="M4" t="s">
        <v>43</v>
      </c>
      <c r="N4" s="1">
        <v>44862</v>
      </c>
      <c r="O4" t="s">
        <v>44</v>
      </c>
      <c r="P4" t="s">
        <v>34</v>
      </c>
      <c r="Q4">
        <v>3</v>
      </c>
      <c r="T4">
        <v>26</v>
      </c>
      <c r="U4" t="s">
        <v>2991</v>
      </c>
      <c r="V4">
        <f t="shared" si="1"/>
        <v>151</v>
      </c>
      <c r="W4">
        <f t="shared" si="2"/>
        <v>174</v>
      </c>
      <c r="X4" t="s">
        <v>28</v>
      </c>
      <c r="Y4">
        <v>33</v>
      </c>
      <c r="AC4" t="s">
        <v>2992</v>
      </c>
    </row>
    <row r="5" spans="1:29" x14ac:dyDescent="0.35">
      <c r="A5" t="s">
        <v>2544</v>
      </c>
      <c r="B5" t="str">
        <f t="shared" si="0"/>
        <v>26-35</v>
      </c>
      <c r="C5">
        <v>26</v>
      </c>
      <c r="D5" t="s">
        <v>26</v>
      </c>
      <c r="E5" t="s">
        <v>92</v>
      </c>
      <c r="F5" t="s">
        <v>47</v>
      </c>
      <c r="G5" s="1">
        <v>43486</v>
      </c>
      <c r="H5" t="s">
        <v>2545</v>
      </c>
      <c r="I5" t="s">
        <v>2546</v>
      </c>
      <c r="J5" t="s">
        <v>21</v>
      </c>
      <c r="K5">
        <v>20230.445508408899</v>
      </c>
      <c r="L5">
        <v>473</v>
      </c>
      <c r="M5" t="s">
        <v>22</v>
      </c>
      <c r="N5" s="1">
        <v>43502</v>
      </c>
      <c r="O5" t="s">
        <v>87</v>
      </c>
      <c r="P5" t="s">
        <v>34</v>
      </c>
      <c r="Q5">
        <v>16</v>
      </c>
      <c r="T5">
        <v>36</v>
      </c>
      <c r="U5" t="s">
        <v>2992</v>
      </c>
      <c r="V5">
        <f t="shared" si="1"/>
        <v>146</v>
      </c>
      <c r="W5">
        <f t="shared" si="2"/>
        <v>171</v>
      </c>
      <c r="X5" t="s">
        <v>72</v>
      </c>
      <c r="Y5">
        <v>29</v>
      </c>
      <c r="AC5" t="s">
        <v>2993</v>
      </c>
    </row>
    <row r="6" spans="1:29" x14ac:dyDescent="0.35">
      <c r="A6" t="s">
        <v>2125</v>
      </c>
      <c r="B6" t="str">
        <f t="shared" si="0"/>
        <v>56-65</v>
      </c>
      <c r="C6">
        <v>62</v>
      </c>
      <c r="D6" t="s">
        <v>26</v>
      </c>
      <c r="E6" t="s">
        <v>17</v>
      </c>
      <c r="F6" t="s">
        <v>47</v>
      </c>
      <c r="G6" s="1">
        <v>45188</v>
      </c>
      <c r="H6" t="s">
        <v>2126</v>
      </c>
      <c r="I6" t="s">
        <v>2127</v>
      </c>
      <c r="J6" t="s">
        <v>63</v>
      </c>
      <c r="K6">
        <v>48960.840964328199</v>
      </c>
      <c r="L6">
        <v>241</v>
      </c>
      <c r="M6" t="s">
        <v>43</v>
      </c>
      <c r="N6" s="1">
        <v>45204</v>
      </c>
      <c r="O6" t="s">
        <v>44</v>
      </c>
      <c r="P6" t="s">
        <v>24</v>
      </c>
      <c r="Q6">
        <v>16</v>
      </c>
      <c r="T6">
        <v>46</v>
      </c>
      <c r="U6" t="s">
        <v>2993</v>
      </c>
      <c r="V6">
        <f t="shared" si="1"/>
        <v>144</v>
      </c>
      <c r="W6">
        <f t="shared" si="2"/>
        <v>161</v>
      </c>
      <c r="X6" t="s">
        <v>18</v>
      </c>
      <c r="Y6">
        <v>28</v>
      </c>
      <c r="AC6" t="s">
        <v>2995</v>
      </c>
    </row>
    <row r="7" spans="1:29" x14ac:dyDescent="0.35">
      <c r="A7" t="s">
        <v>1727</v>
      </c>
      <c r="B7" t="str">
        <f t="shared" si="0"/>
        <v>26-35</v>
      </c>
      <c r="C7">
        <v>26</v>
      </c>
      <c r="D7" t="s">
        <v>16</v>
      </c>
      <c r="E7" t="s">
        <v>117</v>
      </c>
      <c r="F7" t="s">
        <v>47</v>
      </c>
      <c r="G7" s="1">
        <v>43621</v>
      </c>
      <c r="H7" t="s">
        <v>1728</v>
      </c>
      <c r="I7" t="s">
        <v>937</v>
      </c>
      <c r="J7" t="s">
        <v>54</v>
      </c>
      <c r="K7">
        <v>33632.929738282</v>
      </c>
      <c r="L7">
        <v>359</v>
      </c>
      <c r="M7" t="s">
        <v>22</v>
      </c>
      <c r="N7" s="1">
        <v>43643</v>
      </c>
      <c r="O7" t="s">
        <v>50</v>
      </c>
      <c r="P7" t="s">
        <v>24</v>
      </c>
      <c r="Q7">
        <v>22</v>
      </c>
      <c r="T7">
        <v>56</v>
      </c>
      <c r="U7" t="s">
        <v>2995</v>
      </c>
      <c r="V7">
        <f t="shared" si="1"/>
        <v>144</v>
      </c>
      <c r="W7">
        <f t="shared" si="2"/>
        <v>178</v>
      </c>
      <c r="X7" t="s">
        <v>56</v>
      </c>
      <c r="Y7">
        <v>22</v>
      </c>
      <c r="AC7" t="s">
        <v>2996</v>
      </c>
    </row>
    <row r="8" spans="1:29" x14ac:dyDescent="0.35">
      <c r="A8" t="s">
        <v>2762</v>
      </c>
      <c r="B8" t="str">
        <f t="shared" si="0"/>
        <v>18-25</v>
      </c>
      <c r="C8">
        <v>24</v>
      </c>
      <c r="D8" t="s">
        <v>26</v>
      </c>
      <c r="E8" t="s">
        <v>92</v>
      </c>
      <c r="F8" t="s">
        <v>47</v>
      </c>
      <c r="G8" s="1">
        <v>43804</v>
      </c>
      <c r="H8" t="s">
        <v>2763</v>
      </c>
      <c r="I8" t="s">
        <v>2764</v>
      </c>
      <c r="J8" t="s">
        <v>54</v>
      </c>
      <c r="K8">
        <v>49142.724307598597</v>
      </c>
      <c r="L8">
        <v>230</v>
      </c>
      <c r="M8" t="s">
        <v>22</v>
      </c>
      <c r="N8" s="1">
        <v>43834</v>
      </c>
      <c r="O8" t="s">
        <v>23</v>
      </c>
      <c r="P8" t="s">
        <v>24</v>
      </c>
      <c r="Q8">
        <v>30</v>
      </c>
      <c r="T8">
        <v>66</v>
      </c>
      <c r="U8" t="s">
        <v>2996</v>
      </c>
      <c r="V8">
        <f t="shared" si="1"/>
        <v>151</v>
      </c>
      <c r="W8">
        <f t="shared" si="2"/>
        <v>154</v>
      </c>
      <c r="X8" t="s">
        <v>37</v>
      </c>
      <c r="Y8">
        <v>31</v>
      </c>
      <c r="AC8" t="s">
        <v>2994</v>
      </c>
    </row>
    <row r="9" spans="1:29" x14ac:dyDescent="0.35">
      <c r="A9" t="s">
        <v>2613</v>
      </c>
      <c r="B9" t="str">
        <f t="shared" si="0"/>
        <v>56-65</v>
      </c>
      <c r="C9">
        <v>62</v>
      </c>
      <c r="D9" t="s">
        <v>16</v>
      </c>
      <c r="E9" t="s">
        <v>117</v>
      </c>
      <c r="F9" t="s">
        <v>47</v>
      </c>
      <c r="G9" s="1">
        <v>43927</v>
      </c>
      <c r="H9" t="s">
        <v>2614</v>
      </c>
      <c r="I9" t="s">
        <v>2615</v>
      </c>
      <c r="J9" t="s">
        <v>54</v>
      </c>
      <c r="K9">
        <v>27165.334847019101</v>
      </c>
      <c r="L9">
        <v>215</v>
      </c>
      <c r="M9" t="s">
        <v>32</v>
      </c>
      <c r="N9" s="1">
        <v>43947</v>
      </c>
      <c r="O9" t="s">
        <v>87</v>
      </c>
      <c r="P9" t="s">
        <v>34</v>
      </c>
      <c r="Q9">
        <v>20</v>
      </c>
      <c r="T9">
        <v>76</v>
      </c>
      <c r="U9" t="s">
        <v>2994</v>
      </c>
      <c r="V9">
        <f t="shared" si="1"/>
        <v>163</v>
      </c>
      <c r="Y9">
        <v>0</v>
      </c>
    </row>
    <row r="10" spans="1:29" x14ac:dyDescent="0.35">
      <c r="A10" t="s">
        <v>244</v>
      </c>
      <c r="B10" t="str">
        <f t="shared" si="0"/>
        <v>76-85</v>
      </c>
      <c r="C10">
        <v>81</v>
      </c>
      <c r="D10" t="s">
        <v>16</v>
      </c>
      <c r="E10" t="s">
        <v>17</v>
      </c>
      <c r="F10" t="s">
        <v>47</v>
      </c>
      <c r="G10" s="1">
        <v>44360</v>
      </c>
      <c r="H10" t="s">
        <v>245</v>
      </c>
      <c r="I10" t="s">
        <v>246</v>
      </c>
      <c r="J10" t="s">
        <v>59</v>
      </c>
      <c r="K10">
        <v>21965.0796562785</v>
      </c>
      <c r="L10">
        <v>410</v>
      </c>
      <c r="M10" t="s">
        <v>32</v>
      </c>
      <c r="N10" s="1">
        <v>44370</v>
      </c>
      <c r="O10" t="s">
        <v>44</v>
      </c>
      <c r="P10" t="s">
        <v>45</v>
      </c>
      <c r="Q10">
        <v>10</v>
      </c>
      <c r="V10" t="s">
        <v>4</v>
      </c>
    </row>
    <row r="11" spans="1:29" x14ac:dyDescent="0.35">
      <c r="A11" t="s">
        <v>503</v>
      </c>
      <c r="B11" t="str">
        <f t="shared" si="0"/>
        <v>18-25</v>
      </c>
      <c r="C11">
        <v>20</v>
      </c>
      <c r="D11" t="s">
        <v>26</v>
      </c>
      <c r="E11" t="s">
        <v>36</v>
      </c>
      <c r="F11" t="s">
        <v>47</v>
      </c>
      <c r="G11" s="1">
        <v>44773</v>
      </c>
      <c r="H11" t="s">
        <v>504</v>
      </c>
      <c r="I11" t="s">
        <v>505</v>
      </c>
      <c r="J11" t="s">
        <v>21</v>
      </c>
      <c r="K11">
        <v>6787.5339903715403</v>
      </c>
      <c r="L11">
        <v>110</v>
      </c>
      <c r="M11" t="s">
        <v>43</v>
      </c>
      <c r="N11" s="1">
        <v>44793</v>
      </c>
      <c r="O11" t="s">
        <v>87</v>
      </c>
      <c r="P11" t="s">
        <v>24</v>
      </c>
      <c r="Q11">
        <v>20</v>
      </c>
    </row>
    <row r="12" spans="1:29" x14ac:dyDescent="0.35">
      <c r="A12" t="s">
        <v>1067</v>
      </c>
      <c r="B12" t="str">
        <f t="shared" si="0"/>
        <v>18-25</v>
      </c>
      <c r="C12">
        <v>18</v>
      </c>
      <c r="D12" t="s">
        <v>16</v>
      </c>
      <c r="E12" t="s">
        <v>65</v>
      </c>
      <c r="F12" t="s">
        <v>47</v>
      </c>
      <c r="G12" s="1">
        <v>43676</v>
      </c>
      <c r="H12" t="s">
        <v>1068</v>
      </c>
      <c r="I12" t="s">
        <v>1069</v>
      </c>
      <c r="J12" t="s">
        <v>54</v>
      </c>
      <c r="K12">
        <v>7237.04059480877</v>
      </c>
      <c r="L12">
        <v>442</v>
      </c>
      <c r="M12" t="s">
        <v>32</v>
      </c>
      <c r="N12" s="1">
        <v>43705</v>
      </c>
      <c r="O12" t="s">
        <v>50</v>
      </c>
      <c r="P12" t="s">
        <v>34</v>
      </c>
      <c r="Q12">
        <v>29</v>
      </c>
    </row>
    <row r="13" spans="1:29" x14ac:dyDescent="0.35">
      <c r="A13" t="s">
        <v>2245</v>
      </c>
      <c r="B13" t="str">
        <f t="shared" si="0"/>
        <v>76-85</v>
      </c>
      <c r="C13">
        <v>83</v>
      </c>
      <c r="D13" t="s">
        <v>26</v>
      </c>
      <c r="E13" t="s">
        <v>65</v>
      </c>
      <c r="F13" t="s">
        <v>47</v>
      </c>
      <c r="G13" s="1">
        <v>43573</v>
      </c>
      <c r="H13" t="s">
        <v>2246</v>
      </c>
      <c r="I13" t="s">
        <v>2247</v>
      </c>
      <c r="J13" t="s">
        <v>31</v>
      </c>
      <c r="K13">
        <v>5412.6890448185704</v>
      </c>
      <c r="L13">
        <v>495</v>
      </c>
      <c r="M13" t="s">
        <v>43</v>
      </c>
      <c r="N13" s="1">
        <v>43591</v>
      </c>
      <c r="O13" t="s">
        <v>23</v>
      </c>
      <c r="P13" t="s">
        <v>24</v>
      </c>
      <c r="Q13">
        <v>18</v>
      </c>
      <c r="U13" s="27" t="s">
        <v>3010</v>
      </c>
      <c r="V13" s="26" t="s">
        <v>47</v>
      </c>
      <c r="W13" s="15" t="s">
        <v>28</v>
      </c>
      <c r="X13" s="15" t="s">
        <v>72</v>
      </c>
      <c r="Y13" s="15" t="s">
        <v>18</v>
      </c>
      <c r="Z13" s="15" t="s">
        <v>56</v>
      </c>
      <c r="AA13" s="16" t="s">
        <v>37</v>
      </c>
    </row>
    <row r="14" spans="1:29" x14ac:dyDescent="0.35">
      <c r="A14" t="s">
        <v>428</v>
      </c>
      <c r="B14" t="str">
        <f t="shared" si="0"/>
        <v>36-45</v>
      </c>
      <c r="C14">
        <v>41</v>
      </c>
      <c r="D14" t="s">
        <v>16</v>
      </c>
      <c r="E14" t="s">
        <v>51</v>
      </c>
      <c r="F14" t="s">
        <v>47</v>
      </c>
      <c r="G14" s="1">
        <v>45141</v>
      </c>
      <c r="H14" t="s">
        <v>429</v>
      </c>
      <c r="I14" t="s">
        <v>430</v>
      </c>
      <c r="J14" t="s">
        <v>31</v>
      </c>
      <c r="K14">
        <v>13759.8438124075</v>
      </c>
      <c r="L14">
        <v>464</v>
      </c>
      <c r="M14" t="s">
        <v>43</v>
      </c>
      <c r="N14" s="1">
        <v>45160</v>
      </c>
      <c r="O14" t="s">
        <v>44</v>
      </c>
      <c r="P14" t="s">
        <v>24</v>
      </c>
      <c r="Q14">
        <v>19</v>
      </c>
      <c r="U14" s="23" t="s">
        <v>2990</v>
      </c>
      <c r="V14" s="23">
        <f>COUNTIFS($C$2:$C$1000,"&gt;=18",$C$2:$C$1000,"&lt;=25",$F$2:$F$1000,"Arthritis")</f>
        <v>18</v>
      </c>
      <c r="W14" s="17">
        <f>COUNTIFS($C$2:$C$1000,"&gt;=18",$C$2:$C$1000,"&lt;=25",$F$2:$F$1000,"Asthma")</f>
        <v>13</v>
      </c>
      <c r="X14" s="17">
        <f>COUNTIFS($C$2:$C$1000,"&gt;=18",$C$2:$C$1000,"&lt;=25",$F$2:$F$1000,"Cancer")</f>
        <v>24</v>
      </c>
      <c r="Y14" s="17">
        <f>COUNTIFS($C$2:$C$1000,"&gt;=18",$C$2:$C$1000,"&lt;=25",$F$2:$F$1000,"Diabetes")</f>
        <v>13</v>
      </c>
      <c r="Z14" s="17">
        <f>COUNTIFS($C$2:$C$1000,"&gt;=18",$C$2:$C$1000,"&lt;=25",$F$2:$F$1000,"Hypertension")</f>
        <v>22</v>
      </c>
      <c r="AA14" s="18">
        <f>COUNTIFS($C$2:$C$1000,"&gt;=18",$C$2:$C$1000,"&lt;=25",$F$2:$F$1000,"Obesity")</f>
        <v>10</v>
      </c>
    </row>
    <row r="15" spans="1:29" x14ac:dyDescent="0.35">
      <c r="A15" t="s">
        <v>1125</v>
      </c>
      <c r="B15" t="str">
        <f t="shared" si="0"/>
        <v>46-55</v>
      </c>
      <c r="C15">
        <v>55</v>
      </c>
      <c r="D15" t="s">
        <v>26</v>
      </c>
      <c r="E15" t="s">
        <v>51</v>
      </c>
      <c r="F15" t="s">
        <v>47</v>
      </c>
      <c r="G15" s="1">
        <v>43439</v>
      </c>
      <c r="H15" t="s">
        <v>1126</v>
      </c>
      <c r="I15" t="s">
        <v>1127</v>
      </c>
      <c r="J15" t="s">
        <v>31</v>
      </c>
      <c r="K15">
        <v>24261.161682174199</v>
      </c>
      <c r="L15">
        <v>383</v>
      </c>
      <c r="M15" t="s">
        <v>43</v>
      </c>
      <c r="N15" s="1">
        <v>43450</v>
      </c>
      <c r="O15" t="s">
        <v>33</v>
      </c>
      <c r="P15" t="s">
        <v>34</v>
      </c>
      <c r="Q15">
        <v>11</v>
      </c>
      <c r="U15" s="24" t="s">
        <v>2991</v>
      </c>
      <c r="V15" s="24">
        <f>COUNTIFS($C$2:$C$1000,"&gt;=26",$C$2:$C$1000,"&lt;=35",$F$2:$F$1000,"Arthritis")</f>
        <v>26</v>
      </c>
      <c r="W15" s="19">
        <f>COUNTIFS($C$2:$C$1000,"&gt;=26",$C$2:$C$1000,"&lt;=35",$F$2:$F$1000,"Asthma")</f>
        <v>33</v>
      </c>
      <c r="X15" s="19">
        <f>COUNTIFS($C$2:$C$1000,"&gt;=26",$C$2:$C$1000,"&lt;=35",$F$2:$F$1000,"Cancer")</f>
        <v>17</v>
      </c>
      <c r="Y15" s="19">
        <f>COUNTIFS($C$2:$C$1000,"&gt;=26",$C$2:$C$1000,"&lt;=35",$F$2:$F$1000,"Diabetes")</f>
        <v>27</v>
      </c>
      <c r="Z15" s="19">
        <f>COUNTIFS($C$2:$C$1000,"&gt;=26",$C$2:$C$1000,"&lt;=35",$F$2:$F$1000,"Hypertension")</f>
        <v>26</v>
      </c>
      <c r="AA15" s="20">
        <f>COUNTIFS($C$2:$C$1000,"&gt;=26",$C$2:$C$1000,"&lt;=35",$F$2:$F$1000,"Obesity")</f>
        <v>22</v>
      </c>
    </row>
    <row r="16" spans="1:29" x14ac:dyDescent="0.35">
      <c r="A16" t="s">
        <v>1096</v>
      </c>
      <c r="B16" t="str">
        <f t="shared" si="0"/>
        <v>66-75</v>
      </c>
      <c r="C16">
        <v>66</v>
      </c>
      <c r="D16" t="s">
        <v>26</v>
      </c>
      <c r="E16" t="s">
        <v>65</v>
      </c>
      <c r="F16" t="s">
        <v>47</v>
      </c>
      <c r="G16" s="1">
        <v>43675</v>
      </c>
      <c r="H16" t="s">
        <v>153</v>
      </c>
      <c r="I16" t="s">
        <v>1097</v>
      </c>
      <c r="J16" t="s">
        <v>63</v>
      </c>
      <c r="K16">
        <v>34465.8248756373</v>
      </c>
      <c r="L16">
        <v>361</v>
      </c>
      <c r="M16" t="s">
        <v>32</v>
      </c>
      <c r="N16" s="1">
        <v>43704</v>
      </c>
      <c r="O16" t="s">
        <v>50</v>
      </c>
      <c r="P16" t="s">
        <v>24</v>
      </c>
      <c r="Q16">
        <v>29</v>
      </c>
      <c r="U16" s="23" t="s">
        <v>2992</v>
      </c>
      <c r="V16" s="23">
        <f>COUNTIFS($C$2:$C$1000,"&gt;=36",$C$2:$C$1000,"&lt;=45",$F$2:$F$1000,"Arthritis")</f>
        <v>23</v>
      </c>
      <c r="W16" s="17">
        <f>COUNTIFS($C$2:$C$1000,"&gt;=36",$C$2:$C$1000,"&lt;=45",$F$2:$F$1000,"Asthma")</f>
        <v>21</v>
      </c>
      <c r="X16" s="17">
        <f>COUNTIFS($C$2:$C$1000,"&gt;=36",$C$2:$C$1000,"&lt;=45",$F$2:$F$1000,"Cancer")</f>
        <v>29</v>
      </c>
      <c r="Y16" s="17">
        <f>COUNTIFS($C$2:$C$1000,"&gt;=36",$C$2:$C$1000,"&lt;=45",$F$2:$F$1000,"Diabetes")</f>
        <v>20</v>
      </c>
      <c r="Z16" s="17">
        <f>COUNTIFS($C$2:$C$1000,"&gt;=36",$C$2:$C$1000,"&lt;=45",$F$2:$F$1000,"Hypertension")</f>
        <v>27</v>
      </c>
      <c r="AA16" s="18">
        <f>COUNTIFS($C$2:$C$1000,"&gt;=36",$C$2:$C$1000,"&lt;=45",$F$2:$F$1000,"Obesity")</f>
        <v>26</v>
      </c>
    </row>
    <row r="17" spans="1:27" x14ac:dyDescent="0.35">
      <c r="A17" t="s">
        <v>2366</v>
      </c>
      <c r="B17" t="str">
        <f t="shared" si="0"/>
        <v>36-45</v>
      </c>
      <c r="C17">
        <v>45</v>
      </c>
      <c r="D17" t="s">
        <v>16</v>
      </c>
      <c r="E17" t="s">
        <v>117</v>
      </c>
      <c r="F17" t="s">
        <v>47</v>
      </c>
      <c r="G17" s="1">
        <v>43800</v>
      </c>
      <c r="H17" t="s">
        <v>2367</v>
      </c>
      <c r="I17" t="s">
        <v>2368</v>
      </c>
      <c r="J17" t="s">
        <v>21</v>
      </c>
      <c r="K17">
        <v>41082.614871218502</v>
      </c>
      <c r="L17">
        <v>359</v>
      </c>
      <c r="M17" t="s">
        <v>22</v>
      </c>
      <c r="N17" s="1">
        <v>43806</v>
      </c>
      <c r="O17" t="s">
        <v>50</v>
      </c>
      <c r="P17" t="s">
        <v>34</v>
      </c>
      <c r="Q17">
        <v>6</v>
      </c>
      <c r="U17" s="24" t="s">
        <v>2993</v>
      </c>
      <c r="V17" s="24">
        <f>COUNTIFS($C$2:$C$1000,"&gt;=46",$C$2:$C$1000,"&lt;=55",$F$2:$F$1000,"Arthritis")</f>
        <v>14</v>
      </c>
      <c r="W17" s="19">
        <f>COUNTIFS($C$2:$C$1000,"&gt;=46",$C$2:$C$1000,"&lt;=55",$F$2:$F$1000,"Asthma")</f>
        <v>29</v>
      </c>
      <c r="X17" s="19">
        <f>COUNTIFS($C$2:$C$1000,"&gt;=46",$C$2:$C$1000,"&lt;=55",$F$2:$F$1000,"Cancer")</f>
        <v>22</v>
      </c>
      <c r="Y17" s="19">
        <f>COUNTIFS($C$2:$C$1000,"&gt;=46",$C$2:$C$1000,"&lt;=55",$F$2:$F$1000,"Diabetes")</f>
        <v>28</v>
      </c>
      <c r="Z17" s="19">
        <f>COUNTIFS($C$2:$C$1000,"&gt;=46",$C$2:$C$1000,"&lt;=55",$F$2:$F$1000,"Hypertension")</f>
        <v>32</v>
      </c>
      <c r="AA17" s="20">
        <f>COUNTIFS($C$2:$C$1000,"&gt;=46",$C$2:$C$1000,"&lt;=55",$F$2:$F$1000,"Obesity")</f>
        <v>19</v>
      </c>
    </row>
    <row r="18" spans="1:27" x14ac:dyDescent="0.35">
      <c r="A18" t="s">
        <v>88</v>
      </c>
      <c r="B18" t="str">
        <f t="shared" si="0"/>
        <v>26-35</v>
      </c>
      <c r="C18">
        <v>32</v>
      </c>
      <c r="D18" t="s">
        <v>16</v>
      </c>
      <c r="E18" t="s">
        <v>27</v>
      </c>
      <c r="F18" t="s">
        <v>47</v>
      </c>
      <c r="G18" s="1">
        <v>44415</v>
      </c>
      <c r="H18" t="s">
        <v>89</v>
      </c>
      <c r="I18" t="s">
        <v>90</v>
      </c>
      <c r="J18" t="s">
        <v>54</v>
      </c>
      <c r="K18">
        <v>27174.942906232402</v>
      </c>
      <c r="L18">
        <v>492</v>
      </c>
      <c r="M18" t="s">
        <v>32</v>
      </c>
      <c r="N18" s="1">
        <v>44422</v>
      </c>
      <c r="O18" t="s">
        <v>23</v>
      </c>
      <c r="P18" t="s">
        <v>24</v>
      </c>
      <c r="Q18">
        <v>7</v>
      </c>
      <c r="U18" s="23" t="s">
        <v>2995</v>
      </c>
      <c r="V18" s="23">
        <f>COUNTIFS($C$2:$C$1000,"&gt;=56",$C$2:$C$1000,"&lt;=65",$F$2:$F$1000,"Arthritis")</f>
        <v>31</v>
      </c>
      <c r="W18" s="17">
        <f>COUNTIFS($C$2:$C$1000,"&gt;=56",$C$2:$C$1000,"&lt;=65",$F$2:$F$1000,"Asthma")</f>
        <v>28</v>
      </c>
      <c r="X18" s="17">
        <f>COUNTIFS($C$2:$C$1000,"&gt;=56",$C$2:$C$1000,"&lt;=65",$F$2:$F$1000,"Cancer")</f>
        <v>26</v>
      </c>
      <c r="Y18" s="17">
        <f>COUNTIFS($C$2:$C$1000,"&gt;=56",$C$2:$C$1000,"&lt;=65",$F$2:$F$1000,"Diabetes")</f>
        <v>18</v>
      </c>
      <c r="Z18" s="17">
        <f>COUNTIFS($C$2:$C$1000,"&gt;=56",$C$2:$C$1000,"&lt;=65",$F$2:$F$1000,"Hypertension")</f>
        <v>22</v>
      </c>
      <c r="AA18" s="18">
        <f>COUNTIFS($C$2:$C$1000,"&gt;=56",$C$2:$C$1000,"&lt;=65",$F$2:$F$1000,"Obesity")</f>
        <v>19</v>
      </c>
    </row>
    <row r="19" spans="1:27" x14ac:dyDescent="0.35">
      <c r="A19" t="s">
        <v>1565</v>
      </c>
      <c r="B19" t="str">
        <f t="shared" si="0"/>
        <v>36-45</v>
      </c>
      <c r="C19">
        <v>37</v>
      </c>
      <c r="D19" t="s">
        <v>26</v>
      </c>
      <c r="E19" t="s">
        <v>232</v>
      </c>
      <c r="F19" t="s">
        <v>47</v>
      </c>
      <c r="G19" s="1">
        <v>44012</v>
      </c>
      <c r="H19" t="s">
        <v>1566</v>
      </c>
      <c r="I19" t="s">
        <v>1567</v>
      </c>
      <c r="J19" t="s">
        <v>54</v>
      </c>
      <c r="K19">
        <v>7075.04249268287</v>
      </c>
      <c r="L19">
        <v>216</v>
      </c>
      <c r="M19" t="s">
        <v>22</v>
      </c>
      <c r="N19" s="1">
        <v>44037</v>
      </c>
      <c r="O19" t="s">
        <v>33</v>
      </c>
      <c r="P19" t="s">
        <v>24</v>
      </c>
      <c r="Q19">
        <v>25</v>
      </c>
      <c r="U19" s="24" t="s">
        <v>2996</v>
      </c>
      <c r="V19" s="24">
        <f>COUNTIFS($C$2:$C$1000,"&gt;=66",$C$2:$C$1000,"&lt;=75",$F$2:$F$1000,"Arthritis")</f>
        <v>17</v>
      </c>
      <c r="W19" s="19">
        <f>COUNTIFS($C$2:$C$1000,"&gt;=66",$C$2:$C$1000,"&lt;=75",$F$2:$F$1000,"Asthma")</f>
        <v>22</v>
      </c>
      <c r="X19" s="19">
        <f>COUNTIFS($C$2:$C$1000,"&gt;=66",$C$2:$C$1000,"&lt;=75",$F$2:$F$1000,"Cancer")</f>
        <v>25</v>
      </c>
      <c r="Y19" s="19">
        <f>COUNTIFS($C$2:$C$1000,"&gt;=66",$C$2:$C$1000,"&lt;=75",$F$2:$F$1000,"Diabetes")</f>
        <v>27</v>
      </c>
      <c r="Z19" s="19">
        <f>COUNTIFS($C$2:$C$1000,"&gt;=66",$C$2:$C$1000,"&lt;=75",$F$2:$F$1000,"Hypertension")</f>
        <v>29</v>
      </c>
      <c r="AA19" s="20">
        <f>COUNTIFS($C$2:$C$1000,"&gt;=66",$C$2:$C$1000,"&lt;=75",$F$2:$F$1000,"Obesity")</f>
        <v>31</v>
      </c>
    </row>
    <row r="20" spans="1:27" x14ac:dyDescent="0.35">
      <c r="A20" t="s">
        <v>1176</v>
      </c>
      <c r="B20" t="str">
        <f t="shared" si="0"/>
        <v>36-45</v>
      </c>
      <c r="C20">
        <v>36</v>
      </c>
      <c r="D20" t="s">
        <v>26</v>
      </c>
      <c r="E20" t="s">
        <v>51</v>
      </c>
      <c r="F20" t="s">
        <v>47</v>
      </c>
      <c r="G20" s="1">
        <v>44340</v>
      </c>
      <c r="H20" t="s">
        <v>1177</v>
      </c>
      <c r="I20" t="s">
        <v>1178</v>
      </c>
      <c r="J20" t="s">
        <v>21</v>
      </c>
      <c r="K20">
        <v>39533.378201419997</v>
      </c>
      <c r="L20">
        <v>315</v>
      </c>
      <c r="M20" t="s">
        <v>43</v>
      </c>
      <c r="N20" s="1">
        <v>44360</v>
      </c>
      <c r="O20" t="s">
        <v>44</v>
      </c>
      <c r="P20" t="s">
        <v>34</v>
      </c>
      <c r="Q20">
        <v>20</v>
      </c>
      <c r="U20" s="23" t="s">
        <v>2994</v>
      </c>
      <c r="V20" s="25">
        <f>COUNTIFS($C$2:$C$1000,"&gt;=76",$C$2:$C$1000,"&lt;=85",$F$2:$F$1000,"Arthritis")</f>
        <v>32</v>
      </c>
      <c r="W20" s="21">
        <f>COUNTIFS($C$2:$C$1000,"&gt;=76",$C$2:$C$1000,"&lt;=85",$F$2:$F$1000,"Asthma")</f>
        <v>28</v>
      </c>
      <c r="X20" s="21">
        <f>COUNTIFS($C$2:$C$1000,"&gt;=76",$C$2:$C$1000,"&lt;=85",$F$2:$F$1000,"Cancer")</f>
        <v>28</v>
      </c>
      <c r="Y20" s="21">
        <f>COUNTIFS($C$2:$C$1000,"&gt;=76",$C$2:$C$1000,"&lt;=85",$F$2:$F$1000,"Diabetes")</f>
        <v>28</v>
      </c>
      <c r="Z20" s="21">
        <f>COUNTIFS($C$2:$C$1000,"&gt;=76",$C$2:$C$1000,"&lt;=85",$F$2:$F$1000,"Hypertension")</f>
        <v>20</v>
      </c>
      <c r="AA20" s="22">
        <f>COUNTIFS($C$2:$C$1000,"&gt;=76",$C$2:$C$1000,"&lt;=85",$F$2:$F$1000,"Obesity")</f>
        <v>27</v>
      </c>
    </row>
    <row r="21" spans="1:27" x14ac:dyDescent="0.35">
      <c r="A21" t="s">
        <v>1376</v>
      </c>
      <c r="B21" t="str">
        <f t="shared" si="0"/>
        <v>56-65</v>
      </c>
      <c r="C21">
        <v>60</v>
      </c>
      <c r="D21" t="s">
        <v>26</v>
      </c>
      <c r="E21" t="s">
        <v>65</v>
      </c>
      <c r="F21" t="s">
        <v>47</v>
      </c>
      <c r="G21" s="1">
        <v>44027</v>
      </c>
      <c r="H21" t="s">
        <v>1377</v>
      </c>
      <c r="I21" t="s">
        <v>1378</v>
      </c>
      <c r="J21" t="s">
        <v>54</v>
      </c>
      <c r="K21">
        <v>32573.7247492395</v>
      </c>
      <c r="L21">
        <v>435</v>
      </c>
      <c r="M21" t="s">
        <v>43</v>
      </c>
      <c r="N21" s="1">
        <v>44057</v>
      </c>
      <c r="O21" t="s">
        <v>87</v>
      </c>
      <c r="P21" t="s">
        <v>34</v>
      </c>
      <c r="Q21">
        <v>30</v>
      </c>
    </row>
    <row r="22" spans="1:27" x14ac:dyDescent="0.35">
      <c r="A22" t="s">
        <v>1710</v>
      </c>
      <c r="B22" t="str">
        <f t="shared" si="0"/>
        <v>56-65</v>
      </c>
      <c r="C22">
        <v>59</v>
      </c>
      <c r="D22" t="s">
        <v>26</v>
      </c>
      <c r="E22" t="s">
        <v>36</v>
      </c>
      <c r="F22" t="s">
        <v>47</v>
      </c>
      <c r="G22" s="1">
        <v>44729</v>
      </c>
      <c r="H22" t="s">
        <v>1949</v>
      </c>
      <c r="I22" t="s">
        <v>1950</v>
      </c>
      <c r="J22" t="s">
        <v>31</v>
      </c>
      <c r="K22">
        <v>29711.4484885532</v>
      </c>
      <c r="L22">
        <v>171</v>
      </c>
      <c r="M22" t="s">
        <v>22</v>
      </c>
      <c r="N22" s="1">
        <v>44754</v>
      </c>
      <c r="O22" t="s">
        <v>33</v>
      </c>
      <c r="P22" t="s">
        <v>45</v>
      </c>
      <c r="Q22">
        <v>25</v>
      </c>
    </row>
    <row r="23" spans="1:27" x14ac:dyDescent="0.35">
      <c r="A23" t="s">
        <v>256</v>
      </c>
      <c r="B23" t="str">
        <f t="shared" si="0"/>
        <v>26-35</v>
      </c>
      <c r="C23">
        <v>28</v>
      </c>
      <c r="D23" t="s">
        <v>16</v>
      </c>
      <c r="E23" t="s">
        <v>92</v>
      </c>
      <c r="F23" t="s">
        <v>47</v>
      </c>
      <c r="G23" s="1">
        <v>44195</v>
      </c>
      <c r="H23" t="s">
        <v>257</v>
      </c>
      <c r="I23" t="s">
        <v>258</v>
      </c>
      <c r="J23" t="s">
        <v>54</v>
      </c>
      <c r="K23">
        <v>1997.33276127046</v>
      </c>
      <c r="L23">
        <v>188</v>
      </c>
      <c r="M23" t="s">
        <v>43</v>
      </c>
      <c r="N23" s="1">
        <v>44214</v>
      </c>
      <c r="O23" t="s">
        <v>50</v>
      </c>
      <c r="P23" t="s">
        <v>34</v>
      </c>
      <c r="Q23">
        <v>19</v>
      </c>
    </row>
    <row r="24" spans="1:27" x14ac:dyDescent="0.35">
      <c r="A24" t="s">
        <v>1104</v>
      </c>
      <c r="B24" t="str">
        <f t="shared" si="0"/>
        <v>66-75</v>
      </c>
      <c r="C24">
        <v>75</v>
      </c>
      <c r="D24" t="s">
        <v>26</v>
      </c>
      <c r="E24" t="s">
        <v>36</v>
      </c>
      <c r="F24" t="s">
        <v>47</v>
      </c>
      <c r="G24" s="1">
        <v>44848</v>
      </c>
      <c r="H24" t="s">
        <v>1105</v>
      </c>
      <c r="I24" t="s">
        <v>1106</v>
      </c>
      <c r="J24" t="s">
        <v>63</v>
      </c>
      <c r="K24">
        <v>48192.648606367104</v>
      </c>
      <c r="L24">
        <v>490</v>
      </c>
      <c r="M24" t="s">
        <v>43</v>
      </c>
      <c r="N24" s="1">
        <v>44868</v>
      </c>
      <c r="O24" t="s">
        <v>33</v>
      </c>
      <c r="P24" t="s">
        <v>24</v>
      </c>
      <c r="Q24">
        <v>20</v>
      </c>
    </row>
    <row r="25" spans="1:27" x14ac:dyDescent="0.35">
      <c r="A25" t="s">
        <v>2009</v>
      </c>
      <c r="B25" t="str">
        <f t="shared" si="0"/>
        <v>56-65</v>
      </c>
      <c r="C25">
        <v>56</v>
      </c>
      <c r="D25" t="s">
        <v>26</v>
      </c>
      <c r="E25" t="s">
        <v>232</v>
      </c>
      <c r="F25" t="s">
        <v>47</v>
      </c>
      <c r="G25" s="1">
        <v>44372</v>
      </c>
      <c r="H25" t="s">
        <v>2010</v>
      </c>
      <c r="I25" t="s">
        <v>2011</v>
      </c>
      <c r="J25" t="s">
        <v>21</v>
      </c>
      <c r="K25">
        <v>6786.99988852962</v>
      </c>
      <c r="L25">
        <v>451</v>
      </c>
      <c r="M25" t="s">
        <v>22</v>
      </c>
      <c r="N25" s="1">
        <v>44399</v>
      </c>
      <c r="O25" t="s">
        <v>23</v>
      </c>
      <c r="P25" t="s">
        <v>24</v>
      </c>
      <c r="Q25">
        <v>27</v>
      </c>
    </row>
    <row r="26" spans="1:27" x14ac:dyDescent="0.35">
      <c r="A26" t="s">
        <v>643</v>
      </c>
      <c r="B26" t="str">
        <f t="shared" si="0"/>
        <v>36-45</v>
      </c>
      <c r="C26">
        <v>37</v>
      </c>
      <c r="D26" t="s">
        <v>16</v>
      </c>
      <c r="E26" t="s">
        <v>36</v>
      </c>
      <c r="F26" t="s">
        <v>47</v>
      </c>
      <c r="G26" s="1">
        <v>45187</v>
      </c>
      <c r="H26" t="s">
        <v>644</v>
      </c>
      <c r="I26" t="s">
        <v>645</v>
      </c>
      <c r="J26" t="s">
        <v>54</v>
      </c>
      <c r="K26">
        <v>7061.8424395512502</v>
      </c>
      <c r="L26">
        <v>425</v>
      </c>
      <c r="M26" t="s">
        <v>43</v>
      </c>
      <c r="N26" s="1">
        <v>45199</v>
      </c>
      <c r="O26" t="s">
        <v>87</v>
      </c>
      <c r="P26" t="s">
        <v>45</v>
      </c>
      <c r="Q26">
        <v>12</v>
      </c>
    </row>
    <row r="27" spans="1:27" x14ac:dyDescent="0.35">
      <c r="A27" t="s">
        <v>1307</v>
      </c>
      <c r="B27" t="str">
        <f t="shared" si="0"/>
        <v>18-25</v>
      </c>
      <c r="C27">
        <v>18</v>
      </c>
      <c r="D27" t="s">
        <v>26</v>
      </c>
      <c r="E27" t="s">
        <v>17</v>
      </c>
      <c r="F27" t="s">
        <v>47</v>
      </c>
      <c r="G27" s="1">
        <v>43505</v>
      </c>
      <c r="H27" t="s">
        <v>1308</v>
      </c>
      <c r="I27" t="s">
        <v>1309</v>
      </c>
      <c r="J27" t="s">
        <v>54</v>
      </c>
      <c r="K27">
        <v>18605.860442632398</v>
      </c>
      <c r="L27">
        <v>433</v>
      </c>
      <c r="M27" t="s">
        <v>32</v>
      </c>
      <c r="N27" s="1">
        <v>43521</v>
      </c>
      <c r="O27" t="s">
        <v>87</v>
      </c>
      <c r="P27" t="s">
        <v>34</v>
      </c>
      <c r="Q27">
        <v>16</v>
      </c>
    </row>
    <row r="28" spans="1:27" x14ac:dyDescent="0.35">
      <c r="A28" t="s">
        <v>1232</v>
      </c>
      <c r="B28" t="str">
        <f t="shared" si="0"/>
        <v>26-35</v>
      </c>
      <c r="C28">
        <v>35</v>
      </c>
      <c r="D28" t="s">
        <v>16</v>
      </c>
      <c r="E28" t="s">
        <v>51</v>
      </c>
      <c r="F28" t="s">
        <v>47</v>
      </c>
      <c r="G28" s="1">
        <v>43519</v>
      </c>
      <c r="H28" t="s">
        <v>1233</v>
      </c>
      <c r="I28" t="s">
        <v>1234</v>
      </c>
      <c r="J28" t="s">
        <v>21</v>
      </c>
      <c r="K28">
        <v>7219.4662530414098</v>
      </c>
      <c r="L28">
        <v>483</v>
      </c>
      <c r="M28" t="s">
        <v>43</v>
      </c>
      <c r="N28" s="1">
        <v>43530</v>
      </c>
      <c r="O28" t="s">
        <v>87</v>
      </c>
      <c r="P28" t="s">
        <v>34</v>
      </c>
      <c r="Q28">
        <v>11</v>
      </c>
    </row>
    <row r="29" spans="1:27" x14ac:dyDescent="0.35">
      <c r="A29" t="s">
        <v>2116</v>
      </c>
      <c r="B29" t="str">
        <f t="shared" si="0"/>
        <v>66-75</v>
      </c>
      <c r="C29">
        <v>68</v>
      </c>
      <c r="D29" t="s">
        <v>16</v>
      </c>
      <c r="E29" t="s">
        <v>27</v>
      </c>
      <c r="F29" t="s">
        <v>47</v>
      </c>
      <c r="G29" s="1">
        <v>44017</v>
      </c>
      <c r="H29" t="s">
        <v>2117</v>
      </c>
      <c r="I29" t="s">
        <v>2118</v>
      </c>
      <c r="J29" t="s">
        <v>54</v>
      </c>
      <c r="K29">
        <v>43134.404352418002</v>
      </c>
      <c r="L29">
        <v>138</v>
      </c>
      <c r="M29" t="s">
        <v>43</v>
      </c>
      <c r="N29" s="1">
        <v>44039</v>
      </c>
      <c r="O29" t="s">
        <v>33</v>
      </c>
      <c r="P29" t="s">
        <v>45</v>
      </c>
      <c r="Q29">
        <v>22</v>
      </c>
    </row>
    <row r="30" spans="1:27" x14ac:dyDescent="0.35">
      <c r="A30" t="s">
        <v>640</v>
      </c>
      <c r="B30" t="str">
        <f t="shared" si="0"/>
        <v>56-65</v>
      </c>
      <c r="C30">
        <v>62</v>
      </c>
      <c r="D30" t="s">
        <v>26</v>
      </c>
      <c r="E30" t="s">
        <v>27</v>
      </c>
      <c r="F30" t="s">
        <v>47</v>
      </c>
      <c r="G30" s="1">
        <v>43768</v>
      </c>
      <c r="H30" t="s">
        <v>641</v>
      </c>
      <c r="I30" t="s">
        <v>642</v>
      </c>
      <c r="J30" t="s">
        <v>59</v>
      </c>
      <c r="K30">
        <v>19630.673492911399</v>
      </c>
      <c r="L30">
        <v>455</v>
      </c>
      <c r="M30" t="s">
        <v>43</v>
      </c>
      <c r="N30" s="1">
        <v>43782</v>
      </c>
      <c r="O30" t="s">
        <v>23</v>
      </c>
      <c r="P30" t="s">
        <v>24</v>
      </c>
      <c r="Q30">
        <v>14</v>
      </c>
    </row>
    <row r="31" spans="1:27" x14ac:dyDescent="0.35">
      <c r="A31" t="s">
        <v>1925</v>
      </c>
      <c r="B31" t="str">
        <f t="shared" si="0"/>
        <v>56-65</v>
      </c>
      <c r="C31">
        <v>65</v>
      </c>
      <c r="D31" t="s">
        <v>26</v>
      </c>
      <c r="E31" t="s">
        <v>232</v>
      </c>
      <c r="F31" t="s">
        <v>47</v>
      </c>
      <c r="G31" s="1">
        <v>43916</v>
      </c>
      <c r="H31" t="s">
        <v>1926</v>
      </c>
      <c r="I31" t="s">
        <v>1927</v>
      </c>
      <c r="J31" t="s">
        <v>21</v>
      </c>
      <c r="K31">
        <v>4858.1824806072</v>
      </c>
      <c r="L31">
        <v>261</v>
      </c>
      <c r="M31" t="s">
        <v>43</v>
      </c>
      <c r="N31" s="1">
        <v>43924</v>
      </c>
      <c r="O31" t="s">
        <v>33</v>
      </c>
      <c r="P31" t="s">
        <v>45</v>
      </c>
      <c r="Q31">
        <v>8</v>
      </c>
    </row>
    <row r="32" spans="1:27" x14ac:dyDescent="0.35">
      <c r="A32" t="s">
        <v>2626</v>
      </c>
      <c r="B32" t="str">
        <f t="shared" si="0"/>
        <v>26-35</v>
      </c>
      <c r="C32">
        <v>26</v>
      </c>
      <c r="D32" t="s">
        <v>16</v>
      </c>
      <c r="E32" t="s">
        <v>92</v>
      </c>
      <c r="F32" t="s">
        <v>47</v>
      </c>
      <c r="G32" s="1">
        <v>44268</v>
      </c>
      <c r="H32" t="s">
        <v>2627</v>
      </c>
      <c r="I32" t="s">
        <v>2628</v>
      </c>
      <c r="J32" t="s">
        <v>31</v>
      </c>
      <c r="K32">
        <v>10776.4006344024</v>
      </c>
      <c r="L32">
        <v>430</v>
      </c>
      <c r="M32" t="s">
        <v>32</v>
      </c>
      <c r="N32" s="1">
        <v>44293</v>
      </c>
      <c r="O32" t="s">
        <v>87</v>
      </c>
      <c r="P32" t="s">
        <v>34</v>
      </c>
      <c r="Q32">
        <v>25</v>
      </c>
    </row>
    <row r="33" spans="1:28" x14ac:dyDescent="0.35">
      <c r="A33" t="s">
        <v>1529</v>
      </c>
      <c r="B33" t="str">
        <f t="shared" si="0"/>
        <v>36-45</v>
      </c>
      <c r="C33">
        <v>45</v>
      </c>
      <c r="D33" t="s">
        <v>26</v>
      </c>
      <c r="E33" t="s">
        <v>51</v>
      </c>
      <c r="F33" t="s">
        <v>47</v>
      </c>
      <c r="G33" s="1">
        <v>44235</v>
      </c>
      <c r="H33" t="s">
        <v>1530</v>
      </c>
      <c r="I33" t="s">
        <v>1531</v>
      </c>
      <c r="J33" t="s">
        <v>63</v>
      </c>
      <c r="K33">
        <v>40894.212139742303</v>
      </c>
      <c r="L33">
        <v>324</v>
      </c>
      <c r="M33" t="s">
        <v>43</v>
      </c>
      <c r="N33" s="1">
        <v>44258</v>
      </c>
      <c r="O33" t="s">
        <v>33</v>
      </c>
      <c r="P33" t="s">
        <v>45</v>
      </c>
      <c r="Q33">
        <v>23</v>
      </c>
    </row>
    <row r="34" spans="1:28" x14ac:dyDescent="0.35">
      <c r="A34" t="s">
        <v>1907</v>
      </c>
      <c r="B34" t="str">
        <f t="shared" si="0"/>
        <v>26-35</v>
      </c>
      <c r="C34">
        <v>35</v>
      </c>
      <c r="D34" t="s">
        <v>16</v>
      </c>
      <c r="E34" t="s">
        <v>232</v>
      </c>
      <c r="F34" t="s">
        <v>47</v>
      </c>
      <c r="G34" s="1">
        <v>43821</v>
      </c>
      <c r="H34" t="s">
        <v>1908</v>
      </c>
      <c r="I34" t="s">
        <v>1909</v>
      </c>
      <c r="J34" t="s">
        <v>63</v>
      </c>
      <c r="K34">
        <v>25682.586677854</v>
      </c>
      <c r="L34">
        <v>500</v>
      </c>
      <c r="M34" t="s">
        <v>22</v>
      </c>
      <c r="N34" s="1">
        <v>43833</v>
      </c>
      <c r="O34" t="s">
        <v>44</v>
      </c>
      <c r="P34" t="s">
        <v>45</v>
      </c>
      <c r="Q34">
        <v>12</v>
      </c>
    </row>
    <row r="35" spans="1:28" x14ac:dyDescent="0.35">
      <c r="A35" t="s">
        <v>1604</v>
      </c>
      <c r="B35" t="str">
        <f t="shared" si="0"/>
        <v>76-85</v>
      </c>
      <c r="C35">
        <v>83</v>
      </c>
      <c r="D35" t="s">
        <v>26</v>
      </c>
      <c r="E35" t="s">
        <v>17</v>
      </c>
      <c r="F35" t="s">
        <v>47</v>
      </c>
      <c r="G35" s="1">
        <v>44476</v>
      </c>
      <c r="H35" t="s">
        <v>2952</v>
      </c>
      <c r="I35" t="s">
        <v>937</v>
      </c>
      <c r="J35" t="s">
        <v>21</v>
      </c>
      <c r="K35">
        <v>13650.4875897607</v>
      </c>
      <c r="L35">
        <v>465</v>
      </c>
      <c r="M35" t="s">
        <v>32</v>
      </c>
      <c r="N35" s="1">
        <v>44503</v>
      </c>
      <c r="O35" t="s">
        <v>33</v>
      </c>
      <c r="P35" t="s">
        <v>24</v>
      </c>
      <c r="Q35">
        <v>27</v>
      </c>
    </row>
    <row r="36" spans="1:28" x14ac:dyDescent="0.35">
      <c r="A36" t="s">
        <v>280</v>
      </c>
      <c r="B36" t="str">
        <f t="shared" si="0"/>
        <v>26-35</v>
      </c>
      <c r="C36">
        <v>34</v>
      </c>
      <c r="D36" t="s">
        <v>26</v>
      </c>
      <c r="E36" t="s">
        <v>27</v>
      </c>
      <c r="F36" t="s">
        <v>47</v>
      </c>
      <c r="G36" s="1">
        <v>43673</v>
      </c>
      <c r="H36" t="s">
        <v>281</v>
      </c>
      <c r="I36" t="s">
        <v>282</v>
      </c>
      <c r="J36" t="s">
        <v>63</v>
      </c>
      <c r="K36">
        <v>6777.2293137999905</v>
      </c>
      <c r="L36">
        <v>493</v>
      </c>
      <c r="M36" t="s">
        <v>32</v>
      </c>
      <c r="N36" s="1">
        <v>43685</v>
      </c>
      <c r="O36" t="s">
        <v>87</v>
      </c>
      <c r="P36" t="s">
        <v>24</v>
      </c>
      <c r="Q36">
        <v>12</v>
      </c>
      <c r="T36" s="31" t="s">
        <v>3024</v>
      </c>
      <c r="U36" s="31"/>
    </row>
    <row r="37" spans="1:28" x14ac:dyDescent="0.35">
      <c r="A37" t="s">
        <v>2421</v>
      </c>
      <c r="B37" t="str">
        <f t="shared" si="0"/>
        <v>18-25</v>
      </c>
      <c r="C37">
        <v>23</v>
      </c>
      <c r="D37" t="s">
        <v>16</v>
      </c>
      <c r="E37" t="s">
        <v>27</v>
      </c>
      <c r="F37" t="s">
        <v>47</v>
      </c>
      <c r="G37" s="1">
        <v>43654</v>
      </c>
      <c r="H37" t="s">
        <v>2422</v>
      </c>
      <c r="I37" t="s">
        <v>2423</v>
      </c>
      <c r="J37" t="s">
        <v>21</v>
      </c>
      <c r="K37">
        <v>29222.327183056801</v>
      </c>
      <c r="L37">
        <v>355</v>
      </c>
      <c r="M37" t="s">
        <v>32</v>
      </c>
      <c r="N37" s="1">
        <v>43672</v>
      </c>
      <c r="O37" t="s">
        <v>33</v>
      </c>
      <c r="P37" t="s">
        <v>24</v>
      </c>
      <c r="Q37">
        <v>18</v>
      </c>
      <c r="T37" s="32"/>
      <c r="U37" s="32"/>
    </row>
    <row r="38" spans="1:28" x14ac:dyDescent="0.35">
      <c r="A38" t="s">
        <v>1969</v>
      </c>
      <c r="B38" t="str">
        <f t="shared" si="0"/>
        <v>66-75</v>
      </c>
      <c r="C38">
        <v>69</v>
      </c>
      <c r="D38" t="s">
        <v>26</v>
      </c>
      <c r="E38" t="s">
        <v>232</v>
      </c>
      <c r="F38" t="s">
        <v>47</v>
      </c>
      <c r="G38" s="1">
        <v>44498</v>
      </c>
      <c r="H38" t="s">
        <v>1970</v>
      </c>
      <c r="I38" t="s">
        <v>1971</v>
      </c>
      <c r="J38" t="s">
        <v>54</v>
      </c>
      <c r="K38">
        <v>25646.982769784801</v>
      </c>
      <c r="L38">
        <v>384</v>
      </c>
      <c r="M38" t="s">
        <v>32</v>
      </c>
      <c r="N38" s="1">
        <v>44504</v>
      </c>
      <c r="O38" t="s">
        <v>23</v>
      </c>
      <c r="P38" t="s">
        <v>34</v>
      </c>
      <c r="Q38">
        <v>6</v>
      </c>
      <c r="T38" s="11" t="s">
        <v>3017</v>
      </c>
      <c r="U38" s="10" t="s">
        <v>47</v>
      </c>
      <c r="V38" s="10" t="s">
        <v>28</v>
      </c>
      <c r="W38" s="10" t="s">
        <v>72</v>
      </c>
      <c r="X38" s="10" t="s">
        <v>18</v>
      </c>
      <c r="Y38" s="10" t="s">
        <v>56</v>
      </c>
      <c r="Z38" s="12" t="s">
        <v>37</v>
      </c>
      <c r="AA38" s="13" t="s">
        <v>3018</v>
      </c>
      <c r="AB38" s="14" t="s">
        <v>3020</v>
      </c>
    </row>
    <row r="39" spans="1:28" x14ac:dyDescent="0.35">
      <c r="A39" t="s">
        <v>2756</v>
      </c>
      <c r="B39" t="str">
        <f t="shared" si="0"/>
        <v>46-55</v>
      </c>
      <c r="C39">
        <v>51</v>
      </c>
      <c r="D39" t="s">
        <v>26</v>
      </c>
      <c r="E39" t="s">
        <v>51</v>
      </c>
      <c r="F39" t="s">
        <v>47</v>
      </c>
      <c r="G39" s="1">
        <v>44155</v>
      </c>
      <c r="H39" t="s">
        <v>2757</v>
      </c>
      <c r="I39" t="s">
        <v>2758</v>
      </c>
      <c r="J39" t="s">
        <v>31</v>
      </c>
      <c r="K39">
        <v>42322.889901344803</v>
      </c>
      <c r="L39">
        <v>148</v>
      </c>
      <c r="M39" t="s">
        <v>43</v>
      </c>
      <c r="N39" s="1">
        <v>44161</v>
      </c>
      <c r="O39" t="s">
        <v>23</v>
      </c>
      <c r="P39" t="s">
        <v>24</v>
      </c>
      <c r="Q39">
        <v>6</v>
      </c>
      <c r="T39" s="11" t="s">
        <v>65</v>
      </c>
      <c r="U39" s="11" cm="1">
        <f t="array" ref="U39:Z39">COUNTIFS($E$2:$E$1000,T39,$F$2:$F$1000,$U$38:$Z$38)</f>
        <v>19</v>
      </c>
      <c r="V39" s="11">
        <v>25</v>
      </c>
      <c r="W39" s="11">
        <v>16</v>
      </c>
      <c r="X39" s="11">
        <v>23</v>
      </c>
      <c r="Y39" s="11">
        <v>21</v>
      </c>
      <c r="Z39" s="11">
        <v>18</v>
      </c>
      <c r="AA39">
        <v>25</v>
      </c>
      <c r="AB39">
        <v>18</v>
      </c>
    </row>
    <row r="40" spans="1:28" x14ac:dyDescent="0.35">
      <c r="A40" t="s">
        <v>425</v>
      </c>
      <c r="B40" t="str">
        <f t="shared" si="0"/>
        <v>76-85</v>
      </c>
      <c r="C40">
        <v>79</v>
      </c>
      <c r="D40" t="s">
        <v>16</v>
      </c>
      <c r="E40" t="s">
        <v>17</v>
      </c>
      <c r="F40" t="s">
        <v>47</v>
      </c>
      <c r="G40" s="1">
        <v>44679</v>
      </c>
      <c r="H40" t="s">
        <v>426</v>
      </c>
      <c r="I40" t="s">
        <v>427</v>
      </c>
      <c r="J40" t="s">
        <v>63</v>
      </c>
      <c r="K40">
        <v>44419.9854240887</v>
      </c>
      <c r="L40">
        <v>220</v>
      </c>
      <c r="M40" t="s">
        <v>22</v>
      </c>
      <c r="N40" s="1">
        <v>44701</v>
      </c>
      <c r="O40" t="s">
        <v>50</v>
      </c>
      <c r="P40" t="s">
        <v>34</v>
      </c>
      <c r="Q40">
        <v>22</v>
      </c>
      <c r="T40" s="11" t="s">
        <v>117</v>
      </c>
      <c r="U40" s="11" cm="1">
        <f t="array" ref="U40:Z40">COUNTIFS($E$2:$E$1000,T40,$F$2:$F$1000,$U$38:$Z$38)</f>
        <v>21</v>
      </c>
      <c r="V40" s="11">
        <v>24</v>
      </c>
      <c r="W40" s="11">
        <v>26</v>
      </c>
      <c r="X40" s="11">
        <v>13</v>
      </c>
      <c r="Y40" s="11">
        <v>24</v>
      </c>
      <c r="Z40" s="11">
        <v>18</v>
      </c>
      <c r="AA40">
        <f>MAX(_xlfn.ANCHORARRAY(U40))</f>
        <v>26</v>
      </c>
      <c r="AB40">
        <f>MIN(_xlfn.ANCHORARRAY(U40))</f>
        <v>13</v>
      </c>
    </row>
    <row r="41" spans="1:28" x14ac:dyDescent="0.35">
      <c r="A41" t="s">
        <v>1158</v>
      </c>
      <c r="B41" t="str">
        <f t="shared" si="0"/>
        <v>56-65</v>
      </c>
      <c r="C41">
        <v>57</v>
      </c>
      <c r="D41" t="s">
        <v>26</v>
      </c>
      <c r="E41" t="s">
        <v>232</v>
      </c>
      <c r="F41" t="s">
        <v>47</v>
      </c>
      <c r="G41" s="1">
        <v>45111</v>
      </c>
      <c r="H41" t="s">
        <v>1159</v>
      </c>
      <c r="I41" t="s">
        <v>1160</v>
      </c>
      <c r="J41" t="s">
        <v>59</v>
      </c>
      <c r="K41">
        <v>44019.0774476476</v>
      </c>
      <c r="L41">
        <v>111</v>
      </c>
      <c r="M41" t="s">
        <v>43</v>
      </c>
      <c r="N41" s="1">
        <v>45122</v>
      </c>
      <c r="O41" t="s">
        <v>23</v>
      </c>
      <c r="P41" t="s">
        <v>24</v>
      </c>
      <c r="Q41">
        <v>11</v>
      </c>
      <c r="T41" s="11" t="s">
        <v>51</v>
      </c>
      <c r="U41" s="11" cm="1">
        <f t="array" ref="U41:Z41">COUNTIFS($E$2:$E$1000,T41,$F$2:$F$1000,$U$38:$Z$38)</f>
        <v>27</v>
      </c>
      <c r="V41" s="11">
        <v>18</v>
      </c>
      <c r="W41" s="11">
        <v>24</v>
      </c>
      <c r="X41" s="11">
        <v>21</v>
      </c>
      <c r="Y41" s="11">
        <v>28</v>
      </c>
      <c r="Z41" s="11">
        <v>16</v>
      </c>
      <c r="AA41">
        <f t="shared" ref="AA41:AA46" si="3">MAX(_xlfn.ANCHORARRAY(U41))</f>
        <v>28</v>
      </c>
      <c r="AB41">
        <f t="shared" ref="AB41:AB46" si="4">MIN(_xlfn.ANCHORARRAY(U41))</f>
        <v>16</v>
      </c>
    </row>
    <row r="42" spans="1:28" x14ac:dyDescent="0.35">
      <c r="A42" t="s">
        <v>289</v>
      </c>
      <c r="B42" t="str">
        <f t="shared" si="0"/>
        <v>26-35</v>
      </c>
      <c r="C42">
        <v>34</v>
      </c>
      <c r="D42" t="s">
        <v>26</v>
      </c>
      <c r="E42" t="s">
        <v>51</v>
      </c>
      <c r="F42" t="s">
        <v>47</v>
      </c>
      <c r="G42" s="1">
        <v>45154</v>
      </c>
      <c r="H42" t="s">
        <v>290</v>
      </c>
      <c r="I42" t="s">
        <v>291</v>
      </c>
      <c r="J42" t="s">
        <v>63</v>
      </c>
      <c r="K42">
        <v>26440.396725683899</v>
      </c>
      <c r="L42">
        <v>142</v>
      </c>
      <c r="M42" t="s">
        <v>22</v>
      </c>
      <c r="N42" s="1">
        <v>45184</v>
      </c>
      <c r="O42" t="s">
        <v>33</v>
      </c>
      <c r="P42" t="s">
        <v>45</v>
      </c>
      <c r="Q42">
        <v>30</v>
      </c>
      <c r="T42" s="11" t="s">
        <v>92</v>
      </c>
      <c r="U42" s="11" cm="1">
        <f t="array" ref="U42:Z42">COUNTIFS($E$2:$E$1000,T42,$F$2:$F$1000,$U$38:$Z$38)</f>
        <v>21</v>
      </c>
      <c r="V42" s="11">
        <v>17</v>
      </c>
      <c r="W42" s="11">
        <v>17</v>
      </c>
      <c r="X42" s="11">
        <v>30</v>
      </c>
      <c r="Y42" s="11">
        <v>29</v>
      </c>
      <c r="Z42" s="11">
        <v>25</v>
      </c>
      <c r="AA42">
        <f t="shared" si="3"/>
        <v>30</v>
      </c>
      <c r="AB42">
        <f t="shared" si="4"/>
        <v>17</v>
      </c>
    </row>
    <row r="43" spans="1:28" x14ac:dyDescent="0.35">
      <c r="A43" t="s">
        <v>2075</v>
      </c>
      <c r="B43" t="str">
        <f t="shared" si="0"/>
        <v>36-45</v>
      </c>
      <c r="C43">
        <v>45</v>
      </c>
      <c r="D43" t="s">
        <v>16</v>
      </c>
      <c r="E43" t="s">
        <v>27</v>
      </c>
      <c r="F43" t="s">
        <v>47</v>
      </c>
      <c r="G43" s="1">
        <v>43721</v>
      </c>
      <c r="H43" t="s">
        <v>2076</v>
      </c>
      <c r="I43" t="s">
        <v>2077</v>
      </c>
      <c r="J43" t="s">
        <v>63</v>
      </c>
      <c r="K43">
        <v>25726.2988873088</v>
      </c>
      <c r="L43">
        <v>493</v>
      </c>
      <c r="M43" t="s">
        <v>32</v>
      </c>
      <c r="N43" s="1">
        <v>43728</v>
      </c>
      <c r="O43" t="s">
        <v>87</v>
      </c>
      <c r="P43" t="s">
        <v>24</v>
      </c>
      <c r="Q43">
        <v>7</v>
      </c>
      <c r="T43" s="11" t="s">
        <v>232</v>
      </c>
      <c r="U43" s="11" cm="1">
        <f t="array" ref="U43:Z43">COUNTIFS($E$2:$E$1000,T43,$F$2:$F$1000,$U$38:$Z$38)</f>
        <v>21</v>
      </c>
      <c r="V43" s="11">
        <v>23</v>
      </c>
      <c r="W43" s="11">
        <v>16</v>
      </c>
      <c r="X43" s="11">
        <v>20</v>
      </c>
      <c r="Y43" s="11">
        <v>18</v>
      </c>
      <c r="Z43" s="11">
        <v>16</v>
      </c>
      <c r="AA43">
        <f t="shared" si="3"/>
        <v>23</v>
      </c>
      <c r="AB43">
        <f t="shared" si="4"/>
        <v>16</v>
      </c>
    </row>
    <row r="44" spans="1:28" x14ac:dyDescent="0.35">
      <c r="A44" t="s">
        <v>1856</v>
      </c>
      <c r="B44" t="str">
        <f t="shared" si="0"/>
        <v>76-85</v>
      </c>
      <c r="C44">
        <v>80</v>
      </c>
      <c r="D44" t="s">
        <v>16</v>
      </c>
      <c r="E44" t="s">
        <v>232</v>
      </c>
      <c r="F44" t="s">
        <v>47</v>
      </c>
      <c r="G44" s="1">
        <v>44864</v>
      </c>
      <c r="H44" t="s">
        <v>1857</v>
      </c>
      <c r="I44" t="s">
        <v>1858</v>
      </c>
      <c r="J44" t="s">
        <v>63</v>
      </c>
      <c r="K44">
        <v>40088.251914106397</v>
      </c>
      <c r="L44">
        <v>445</v>
      </c>
      <c r="M44" t="s">
        <v>32</v>
      </c>
      <c r="N44" s="1">
        <v>44889</v>
      </c>
      <c r="O44" t="s">
        <v>33</v>
      </c>
      <c r="P44" t="s">
        <v>45</v>
      </c>
      <c r="Q44">
        <v>25</v>
      </c>
      <c r="T44" s="11" t="s">
        <v>36</v>
      </c>
      <c r="U44" s="11" cm="1">
        <f t="array" ref="U44:Z44">COUNTIFS($E$2:$E$1000,T44,$F$2:$F$1000,$U$38:$Z$38)</f>
        <v>14</v>
      </c>
      <c r="V44" s="11">
        <v>22</v>
      </c>
      <c r="W44" s="11">
        <v>31</v>
      </c>
      <c r="X44" s="11">
        <v>19</v>
      </c>
      <c r="Y44" s="11">
        <v>15</v>
      </c>
      <c r="Z44" s="11">
        <v>23</v>
      </c>
      <c r="AA44">
        <f t="shared" si="3"/>
        <v>31</v>
      </c>
      <c r="AB44">
        <f t="shared" si="4"/>
        <v>14</v>
      </c>
    </row>
    <row r="45" spans="1:28" x14ac:dyDescent="0.35">
      <c r="A45" t="s">
        <v>1295</v>
      </c>
      <c r="B45" t="str">
        <f t="shared" si="0"/>
        <v>26-35</v>
      </c>
      <c r="C45">
        <v>34</v>
      </c>
      <c r="D45" t="s">
        <v>16</v>
      </c>
      <c r="E45" t="s">
        <v>27</v>
      </c>
      <c r="F45" t="s">
        <v>47</v>
      </c>
      <c r="G45" s="1">
        <v>43874</v>
      </c>
      <c r="H45" t="s">
        <v>1296</v>
      </c>
      <c r="I45" t="s">
        <v>1297</v>
      </c>
      <c r="J45" t="s">
        <v>59</v>
      </c>
      <c r="K45">
        <v>19528.401762947698</v>
      </c>
      <c r="L45">
        <v>268</v>
      </c>
      <c r="M45" t="s">
        <v>22</v>
      </c>
      <c r="N45" s="1">
        <v>43881</v>
      </c>
      <c r="O45" t="s">
        <v>44</v>
      </c>
      <c r="P45" t="s">
        <v>24</v>
      </c>
      <c r="Q45">
        <v>7</v>
      </c>
      <c r="T45" s="11" t="s">
        <v>27</v>
      </c>
      <c r="U45" s="11" cm="1">
        <f t="array" ref="U45:Z45">COUNTIFS($E$2:$E$1000,T45,$F$2:$F$1000,$U$38:$Z$38)</f>
        <v>19</v>
      </c>
      <c r="V45" s="11">
        <v>26</v>
      </c>
      <c r="W45" s="11">
        <v>17</v>
      </c>
      <c r="X45" s="11">
        <v>16</v>
      </c>
      <c r="Y45" s="11">
        <v>26</v>
      </c>
      <c r="Z45" s="11">
        <v>17</v>
      </c>
      <c r="AA45">
        <f t="shared" si="3"/>
        <v>26</v>
      </c>
      <c r="AB45">
        <f t="shared" si="4"/>
        <v>16</v>
      </c>
    </row>
    <row r="46" spans="1:28" x14ac:dyDescent="0.35">
      <c r="A46" t="s">
        <v>2184</v>
      </c>
      <c r="B46" t="str">
        <f t="shared" si="0"/>
        <v>76-85</v>
      </c>
      <c r="C46">
        <v>79</v>
      </c>
      <c r="D46" t="s">
        <v>16</v>
      </c>
      <c r="E46" t="s">
        <v>232</v>
      </c>
      <c r="F46" t="s">
        <v>47</v>
      </c>
      <c r="G46" s="1">
        <v>43756</v>
      </c>
      <c r="H46" t="s">
        <v>2185</v>
      </c>
      <c r="I46" t="s">
        <v>2186</v>
      </c>
      <c r="J46" t="s">
        <v>59</v>
      </c>
      <c r="K46">
        <v>45839.002243320101</v>
      </c>
      <c r="L46">
        <v>175</v>
      </c>
      <c r="M46" t="s">
        <v>22</v>
      </c>
      <c r="N46" s="1">
        <v>43760</v>
      </c>
      <c r="O46" t="s">
        <v>87</v>
      </c>
      <c r="P46" t="s">
        <v>45</v>
      </c>
      <c r="Q46">
        <v>4</v>
      </c>
      <c r="T46" s="11" t="s">
        <v>17</v>
      </c>
      <c r="U46" s="11" cm="1">
        <f t="array" ref="U46:Z46">COUNTIFS($E$2:$E$1000,T46,$F$2:$F$1000,$U$38:$Z$38)</f>
        <v>19</v>
      </c>
      <c r="V46" s="11">
        <v>19</v>
      </c>
      <c r="W46" s="11">
        <v>24</v>
      </c>
      <c r="X46" s="11">
        <v>19</v>
      </c>
      <c r="Y46" s="11">
        <v>17</v>
      </c>
      <c r="Z46" s="11">
        <v>21</v>
      </c>
      <c r="AA46">
        <f t="shared" si="3"/>
        <v>24</v>
      </c>
      <c r="AB46">
        <f t="shared" si="4"/>
        <v>17</v>
      </c>
    </row>
    <row r="47" spans="1:28" x14ac:dyDescent="0.35">
      <c r="A47" t="s">
        <v>748</v>
      </c>
      <c r="B47" t="str">
        <f t="shared" si="0"/>
        <v>18-25</v>
      </c>
      <c r="C47">
        <v>25</v>
      </c>
      <c r="D47" t="s">
        <v>16</v>
      </c>
      <c r="E47" t="s">
        <v>117</v>
      </c>
      <c r="F47" t="s">
        <v>47</v>
      </c>
      <c r="G47" s="1">
        <v>44428</v>
      </c>
      <c r="H47" t="s">
        <v>749</v>
      </c>
      <c r="I47" t="s">
        <v>750</v>
      </c>
      <c r="J47" t="s">
        <v>59</v>
      </c>
      <c r="K47">
        <v>36912.1867054697</v>
      </c>
      <c r="L47">
        <v>452</v>
      </c>
      <c r="M47" t="s">
        <v>32</v>
      </c>
      <c r="N47" s="1">
        <v>44440</v>
      </c>
      <c r="O47" t="s">
        <v>33</v>
      </c>
      <c r="P47" t="s">
        <v>34</v>
      </c>
      <c r="Q47">
        <v>12</v>
      </c>
    </row>
    <row r="48" spans="1:28" x14ac:dyDescent="0.35">
      <c r="A48" t="s">
        <v>1812</v>
      </c>
      <c r="B48" t="str">
        <f t="shared" si="0"/>
        <v>56-65</v>
      </c>
      <c r="C48">
        <v>59</v>
      </c>
      <c r="D48" t="s">
        <v>16</v>
      </c>
      <c r="E48" t="s">
        <v>36</v>
      </c>
      <c r="F48" t="s">
        <v>47</v>
      </c>
      <c r="G48" s="1">
        <v>43451</v>
      </c>
      <c r="H48" t="s">
        <v>1813</v>
      </c>
      <c r="I48" t="s">
        <v>1814</v>
      </c>
      <c r="J48" t="s">
        <v>31</v>
      </c>
      <c r="K48">
        <v>14870.6272512614</v>
      </c>
      <c r="L48">
        <v>493</v>
      </c>
      <c r="M48" t="s">
        <v>22</v>
      </c>
      <c r="N48" s="1">
        <v>43477</v>
      </c>
      <c r="O48" t="s">
        <v>50</v>
      </c>
      <c r="P48" t="s">
        <v>24</v>
      </c>
      <c r="Q48">
        <v>26</v>
      </c>
    </row>
    <row r="49" spans="1:36" x14ac:dyDescent="0.35">
      <c r="A49" t="s">
        <v>1087</v>
      </c>
      <c r="B49" t="str">
        <f t="shared" si="0"/>
        <v>66-75</v>
      </c>
      <c r="C49">
        <v>74</v>
      </c>
      <c r="D49" t="s">
        <v>26</v>
      </c>
      <c r="E49" t="s">
        <v>36</v>
      </c>
      <c r="F49" t="s">
        <v>47</v>
      </c>
      <c r="G49" s="1">
        <v>44719</v>
      </c>
      <c r="H49" t="s">
        <v>1088</v>
      </c>
      <c r="I49" t="s">
        <v>1089</v>
      </c>
      <c r="J49" t="s">
        <v>21</v>
      </c>
      <c r="K49">
        <v>29986.1162785856</v>
      </c>
      <c r="L49">
        <v>439</v>
      </c>
      <c r="M49" t="s">
        <v>32</v>
      </c>
      <c r="N49" s="1">
        <v>44722</v>
      </c>
      <c r="O49" t="s">
        <v>50</v>
      </c>
      <c r="P49" t="s">
        <v>24</v>
      </c>
      <c r="Q49">
        <v>3</v>
      </c>
    </row>
    <row r="50" spans="1:36" x14ac:dyDescent="0.35">
      <c r="A50" t="s">
        <v>1420</v>
      </c>
      <c r="B50" t="str">
        <f t="shared" si="0"/>
        <v>76-85</v>
      </c>
      <c r="C50">
        <v>82</v>
      </c>
      <c r="D50" t="s">
        <v>16</v>
      </c>
      <c r="E50" t="s">
        <v>27</v>
      </c>
      <c r="F50" t="s">
        <v>47</v>
      </c>
      <c r="G50" s="1">
        <v>44355</v>
      </c>
      <c r="H50" t="s">
        <v>1421</v>
      </c>
      <c r="I50" t="s">
        <v>1422</v>
      </c>
      <c r="J50" t="s">
        <v>21</v>
      </c>
      <c r="K50">
        <v>31726.597160656602</v>
      </c>
      <c r="L50">
        <v>118</v>
      </c>
      <c r="M50" t="s">
        <v>22</v>
      </c>
      <c r="N50" s="1">
        <v>44381</v>
      </c>
      <c r="O50" t="s">
        <v>50</v>
      </c>
      <c r="P50" t="s">
        <v>45</v>
      </c>
      <c r="Q50">
        <v>26</v>
      </c>
      <c r="U50" s="10"/>
      <c r="V50" s="10"/>
      <c r="W50" s="10"/>
      <c r="X50" s="10"/>
      <c r="Y50" s="10"/>
      <c r="Z50" s="10"/>
    </row>
    <row r="51" spans="1:36" x14ac:dyDescent="0.35">
      <c r="A51" t="s">
        <v>2418</v>
      </c>
      <c r="B51" t="str">
        <f t="shared" si="0"/>
        <v>76-85</v>
      </c>
      <c r="C51">
        <v>76</v>
      </c>
      <c r="D51" t="s">
        <v>16</v>
      </c>
      <c r="E51" t="s">
        <v>92</v>
      </c>
      <c r="F51" t="s">
        <v>47</v>
      </c>
      <c r="G51" s="1">
        <v>44340</v>
      </c>
      <c r="H51" t="s">
        <v>2419</v>
      </c>
      <c r="I51" t="s">
        <v>2420</v>
      </c>
      <c r="J51" t="s">
        <v>31</v>
      </c>
      <c r="K51">
        <v>30732.6983833657</v>
      </c>
      <c r="L51">
        <v>292</v>
      </c>
      <c r="M51" t="s">
        <v>22</v>
      </c>
      <c r="N51" s="1">
        <v>44366</v>
      </c>
      <c r="O51" t="s">
        <v>50</v>
      </c>
      <c r="P51" t="s">
        <v>24</v>
      </c>
      <c r="Q51">
        <v>26</v>
      </c>
    </row>
    <row r="52" spans="1:36" x14ac:dyDescent="0.35">
      <c r="A52" t="s">
        <v>2643</v>
      </c>
      <c r="B52" t="str">
        <f t="shared" si="0"/>
        <v>56-65</v>
      </c>
      <c r="C52">
        <v>56</v>
      </c>
      <c r="D52" t="s">
        <v>26</v>
      </c>
      <c r="E52" t="s">
        <v>65</v>
      </c>
      <c r="F52" t="s">
        <v>47</v>
      </c>
      <c r="G52" s="1">
        <v>45201</v>
      </c>
      <c r="H52" t="s">
        <v>2644</v>
      </c>
      <c r="I52" t="s">
        <v>2645</v>
      </c>
      <c r="J52" t="s">
        <v>54</v>
      </c>
      <c r="K52">
        <v>9305.99996214169</v>
      </c>
      <c r="L52">
        <v>332</v>
      </c>
      <c r="M52" t="s">
        <v>22</v>
      </c>
      <c r="N52" s="1">
        <v>45231</v>
      </c>
      <c r="O52" t="s">
        <v>23</v>
      </c>
      <c r="P52" t="s">
        <v>34</v>
      </c>
      <c r="Q52">
        <v>30</v>
      </c>
    </row>
    <row r="53" spans="1:36" x14ac:dyDescent="0.35">
      <c r="A53" t="s">
        <v>1818</v>
      </c>
      <c r="B53" t="str">
        <f t="shared" si="0"/>
        <v>76-85</v>
      </c>
      <c r="C53">
        <v>80</v>
      </c>
      <c r="D53" t="s">
        <v>16</v>
      </c>
      <c r="E53" t="s">
        <v>117</v>
      </c>
      <c r="F53" t="s">
        <v>47</v>
      </c>
      <c r="G53" s="1">
        <v>44057</v>
      </c>
      <c r="H53" t="s">
        <v>1819</v>
      </c>
      <c r="I53" t="s">
        <v>1820</v>
      </c>
      <c r="J53" t="s">
        <v>59</v>
      </c>
      <c r="K53">
        <v>17171.201075165602</v>
      </c>
      <c r="L53">
        <v>471</v>
      </c>
      <c r="M53" t="s">
        <v>32</v>
      </c>
      <c r="N53" s="1">
        <v>44081</v>
      </c>
      <c r="O53" t="s">
        <v>23</v>
      </c>
      <c r="P53" t="s">
        <v>34</v>
      </c>
      <c r="Q53">
        <v>24</v>
      </c>
      <c r="S53" s="11" t="s">
        <v>4</v>
      </c>
      <c r="T53" s="11" t="s">
        <v>65</v>
      </c>
      <c r="U53" s="11" t="s">
        <v>117</v>
      </c>
      <c r="V53" s="11" t="s">
        <v>51</v>
      </c>
      <c r="W53" s="11" t="s">
        <v>92</v>
      </c>
      <c r="X53" s="11" t="s">
        <v>232</v>
      </c>
      <c r="Y53" s="11" t="s">
        <v>36</v>
      </c>
      <c r="Z53" s="11" t="s">
        <v>27</v>
      </c>
      <c r="AA53" s="11" t="s">
        <v>17</v>
      </c>
      <c r="AC53" s="28" t="s">
        <v>3025</v>
      </c>
      <c r="AD53" s="28" t="s">
        <v>3026</v>
      </c>
    </row>
    <row r="54" spans="1:36" x14ac:dyDescent="0.35">
      <c r="A54" t="s">
        <v>2424</v>
      </c>
      <c r="B54" t="str">
        <f t="shared" si="0"/>
        <v>26-35</v>
      </c>
      <c r="C54">
        <v>26</v>
      </c>
      <c r="D54" t="s">
        <v>16</v>
      </c>
      <c r="E54" t="s">
        <v>27</v>
      </c>
      <c r="F54" t="s">
        <v>47</v>
      </c>
      <c r="G54" s="1">
        <v>44007</v>
      </c>
      <c r="H54" t="s">
        <v>2425</v>
      </c>
      <c r="I54" t="s">
        <v>2144</v>
      </c>
      <c r="J54" t="s">
        <v>59</v>
      </c>
      <c r="K54">
        <v>39541.663943074498</v>
      </c>
      <c r="L54">
        <v>351</v>
      </c>
      <c r="M54" t="s">
        <v>32</v>
      </c>
      <c r="N54" s="1">
        <v>44023</v>
      </c>
      <c r="O54" t="s">
        <v>87</v>
      </c>
      <c r="P54" t="s">
        <v>34</v>
      </c>
      <c r="Q54">
        <v>16</v>
      </c>
      <c r="S54" s="10" t="s">
        <v>47</v>
      </c>
      <c r="T54" s="11" cm="1">
        <f t="array" ref="T54:T59">COUNTIFS($E$2:$E$1000,T53,$F$2:$F$1000,$S$54:$S$59)</f>
        <v>19</v>
      </c>
      <c r="U54" s="11" cm="1">
        <f t="array" ref="U54:U59">COUNTIFS($E$2:$E$1000,U53,$F$2:$F$1000,$S$54:$S$59)</f>
        <v>21</v>
      </c>
      <c r="V54" s="11" cm="1">
        <f t="array" ref="V54:V59">COUNTIFS($E$2:$E$1000,V53,$F$2:$F$1000,$S$54:$S$59)</f>
        <v>27</v>
      </c>
      <c r="W54" s="11" cm="1">
        <f t="array" ref="W54:W59">COUNTIFS($E$2:$E$1000,W53,$F$2:$F$1000,$S$54:$S$59)</f>
        <v>21</v>
      </c>
      <c r="X54" s="11" cm="1">
        <f t="array" ref="X54:X59">COUNTIFS($E$2:$E$1000,X53,$F$2:$F$1000,$S$54:$S$59)</f>
        <v>21</v>
      </c>
      <c r="Y54" s="11" cm="1">
        <f t="array" ref="Y54:Y59">COUNTIFS($E$2:$E$1000,Y53,$F$2:$F$1000,$S$54:$S$59)</f>
        <v>14</v>
      </c>
      <c r="Z54" s="11" cm="1">
        <f t="array" ref="Z54:Z59">COUNTIFS($E$2:$E$1000,Z53,$F$2:$F$1000,$S$54:$S$59)</f>
        <v>19</v>
      </c>
      <c r="AA54" s="11" cm="1">
        <f t="array" ref="AA54:AA59">COUNTIFS($E$2:$E$1000,AA53,$F$2:$F$1000,$S$54:$S$59)</f>
        <v>19</v>
      </c>
      <c r="AC54" t="e">
        <f t="shared" ref="AC54:AJ54" si="5">IF(T54=MAX($T$54:$AA$54),T54,NA())</f>
        <v>#N/A</v>
      </c>
      <c r="AD54" t="e">
        <f t="shared" si="5"/>
        <v>#N/A</v>
      </c>
      <c r="AE54">
        <f t="shared" si="5"/>
        <v>27</v>
      </c>
      <c r="AF54" t="e">
        <f t="shared" si="5"/>
        <v>#N/A</v>
      </c>
      <c r="AG54" t="e">
        <f t="shared" si="5"/>
        <v>#N/A</v>
      </c>
      <c r="AH54" t="e">
        <f t="shared" si="5"/>
        <v>#N/A</v>
      </c>
      <c r="AI54" t="e">
        <f t="shared" si="5"/>
        <v>#N/A</v>
      </c>
      <c r="AJ54" t="e">
        <f t="shared" si="5"/>
        <v>#N/A</v>
      </c>
    </row>
    <row r="55" spans="1:36" x14ac:dyDescent="0.35">
      <c r="A55" t="s">
        <v>634</v>
      </c>
      <c r="B55" t="str">
        <f t="shared" si="0"/>
        <v>26-35</v>
      </c>
      <c r="C55">
        <v>35</v>
      </c>
      <c r="D55" t="s">
        <v>26</v>
      </c>
      <c r="E55" t="s">
        <v>65</v>
      </c>
      <c r="F55" t="s">
        <v>47</v>
      </c>
      <c r="G55" s="1">
        <v>44349</v>
      </c>
      <c r="H55" t="s">
        <v>635</v>
      </c>
      <c r="I55" t="s">
        <v>636</v>
      </c>
      <c r="J55" t="s">
        <v>63</v>
      </c>
      <c r="K55">
        <v>5516.7041853713999</v>
      </c>
      <c r="L55">
        <v>155</v>
      </c>
      <c r="M55" t="s">
        <v>43</v>
      </c>
      <c r="N55" s="1">
        <v>44361</v>
      </c>
      <c r="O55" t="s">
        <v>23</v>
      </c>
      <c r="P55" t="s">
        <v>45</v>
      </c>
      <c r="Q55">
        <v>12</v>
      </c>
      <c r="S55" s="10" t="s">
        <v>28</v>
      </c>
      <c r="T55" s="11">
        <v>25</v>
      </c>
      <c r="U55" s="11">
        <v>24</v>
      </c>
      <c r="V55" s="11">
        <v>18</v>
      </c>
      <c r="W55" s="11">
        <v>17</v>
      </c>
      <c r="X55" s="11">
        <v>23</v>
      </c>
      <c r="Y55" s="11">
        <v>22</v>
      </c>
      <c r="Z55" s="11">
        <v>26</v>
      </c>
      <c r="AA55" s="11">
        <v>19</v>
      </c>
      <c r="AC55" t="e">
        <f t="shared" ref="AC55:AJ55" si="6">IF(T55=MAX($T$55:$AA$55),T55,NA())</f>
        <v>#N/A</v>
      </c>
      <c r="AD55" t="e">
        <f t="shared" si="6"/>
        <v>#N/A</v>
      </c>
      <c r="AE55" t="e">
        <f t="shared" si="6"/>
        <v>#N/A</v>
      </c>
      <c r="AF55" t="e">
        <f t="shared" si="6"/>
        <v>#N/A</v>
      </c>
      <c r="AG55" t="e">
        <f t="shared" si="6"/>
        <v>#N/A</v>
      </c>
      <c r="AH55" t="e">
        <f t="shared" si="6"/>
        <v>#N/A</v>
      </c>
      <c r="AI55">
        <f t="shared" si="6"/>
        <v>26</v>
      </c>
      <c r="AJ55" t="e">
        <f t="shared" si="6"/>
        <v>#N/A</v>
      </c>
    </row>
    <row r="56" spans="1:36" x14ac:dyDescent="0.35">
      <c r="A56" t="s">
        <v>1008</v>
      </c>
      <c r="B56" t="str">
        <f t="shared" si="0"/>
        <v>26-35</v>
      </c>
      <c r="C56">
        <v>32</v>
      </c>
      <c r="D56" t="s">
        <v>16</v>
      </c>
      <c r="E56" t="s">
        <v>92</v>
      </c>
      <c r="F56" t="s">
        <v>47</v>
      </c>
      <c r="G56" s="1">
        <v>44979</v>
      </c>
      <c r="H56" t="s">
        <v>1009</v>
      </c>
      <c r="I56" t="s">
        <v>1010</v>
      </c>
      <c r="J56" t="s">
        <v>21</v>
      </c>
      <c r="K56">
        <v>21859.773421427199</v>
      </c>
      <c r="L56">
        <v>207</v>
      </c>
      <c r="M56" t="s">
        <v>43</v>
      </c>
      <c r="N56" s="1">
        <v>45003</v>
      </c>
      <c r="O56" t="s">
        <v>33</v>
      </c>
      <c r="P56" t="s">
        <v>34</v>
      </c>
      <c r="Q56">
        <v>24</v>
      </c>
      <c r="S56" s="10" t="s">
        <v>72</v>
      </c>
      <c r="T56" s="11">
        <v>16</v>
      </c>
      <c r="U56" s="11">
        <v>26</v>
      </c>
      <c r="V56" s="11">
        <v>24</v>
      </c>
      <c r="W56" s="11">
        <v>17</v>
      </c>
      <c r="X56" s="11">
        <v>16</v>
      </c>
      <c r="Y56" s="11">
        <v>31</v>
      </c>
      <c r="Z56" s="11">
        <v>17</v>
      </c>
      <c r="AA56" s="11">
        <v>24</v>
      </c>
      <c r="AC56">
        <f t="shared" ref="AC56:AJ56" si="7">IF(T56=MIN($T$56:$AA$56),T56,NA())</f>
        <v>16</v>
      </c>
      <c r="AD56" t="e">
        <f t="shared" si="7"/>
        <v>#N/A</v>
      </c>
      <c r="AE56" t="e">
        <f t="shared" si="7"/>
        <v>#N/A</v>
      </c>
      <c r="AF56" t="e">
        <f t="shared" si="7"/>
        <v>#N/A</v>
      </c>
      <c r="AG56">
        <f t="shared" si="7"/>
        <v>16</v>
      </c>
      <c r="AH56" t="e">
        <f t="shared" si="7"/>
        <v>#N/A</v>
      </c>
      <c r="AI56" t="e">
        <f t="shared" si="7"/>
        <v>#N/A</v>
      </c>
      <c r="AJ56" t="e">
        <f t="shared" si="7"/>
        <v>#N/A</v>
      </c>
    </row>
    <row r="57" spans="1:36" x14ac:dyDescent="0.35">
      <c r="A57" t="s">
        <v>1238</v>
      </c>
      <c r="B57" t="str">
        <f t="shared" si="0"/>
        <v>66-75</v>
      </c>
      <c r="C57">
        <v>71</v>
      </c>
      <c r="D57" t="s">
        <v>26</v>
      </c>
      <c r="E57" t="s">
        <v>117</v>
      </c>
      <c r="F57" t="s">
        <v>47</v>
      </c>
      <c r="G57" s="1">
        <v>44428</v>
      </c>
      <c r="H57" t="s">
        <v>1239</v>
      </c>
      <c r="I57" t="s">
        <v>1240</v>
      </c>
      <c r="J57" t="s">
        <v>54</v>
      </c>
      <c r="K57">
        <v>29285.344053736499</v>
      </c>
      <c r="L57">
        <v>162</v>
      </c>
      <c r="M57" t="s">
        <v>32</v>
      </c>
      <c r="N57" s="1">
        <v>44454</v>
      </c>
      <c r="O57" t="s">
        <v>23</v>
      </c>
      <c r="P57" t="s">
        <v>45</v>
      </c>
      <c r="Q57">
        <v>26</v>
      </c>
      <c r="S57" s="10" t="s">
        <v>18</v>
      </c>
      <c r="T57" s="11">
        <v>23</v>
      </c>
      <c r="U57" s="11">
        <v>13</v>
      </c>
      <c r="V57" s="11">
        <v>21</v>
      </c>
      <c r="W57" s="11">
        <v>30</v>
      </c>
      <c r="X57" s="11">
        <v>20</v>
      </c>
      <c r="Y57" s="11">
        <v>19</v>
      </c>
      <c r="Z57" s="11">
        <v>16</v>
      </c>
      <c r="AA57" s="11">
        <v>19</v>
      </c>
      <c r="AC57" t="str">
        <f t="shared" ref="AC57:AJ57" si="8">IF(T57=MAX($T$57:$AA$57),T57,"")</f>
        <v/>
      </c>
      <c r="AD57" t="str">
        <f t="shared" si="8"/>
        <v/>
      </c>
      <c r="AE57" t="str">
        <f t="shared" si="8"/>
        <v/>
      </c>
      <c r="AF57">
        <f t="shared" si="8"/>
        <v>30</v>
      </c>
      <c r="AG57" t="str">
        <f t="shared" si="8"/>
        <v/>
      </c>
      <c r="AH57" t="str">
        <f t="shared" si="8"/>
        <v/>
      </c>
      <c r="AI57" t="str">
        <f t="shared" si="8"/>
        <v/>
      </c>
      <c r="AJ57" t="str">
        <f t="shared" si="8"/>
        <v/>
      </c>
    </row>
    <row r="58" spans="1:36" x14ac:dyDescent="0.35">
      <c r="A58" t="s">
        <v>455</v>
      </c>
      <c r="B58" t="str">
        <f t="shared" si="0"/>
        <v>56-65</v>
      </c>
      <c r="C58">
        <v>59</v>
      </c>
      <c r="D58" t="s">
        <v>16</v>
      </c>
      <c r="E58" t="s">
        <v>27</v>
      </c>
      <c r="F58" t="s">
        <v>47</v>
      </c>
      <c r="G58" s="1">
        <v>44063</v>
      </c>
      <c r="H58" t="s">
        <v>456</v>
      </c>
      <c r="I58" t="s">
        <v>457</v>
      </c>
      <c r="J58" t="s">
        <v>31</v>
      </c>
      <c r="K58">
        <v>31644.800997890699</v>
      </c>
      <c r="L58">
        <v>336</v>
      </c>
      <c r="M58" t="s">
        <v>32</v>
      </c>
      <c r="N58" s="1">
        <v>44065</v>
      </c>
      <c r="O58" t="s">
        <v>87</v>
      </c>
      <c r="P58" t="s">
        <v>34</v>
      </c>
      <c r="Q58">
        <v>2</v>
      </c>
      <c r="S58" s="10" t="s">
        <v>56</v>
      </c>
      <c r="T58" s="11">
        <v>21</v>
      </c>
      <c r="U58" s="11">
        <v>24</v>
      </c>
      <c r="V58" s="11">
        <v>28</v>
      </c>
      <c r="W58" s="11">
        <v>29</v>
      </c>
      <c r="X58" s="11">
        <v>18</v>
      </c>
      <c r="Y58" s="11">
        <v>15</v>
      </c>
      <c r="Z58" s="11">
        <v>26</v>
      </c>
      <c r="AA58" s="11">
        <v>17</v>
      </c>
      <c r="AC58" t="str">
        <f t="shared" ref="AC58:AJ58" si="9">IF(T58=MAX($T$58:$AA$58),T58,"")</f>
        <v/>
      </c>
      <c r="AD58" t="str">
        <f t="shared" si="9"/>
        <v/>
      </c>
      <c r="AE58" t="str">
        <f t="shared" si="9"/>
        <v/>
      </c>
      <c r="AF58">
        <f t="shared" si="9"/>
        <v>29</v>
      </c>
      <c r="AG58" t="str">
        <f t="shared" si="9"/>
        <v/>
      </c>
      <c r="AH58" t="str">
        <f t="shared" si="9"/>
        <v/>
      </c>
      <c r="AI58" t="str">
        <f t="shared" si="9"/>
        <v/>
      </c>
      <c r="AJ58" t="str">
        <f t="shared" si="9"/>
        <v/>
      </c>
    </row>
    <row r="59" spans="1:36" x14ac:dyDescent="0.35">
      <c r="A59" t="s">
        <v>440</v>
      </c>
      <c r="B59" t="str">
        <f t="shared" si="0"/>
        <v>66-75</v>
      </c>
      <c r="C59">
        <v>71</v>
      </c>
      <c r="D59" t="s">
        <v>26</v>
      </c>
      <c r="E59" t="s">
        <v>117</v>
      </c>
      <c r="F59" t="s">
        <v>47</v>
      </c>
      <c r="G59" s="1">
        <v>44896</v>
      </c>
      <c r="H59" t="s">
        <v>441</v>
      </c>
      <c r="I59" t="s">
        <v>442</v>
      </c>
      <c r="J59" t="s">
        <v>54</v>
      </c>
      <c r="K59">
        <v>42968.272698491099</v>
      </c>
      <c r="L59">
        <v>401</v>
      </c>
      <c r="M59" t="s">
        <v>32</v>
      </c>
      <c r="N59" s="1">
        <v>44899</v>
      </c>
      <c r="O59" t="s">
        <v>87</v>
      </c>
      <c r="P59" t="s">
        <v>34</v>
      </c>
      <c r="Q59">
        <v>3</v>
      </c>
      <c r="S59" s="12" t="s">
        <v>37</v>
      </c>
      <c r="T59" s="11">
        <v>18</v>
      </c>
      <c r="U59" s="11">
        <v>18</v>
      </c>
      <c r="V59" s="11">
        <v>16</v>
      </c>
      <c r="W59" s="11">
        <v>25</v>
      </c>
      <c r="X59" s="11">
        <v>16</v>
      </c>
      <c r="Y59" s="11">
        <v>23</v>
      </c>
      <c r="Z59" s="11">
        <v>17</v>
      </c>
      <c r="AA59" s="11">
        <v>21</v>
      </c>
      <c r="AC59" t="str">
        <f t="shared" ref="AC59:AJ59" si="10">IF(T59=MAX($T$59:$AA$59),T59,"")</f>
        <v/>
      </c>
      <c r="AD59" t="str">
        <f t="shared" si="10"/>
        <v/>
      </c>
      <c r="AE59" t="str">
        <f t="shared" si="10"/>
        <v/>
      </c>
      <c r="AF59">
        <f t="shared" si="10"/>
        <v>25</v>
      </c>
      <c r="AG59" t="str">
        <f t="shared" si="10"/>
        <v/>
      </c>
      <c r="AH59" t="str">
        <f t="shared" si="10"/>
        <v/>
      </c>
      <c r="AI59" t="str">
        <f t="shared" si="10"/>
        <v/>
      </c>
      <c r="AJ59" t="str">
        <f t="shared" si="10"/>
        <v/>
      </c>
    </row>
    <row r="60" spans="1:36" x14ac:dyDescent="0.35">
      <c r="A60" t="s">
        <v>2214</v>
      </c>
      <c r="B60" t="str">
        <f t="shared" si="0"/>
        <v>56-65</v>
      </c>
      <c r="C60">
        <v>62</v>
      </c>
      <c r="D60" t="s">
        <v>16</v>
      </c>
      <c r="E60" t="s">
        <v>27</v>
      </c>
      <c r="F60" t="s">
        <v>47</v>
      </c>
      <c r="G60" s="1">
        <v>44009</v>
      </c>
      <c r="H60" t="s">
        <v>2215</v>
      </c>
      <c r="I60" t="s">
        <v>2216</v>
      </c>
      <c r="J60" t="s">
        <v>54</v>
      </c>
      <c r="K60">
        <v>25489.361897336799</v>
      </c>
      <c r="L60">
        <v>430</v>
      </c>
      <c r="M60" t="s">
        <v>32</v>
      </c>
      <c r="N60" s="1">
        <v>44021</v>
      </c>
      <c r="O60" t="s">
        <v>87</v>
      </c>
      <c r="P60" t="s">
        <v>34</v>
      </c>
      <c r="Q60">
        <v>12</v>
      </c>
    </row>
    <row r="61" spans="1:36" x14ac:dyDescent="0.35">
      <c r="A61" t="s">
        <v>327</v>
      </c>
      <c r="B61" t="str">
        <f t="shared" si="0"/>
        <v>76-85</v>
      </c>
      <c r="C61">
        <v>81</v>
      </c>
      <c r="D61" t="s">
        <v>16</v>
      </c>
      <c r="E61" t="s">
        <v>51</v>
      </c>
      <c r="F61" t="s">
        <v>47</v>
      </c>
      <c r="G61" s="1">
        <v>43422</v>
      </c>
      <c r="H61" t="s">
        <v>328</v>
      </c>
      <c r="I61" t="s">
        <v>329</v>
      </c>
      <c r="J61" t="s">
        <v>59</v>
      </c>
      <c r="K61">
        <v>5092.74967506549</v>
      </c>
      <c r="L61">
        <v>182</v>
      </c>
      <c r="M61" t="s">
        <v>43</v>
      </c>
      <c r="N61" s="1">
        <v>43442</v>
      </c>
      <c r="O61" t="s">
        <v>23</v>
      </c>
      <c r="P61" t="s">
        <v>24</v>
      </c>
      <c r="Q61">
        <v>20</v>
      </c>
    </row>
    <row r="62" spans="1:36" x14ac:dyDescent="0.35">
      <c r="A62" t="s">
        <v>2506</v>
      </c>
      <c r="B62" t="str">
        <f t="shared" si="0"/>
        <v>56-65</v>
      </c>
      <c r="C62">
        <v>63</v>
      </c>
      <c r="D62" t="s">
        <v>16</v>
      </c>
      <c r="E62" t="s">
        <v>117</v>
      </c>
      <c r="F62" t="s">
        <v>47</v>
      </c>
      <c r="G62" s="1">
        <v>45026</v>
      </c>
      <c r="H62" t="s">
        <v>2507</v>
      </c>
      <c r="I62" t="s">
        <v>2508</v>
      </c>
      <c r="J62" t="s">
        <v>63</v>
      </c>
      <c r="K62">
        <v>23210.812334885301</v>
      </c>
      <c r="L62">
        <v>443</v>
      </c>
      <c r="M62" t="s">
        <v>43</v>
      </c>
      <c r="N62" s="1">
        <v>45041</v>
      </c>
      <c r="O62" t="s">
        <v>50</v>
      </c>
      <c r="P62" t="s">
        <v>45</v>
      </c>
      <c r="Q62">
        <v>15</v>
      </c>
    </row>
    <row r="63" spans="1:36" x14ac:dyDescent="0.35">
      <c r="A63" t="s">
        <v>822</v>
      </c>
      <c r="B63" t="str">
        <f t="shared" si="0"/>
        <v>66-75</v>
      </c>
      <c r="C63">
        <v>70</v>
      </c>
      <c r="D63" t="s">
        <v>26</v>
      </c>
      <c r="E63" t="s">
        <v>92</v>
      </c>
      <c r="F63" t="s">
        <v>47</v>
      </c>
      <c r="G63" s="1">
        <v>44174</v>
      </c>
      <c r="H63" t="s">
        <v>823</v>
      </c>
      <c r="I63" t="s">
        <v>824</v>
      </c>
      <c r="J63" t="s">
        <v>54</v>
      </c>
      <c r="K63">
        <v>22815.891209293699</v>
      </c>
      <c r="L63">
        <v>478</v>
      </c>
      <c r="M63" t="s">
        <v>43</v>
      </c>
      <c r="N63" s="1">
        <v>44182</v>
      </c>
      <c r="O63" t="s">
        <v>33</v>
      </c>
      <c r="P63" t="s">
        <v>45</v>
      </c>
      <c r="Q63">
        <v>8</v>
      </c>
    </row>
    <row r="64" spans="1:36" x14ac:dyDescent="0.35">
      <c r="A64" t="s">
        <v>2260</v>
      </c>
      <c r="B64" t="str">
        <f t="shared" si="0"/>
        <v>36-45</v>
      </c>
      <c r="C64">
        <v>36</v>
      </c>
      <c r="D64" t="s">
        <v>26</v>
      </c>
      <c r="E64" t="s">
        <v>51</v>
      </c>
      <c r="F64" t="s">
        <v>47</v>
      </c>
      <c r="G64" s="1">
        <v>44999</v>
      </c>
      <c r="H64" t="s">
        <v>2261</v>
      </c>
      <c r="I64" t="s">
        <v>2262</v>
      </c>
      <c r="J64" t="s">
        <v>54</v>
      </c>
      <c r="K64">
        <v>24428.301687721101</v>
      </c>
      <c r="L64">
        <v>470</v>
      </c>
      <c r="M64" t="s">
        <v>22</v>
      </c>
      <c r="N64" s="1">
        <v>45019</v>
      </c>
      <c r="O64" t="s">
        <v>33</v>
      </c>
      <c r="P64" t="s">
        <v>45</v>
      </c>
      <c r="Q64">
        <v>20</v>
      </c>
    </row>
    <row r="65" spans="1:17" x14ac:dyDescent="0.35">
      <c r="A65" t="s">
        <v>2661</v>
      </c>
      <c r="B65" t="str">
        <f t="shared" si="0"/>
        <v>76-85</v>
      </c>
      <c r="C65">
        <v>80</v>
      </c>
      <c r="D65" t="s">
        <v>16</v>
      </c>
      <c r="E65" t="s">
        <v>65</v>
      </c>
      <c r="F65" t="s">
        <v>47</v>
      </c>
      <c r="G65" s="1">
        <v>44303</v>
      </c>
      <c r="H65" t="s">
        <v>2662</v>
      </c>
      <c r="I65" t="s">
        <v>2663</v>
      </c>
      <c r="J65" t="s">
        <v>31</v>
      </c>
      <c r="K65">
        <v>30101.6790072941</v>
      </c>
      <c r="L65">
        <v>269</v>
      </c>
      <c r="M65" t="s">
        <v>43</v>
      </c>
      <c r="N65" s="1">
        <v>44319</v>
      </c>
      <c r="O65" t="s">
        <v>23</v>
      </c>
      <c r="P65" t="s">
        <v>24</v>
      </c>
      <c r="Q65">
        <v>16</v>
      </c>
    </row>
    <row r="66" spans="1:17" x14ac:dyDescent="0.35">
      <c r="A66" t="s">
        <v>1571</v>
      </c>
      <c r="B66" t="str">
        <f t="shared" si="0"/>
        <v>56-65</v>
      </c>
      <c r="C66">
        <v>58</v>
      </c>
      <c r="D66" t="s">
        <v>16</v>
      </c>
      <c r="E66" t="s">
        <v>117</v>
      </c>
      <c r="F66" t="s">
        <v>47</v>
      </c>
      <c r="G66" s="1">
        <v>43693</v>
      </c>
      <c r="H66" t="s">
        <v>175</v>
      </c>
      <c r="I66" t="s">
        <v>1572</v>
      </c>
      <c r="J66" t="s">
        <v>21</v>
      </c>
      <c r="K66">
        <v>26925.895178152899</v>
      </c>
      <c r="L66">
        <v>266</v>
      </c>
      <c r="M66" t="s">
        <v>22</v>
      </c>
      <c r="N66" s="1">
        <v>43720</v>
      </c>
      <c r="O66" t="s">
        <v>44</v>
      </c>
      <c r="P66" t="s">
        <v>24</v>
      </c>
      <c r="Q66">
        <v>27</v>
      </c>
    </row>
    <row r="67" spans="1:17" x14ac:dyDescent="0.35">
      <c r="A67" t="s">
        <v>324</v>
      </c>
      <c r="B67" t="str">
        <f t="shared" ref="B67:B81" si="11">VLOOKUP(C67,$T$3:$U$9,2,TRUE)</f>
        <v>76-85</v>
      </c>
      <c r="C67">
        <v>80</v>
      </c>
      <c r="D67" t="s">
        <v>16</v>
      </c>
      <c r="E67" t="s">
        <v>232</v>
      </c>
      <c r="F67" t="s">
        <v>47</v>
      </c>
      <c r="G67" s="1">
        <v>44283</v>
      </c>
      <c r="H67" t="s">
        <v>325</v>
      </c>
      <c r="I67" t="s">
        <v>326</v>
      </c>
      <c r="J67" t="s">
        <v>31</v>
      </c>
      <c r="K67">
        <v>13073.288022564</v>
      </c>
      <c r="L67">
        <v>268</v>
      </c>
      <c r="M67" t="s">
        <v>32</v>
      </c>
      <c r="N67" s="1">
        <v>44292</v>
      </c>
      <c r="O67" t="s">
        <v>44</v>
      </c>
      <c r="P67" t="s">
        <v>34</v>
      </c>
      <c r="Q67">
        <v>9</v>
      </c>
    </row>
    <row r="68" spans="1:17" x14ac:dyDescent="0.35">
      <c r="A68" t="s">
        <v>306</v>
      </c>
      <c r="B68" t="str">
        <f t="shared" si="11"/>
        <v>66-75</v>
      </c>
      <c r="C68">
        <v>73</v>
      </c>
      <c r="D68" t="s">
        <v>26</v>
      </c>
      <c r="E68" t="s">
        <v>36</v>
      </c>
      <c r="F68" t="s">
        <v>47</v>
      </c>
      <c r="G68" s="1">
        <v>43759</v>
      </c>
      <c r="H68" t="s">
        <v>307</v>
      </c>
      <c r="I68" t="s">
        <v>308</v>
      </c>
      <c r="J68" t="s">
        <v>59</v>
      </c>
      <c r="K68">
        <v>17241.116362635599</v>
      </c>
      <c r="L68">
        <v>347</v>
      </c>
      <c r="M68" t="s">
        <v>43</v>
      </c>
      <c r="N68" s="1">
        <v>43760</v>
      </c>
      <c r="O68" t="s">
        <v>33</v>
      </c>
      <c r="P68" t="s">
        <v>45</v>
      </c>
      <c r="Q68">
        <v>1</v>
      </c>
    </row>
    <row r="69" spans="1:17" x14ac:dyDescent="0.35">
      <c r="A69" t="s">
        <v>2727</v>
      </c>
      <c r="B69" t="str">
        <f t="shared" si="11"/>
        <v>76-85</v>
      </c>
      <c r="C69">
        <v>82</v>
      </c>
      <c r="D69" t="s">
        <v>16</v>
      </c>
      <c r="E69" t="s">
        <v>232</v>
      </c>
      <c r="F69" t="s">
        <v>47</v>
      </c>
      <c r="G69" s="1">
        <v>44481</v>
      </c>
      <c r="H69" t="s">
        <v>2728</v>
      </c>
      <c r="I69" t="s">
        <v>606</v>
      </c>
      <c r="J69" t="s">
        <v>59</v>
      </c>
      <c r="K69">
        <v>14083.523234672901</v>
      </c>
      <c r="L69">
        <v>443</v>
      </c>
      <c r="M69" t="s">
        <v>43</v>
      </c>
      <c r="N69" s="1">
        <v>44503</v>
      </c>
      <c r="O69" t="s">
        <v>23</v>
      </c>
      <c r="P69" t="s">
        <v>24</v>
      </c>
      <c r="Q69">
        <v>22</v>
      </c>
    </row>
    <row r="70" spans="1:17" x14ac:dyDescent="0.35">
      <c r="A70" t="s">
        <v>760</v>
      </c>
      <c r="B70" t="str">
        <f t="shared" si="11"/>
        <v>36-45</v>
      </c>
      <c r="C70">
        <v>45</v>
      </c>
      <c r="D70" t="s">
        <v>16</v>
      </c>
      <c r="E70" t="s">
        <v>92</v>
      </c>
      <c r="F70" t="s">
        <v>47</v>
      </c>
      <c r="G70" s="1">
        <v>44772</v>
      </c>
      <c r="H70" t="s">
        <v>761</v>
      </c>
      <c r="I70" t="s">
        <v>762</v>
      </c>
      <c r="J70" t="s">
        <v>63</v>
      </c>
      <c r="K70">
        <v>48047.652589528203</v>
      </c>
      <c r="L70">
        <v>414</v>
      </c>
      <c r="M70" t="s">
        <v>43</v>
      </c>
      <c r="N70" s="1">
        <v>44786</v>
      </c>
      <c r="O70" t="s">
        <v>50</v>
      </c>
      <c r="P70" t="s">
        <v>24</v>
      </c>
      <c r="Q70">
        <v>14</v>
      </c>
    </row>
    <row r="71" spans="1:17" x14ac:dyDescent="0.35">
      <c r="A71" t="s">
        <v>1122</v>
      </c>
      <c r="B71" t="str">
        <f t="shared" si="11"/>
        <v>76-85</v>
      </c>
      <c r="C71">
        <v>84</v>
      </c>
      <c r="D71" t="s">
        <v>16</v>
      </c>
      <c r="E71" t="s">
        <v>17</v>
      </c>
      <c r="F71" t="s">
        <v>47</v>
      </c>
      <c r="G71" s="1">
        <v>44515</v>
      </c>
      <c r="H71" t="s">
        <v>1123</v>
      </c>
      <c r="I71" t="s">
        <v>1124</v>
      </c>
      <c r="J71" t="s">
        <v>54</v>
      </c>
      <c r="K71">
        <v>20846.383322027901</v>
      </c>
      <c r="L71">
        <v>407</v>
      </c>
      <c r="M71" t="s">
        <v>22</v>
      </c>
      <c r="N71" s="1">
        <v>44521</v>
      </c>
      <c r="O71" t="s">
        <v>50</v>
      </c>
      <c r="P71" t="s">
        <v>34</v>
      </c>
      <c r="Q71">
        <v>6</v>
      </c>
    </row>
    <row r="72" spans="1:17" x14ac:dyDescent="0.35">
      <c r="A72" t="s">
        <v>1486</v>
      </c>
      <c r="B72" t="str">
        <f t="shared" si="11"/>
        <v>56-65</v>
      </c>
      <c r="C72">
        <v>60</v>
      </c>
      <c r="D72" t="s">
        <v>26</v>
      </c>
      <c r="E72" t="s">
        <v>232</v>
      </c>
      <c r="F72" t="s">
        <v>47</v>
      </c>
      <c r="G72" s="1">
        <v>43687</v>
      </c>
      <c r="H72" t="s">
        <v>1487</v>
      </c>
      <c r="I72" t="s">
        <v>1488</v>
      </c>
      <c r="J72" t="s">
        <v>31</v>
      </c>
      <c r="K72">
        <v>1733.3650274449601</v>
      </c>
      <c r="L72">
        <v>139</v>
      </c>
      <c r="M72" t="s">
        <v>43</v>
      </c>
      <c r="N72" s="1">
        <v>43693</v>
      </c>
      <c r="O72" t="s">
        <v>23</v>
      </c>
      <c r="P72" t="s">
        <v>45</v>
      </c>
      <c r="Q72">
        <v>6</v>
      </c>
    </row>
    <row r="73" spans="1:17" x14ac:dyDescent="0.35">
      <c r="A73" t="s">
        <v>286</v>
      </c>
      <c r="B73" t="str">
        <f t="shared" si="11"/>
        <v>66-75</v>
      </c>
      <c r="C73">
        <v>69</v>
      </c>
      <c r="D73" t="s">
        <v>16</v>
      </c>
      <c r="E73" t="s">
        <v>27</v>
      </c>
      <c r="F73" t="s">
        <v>47</v>
      </c>
      <c r="G73" s="1">
        <v>44211</v>
      </c>
      <c r="H73" t="s">
        <v>287</v>
      </c>
      <c r="I73" t="s">
        <v>288</v>
      </c>
      <c r="J73" t="s">
        <v>31</v>
      </c>
      <c r="K73">
        <v>22081.278260597199</v>
      </c>
      <c r="L73">
        <v>356</v>
      </c>
      <c r="M73" t="s">
        <v>32</v>
      </c>
      <c r="N73" s="1">
        <v>44222</v>
      </c>
      <c r="O73" t="s">
        <v>44</v>
      </c>
      <c r="P73" t="s">
        <v>45</v>
      </c>
      <c r="Q73">
        <v>11</v>
      </c>
    </row>
    <row r="74" spans="1:17" x14ac:dyDescent="0.35">
      <c r="A74" t="s">
        <v>2898</v>
      </c>
      <c r="B74" t="str">
        <f t="shared" si="11"/>
        <v>76-85</v>
      </c>
      <c r="C74">
        <v>78</v>
      </c>
      <c r="D74" t="s">
        <v>16</v>
      </c>
      <c r="E74" t="s">
        <v>232</v>
      </c>
      <c r="F74" t="s">
        <v>47</v>
      </c>
      <c r="G74" s="1">
        <v>43659</v>
      </c>
      <c r="H74" t="s">
        <v>2899</v>
      </c>
      <c r="I74" t="s">
        <v>2900</v>
      </c>
      <c r="J74" t="s">
        <v>59</v>
      </c>
      <c r="K74">
        <v>32465.1285180216</v>
      </c>
      <c r="L74">
        <v>500</v>
      </c>
      <c r="M74" t="s">
        <v>43</v>
      </c>
      <c r="N74" s="1">
        <v>43672</v>
      </c>
      <c r="O74" t="s">
        <v>44</v>
      </c>
      <c r="P74" t="s">
        <v>34</v>
      </c>
      <c r="Q74">
        <v>13</v>
      </c>
    </row>
    <row r="75" spans="1:17" x14ac:dyDescent="0.35">
      <c r="A75" t="s">
        <v>1149</v>
      </c>
      <c r="B75" t="str">
        <f t="shared" si="11"/>
        <v>66-75</v>
      </c>
      <c r="C75">
        <v>71</v>
      </c>
      <c r="D75" t="s">
        <v>16</v>
      </c>
      <c r="E75" t="s">
        <v>51</v>
      </c>
      <c r="F75" t="s">
        <v>47</v>
      </c>
      <c r="G75" s="1">
        <v>44350</v>
      </c>
      <c r="H75" t="s">
        <v>1150</v>
      </c>
      <c r="I75" t="s">
        <v>1151</v>
      </c>
      <c r="J75" t="s">
        <v>59</v>
      </c>
      <c r="K75">
        <v>22697.415826541801</v>
      </c>
      <c r="L75">
        <v>447</v>
      </c>
      <c r="M75" t="s">
        <v>32</v>
      </c>
      <c r="N75" s="1">
        <v>44367</v>
      </c>
      <c r="O75" t="s">
        <v>33</v>
      </c>
      <c r="P75" t="s">
        <v>24</v>
      </c>
      <c r="Q75">
        <v>17</v>
      </c>
    </row>
    <row r="76" spans="1:17" x14ac:dyDescent="0.35">
      <c r="A76" t="s">
        <v>712</v>
      </c>
      <c r="B76" t="str">
        <f t="shared" si="11"/>
        <v>76-85</v>
      </c>
      <c r="C76">
        <v>82</v>
      </c>
      <c r="D76" t="s">
        <v>16</v>
      </c>
      <c r="E76" t="s">
        <v>92</v>
      </c>
      <c r="F76" t="s">
        <v>47</v>
      </c>
      <c r="G76" s="1">
        <v>43543</v>
      </c>
      <c r="H76" t="s">
        <v>713</v>
      </c>
      <c r="I76" t="s">
        <v>714</v>
      </c>
      <c r="J76" t="s">
        <v>31</v>
      </c>
      <c r="K76">
        <v>45969.6102500739</v>
      </c>
      <c r="L76">
        <v>222</v>
      </c>
      <c r="M76" t="s">
        <v>32</v>
      </c>
      <c r="N76" s="1">
        <v>43573</v>
      </c>
      <c r="O76" t="s">
        <v>87</v>
      </c>
      <c r="P76" t="s">
        <v>34</v>
      </c>
      <c r="Q76">
        <v>30</v>
      </c>
    </row>
    <row r="77" spans="1:17" x14ac:dyDescent="0.35">
      <c r="A77" t="s">
        <v>392</v>
      </c>
      <c r="B77" t="str">
        <f t="shared" si="11"/>
        <v>76-85</v>
      </c>
      <c r="C77">
        <v>76</v>
      </c>
      <c r="D77" t="s">
        <v>16</v>
      </c>
      <c r="E77" t="s">
        <v>117</v>
      </c>
      <c r="F77" t="s">
        <v>47</v>
      </c>
      <c r="G77" s="1">
        <v>44647</v>
      </c>
      <c r="H77" t="s">
        <v>393</v>
      </c>
      <c r="I77" t="s">
        <v>394</v>
      </c>
      <c r="J77" t="s">
        <v>59</v>
      </c>
      <c r="K77">
        <v>26051.414457974799</v>
      </c>
      <c r="L77">
        <v>184</v>
      </c>
      <c r="M77" t="s">
        <v>32</v>
      </c>
      <c r="N77" s="1">
        <v>44658</v>
      </c>
      <c r="O77" t="s">
        <v>87</v>
      </c>
      <c r="P77" t="s">
        <v>24</v>
      </c>
      <c r="Q77">
        <v>11</v>
      </c>
    </row>
    <row r="78" spans="1:17" x14ac:dyDescent="0.35">
      <c r="A78" t="s">
        <v>2833</v>
      </c>
      <c r="B78" t="str">
        <f t="shared" si="11"/>
        <v>56-65</v>
      </c>
      <c r="C78">
        <v>56</v>
      </c>
      <c r="D78" t="s">
        <v>16</v>
      </c>
      <c r="E78" t="s">
        <v>92</v>
      </c>
      <c r="F78" t="s">
        <v>47</v>
      </c>
      <c r="G78" s="1">
        <v>44469</v>
      </c>
      <c r="H78" t="s">
        <v>2834</v>
      </c>
      <c r="I78" t="s">
        <v>2835</v>
      </c>
      <c r="J78" t="s">
        <v>54</v>
      </c>
      <c r="K78">
        <v>28440.881391974199</v>
      </c>
      <c r="L78">
        <v>500</v>
      </c>
      <c r="M78" t="s">
        <v>22</v>
      </c>
      <c r="N78" s="1">
        <v>44495</v>
      </c>
      <c r="O78" t="s">
        <v>44</v>
      </c>
      <c r="P78" t="s">
        <v>24</v>
      </c>
      <c r="Q78">
        <v>26</v>
      </c>
    </row>
    <row r="79" spans="1:17" x14ac:dyDescent="0.35">
      <c r="A79" t="s">
        <v>2598</v>
      </c>
      <c r="B79" t="str">
        <f t="shared" si="11"/>
        <v>46-55</v>
      </c>
      <c r="C79">
        <v>51</v>
      </c>
      <c r="D79" t="s">
        <v>16</v>
      </c>
      <c r="E79" t="s">
        <v>117</v>
      </c>
      <c r="F79" t="s">
        <v>47</v>
      </c>
      <c r="G79" s="1">
        <v>44079</v>
      </c>
      <c r="H79" t="s">
        <v>2599</v>
      </c>
      <c r="I79" t="s">
        <v>2600</v>
      </c>
      <c r="J79" t="s">
        <v>59</v>
      </c>
      <c r="K79">
        <v>37736.472654193698</v>
      </c>
      <c r="L79">
        <v>232</v>
      </c>
      <c r="M79" t="s">
        <v>43</v>
      </c>
      <c r="N79" s="1">
        <v>44105</v>
      </c>
      <c r="O79" t="s">
        <v>23</v>
      </c>
      <c r="P79" t="s">
        <v>24</v>
      </c>
      <c r="Q79">
        <v>26</v>
      </c>
    </row>
    <row r="80" spans="1:17" x14ac:dyDescent="0.35">
      <c r="A80" t="s">
        <v>1214</v>
      </c>
      <c r="B80" t="str">
        <f t="shared" si="11"/>
        <v>56-65</v>
      </c>
      <c r="C80">
        <v>60</v>
      </c>
      <c r="D80" t="s">
        <v>16</v>
      </c>
      <c r="E80" t="s">
        <v>92</v>
      </c>
      <c r="F80" t="s">
        <v>47</v>
      </c>
      <c r="G80" s="1">
        <v>43790</v>
      </c>
      <c r="H80" t="s">
        <v>1215</v>
      </c>
      <c r="I80" t="s">
        <v>1216</v>
      </c>
      <c r="J80" t="s">
        <v>59</v>
      </c>
      <c r="K80">
        <v>10179.756432705701</v>
      </c>
      <c r="L80">
        <v>126</v>
      </c>
      <c r="M80" t="s">
        <v>32</v>
      </c>
      <c r="N80" s="1">
        <v>43808</v>
      </c>
      <c r="O80" t="s">
        <v>33</v>
      </c>
      <c r="P80" t="s">
        <v>45</v>
      </c>
      <c r="Q80">
        <v>18</v>
      </c>
    </row>
    <row r="81" spans="1:17" x14ac:dyDescent="0.35">
      <c r="A81" t="s">
        <v>2497</v>
      </c>
      <c r="B81" t="str">
        <f t="shared" si="11"/>
        <v>76-85</v>
      </c>
      <c r="C81">
        <v>85</v>
      </c>
      <c r="D81" t="s">
        <v>26</v>
      </c>
      <c r="E81" t="s">
        <v>117</v>
      </c>
      <c r="F81" t="s">
        <v>47</v>
      </c>
      <c r="G81" s="1">
        <v>43640</v>
      </c>
      <c r="H81" t="s">
        <v>2498</v>
      </c>
      <c r="I81" t="s">
        <v>2499</v>
      </c>
      <c r="J81" t="s">
        <v>54</v>
      </c>
      <c r="K81">
        <v>44358.0270789676</v>
      </c>
      <c r="L81">
        <v>108</v>
      </c>
      <c r="M81" t="s">
        <v>32</v>
      </c>
      <c r="N81" s="1">
        <v>43661</v>
      </c>
      <c r="O81" t="s">
        <v>33</v>
      </c>
      <c r="P81" t="s">
        <v>24</v>
      </c>
      <c r="Q81">
        <v>21</v>
      </c>
    </row>
    <row r="82" spans="1:17" x14ac:dyDescent="0.35">
      <c r="A82" t="s">
        <v>2658</v>
      </c>
      <c r="B82" t="str">
        <f>VLOOKUP(C82,$T$3:$U$9,2,TRUE)</f>
        <v>36-45</v>
      </c>
      <c r="C82">
        <v>40</v>
      </c>
      <c r="D82" t="s">
        <v>16</v>
      </c>
      <c r="E82" t="s">
        <v>117</v>
      </c>
      <c r="F82" t="s">
        <v>47</v>
      </c>
      <c r="G82" s="1">
        <v>43770</v>
      </c>
      <c r="H82" t="s">
        <v>2659</v>
      </c>
      <c r="I82" t="s">
        <v>2660</v>
      </c>
      <c r="J82" t="s">
        <v>59</v>
      </c>
      <c r="K82">
        <v>36443.765527358097</v>
      </c>
      <c r="L82">
        <v>497</v>
      </c>
      <c r="M82" t="s">
        <v>32</v>
      </c>
      <c r="N82" s="1">
        <v>43775</v>
      </c>
      <c r="O82" t="s">
        <v>50</v>
      </c>
      <c r="P82" t="s">
        <v>34</v>
      </c>
      <c r="Q82">
        <v>5</v>
      </c>
    </row>
    <row r="83" spans="1:17" x14ac:dyDescent="0.35">
      <c r="A83" t="s">
        <v>2438</v>
      </c>
      <c r="B83" t="str">
        <f>VLOOKUP(C83,$T$3:$U$9,2,TRUE)</f>
        <v>26-35</v>
      </c>
      <c r="C83">
        <v>33</v>
      </c>
      <c r="D83" t="s">
        <v>16</v>
      </c>
      <c r="E83" t="s">
        <v>65</v>
      </c>
      <c r="F83" t="s">
        <v>47</v>
      </c>
      <c r="G83" s="1">
        <v>44632</v>
      </c>
      <c r="H83" t="s">
        <v>2439</v>
      </c>
      <c r="I83" t="s">
        <v>2440</v>
      </c>
      <c r="J83" t="s">
        <v>59</v>
      </c>
      <c r="K83">
        <v>38730.9132823076</v>
      </c>
      <c r="L83">
        <v>130</v>
      </c>
      <c r="M83" t="s">
        <v>22</v>
      </c>
      <c r="N83" s="1">
        <v>44644</v>
      </c>
      <c r="O83" t="s">
        <v>44</v>
      </c>
      <c r="P83" t="s">
        <v>34</v>
      </c>
      <c r="Q83">
        <v>12</v>
      </c>
    </row>
    <row r="84" spans="1:17" x14ac:dyDescent="0.35">
      <c r="A84" t="s">
        <v>416</v>
      </c>
      <c r="B84" t="str">
        <f t="shared" ref="B84:B147" si="12">VLOOKUP(C84,$T$3:$U$9,2,TRUE)</f>
        <v>36-45</v>
      </c>
      <c r="C84">
        <v>43</v>
      </c>
      <c r="D84" t="s">
        <v>16</v>
      </c>
      <c r="E84" t="s">
        <v>232</v>
      </c>
      <c r="F84" t="s">
        <v>47</v>
      </c>
      <c r="G84" s="1">
        <v>45044</v>
      </c>
      <c r="H84" t="s">
        <v>417</v>
      </c>
      <c r="I84" t="s">
        <v>418</v>
      </c>
      <c r="J84" t="s">
        <v>63</v>
      </c>
      <c r="K84">
        <v>31008.4793081241</v>
      </c>
      <c r="L84">
        <v>350</v>
      </c>
      <c r="M84" t="s">
        <v>43</v>
      </c>
      <c r="N84" s="1">
        <v>45050</v>
      </c>
      <c r="O84" t="s">
        <v>23</v>
      </c>
      <c r="P84" t="s">
        <v>45</v>
      </c>
      <c r="Q84">
        <v>6</v>
      </c>
    </row>
    <row r="85" spans="1:17" x14ac:dyDescent="0.35">
      <c r="A85" t="s">
        <v>1827</v>
      </c>
      <c r="B85" t="str">
        <f t="shared" si="12"/>
        <v>56-65</v>
      </c>
      <c r="C85">
        <v>63</v>
      </c>
      <c r="D85" t="s">
        <v>16</v>
      </c>
      <c r="E85" t="s">
        <v>27</v>
      </c>
      <c r="F85" t="s">
        <v>47</v>
      </c>
      <c r="G85" s="1">
        <v>44255</v>
      </c>
      <c r="H85" t="s">
        <v>1828</v>
      </c>
      <c r="I85" t="s">
        <v>1829</v>
      </c>
      <c r="J85" t="s">
        <v>59</v>
      </c>
      <c r="K85">
        <v>21815.834706117301</v>
      </c>
      <c r="L85">
        <v>497</v>
      </c>
      <c r="M85" t="s">
        <v>43</v>
      </c>
      <c r="N85" s="1">
        <v>44270</v>
      </c>
      <c r="O85" t="s">
        <v>44</v>
      </c>
      <c r="P85" t="s">
        <v>34</v>
      </c>
      <c r="Q85">
        <v>15</v>
      </c>
    </row>
    <row r="86" spans="1:17" x14ac:dyDescent="0.35">
      <c r="A86" t="s">
        <v>1922</v>
      </c>
      <c r="B86" t="str">
        <f t="shared" si="12"/>
        <v>18-25</v>
      </c>
      <c r="C86">
        <v>23</v>
      </c>
      <c r="D86" t="s">
        <v>16</v>
      </c>
      <c r="E86" t="s">
        <v>92</v>
      </c>
      <c r="F86" t="s">
        <v>47</v>
      </c>
      <c r="G86" s="1">
        <v>43592</v>
      </c>
      <c r="H86" t="s">
        <v>1923</v>
      </c>
      <c r="I86" t="s">
        <v>1924</v>
      </c>
      <c r="J86" t="s">
        <v>31</v>
      </c>
      <c r="K86">
        <v>49270.072507326702</v>
      </c>
      <c r="L86">
        <v>133</v>
      </c>
      <c r="M86" t="s">
        <v>22</v>
      </c>
      <c r="N86" s="1">
        <v>43598</v>
      </c>
      <c r="O86" t="s">
        <v>33</v>
      </c>
      <c r="P86" t="s">
        <v>45</v>
      </c>
      <c r="Q86">
        <v>6</v>
      </c>
    </row>
    <row r="87" spans="1:17" x14ac:dyDescent="0.35">
      <c r="A87" t="s">
        <v>2329</v>
      </c>
      <c r="B87" t="str">
        <f t="shared" si="12"/>
        <v>56-65</v>
      </c>
      <c r="C87">
        <v>56</v>
      </c>
      <c r="D87" t="s">
        <v>26</v>
      </c>
      <c r="E87" t="s">
        <v>232</v>
      </c>
      <c r="F87" t="s">
        <v>47</v>
      </c>
      <c r="G87" s="1">
        <v>44853</v>
      </c>
      <c r="H87" t="s">
        <v>2330</v>
      </c>
      <c r="I87" t="s">
        <v>2331</v>
      </c>
      <c r="J87" t="s">
        <v>21</v>
      </c>
      <c r="K87">
        <v>16280.909098145999</v>
      </c>
      <c r="L87">
        <v>199</v>
      </c>
      <c r="M87" t="s">
        <v>43</v>
      </c>
      <c r="N87" s="1">
        <v>44865</v>
      </c>
      <c r="O87" t="s">
        <v>44</v>
      </c>
      <c r="P87" t="s">
        <v>24</v>
      </c>
      <c r="Q87">
        <v>12</v>
      </c>
    </row>
    <row r="88" spans="1:17" x14ac:dyDescent="0.35">
      <c r="A88" t="s">
        <v>911</v>
      </c>
      <c r="B88" t="str">
        <f t="shared" si="12"/>
        <v>26-35</v>
      </c>
      <c r="C88">
        <v>26</v>
      </c>
      <c r="D88" t="s">
        <v>16</v>
      </c>
      <c r="E88" t="s">
        <v>232</v>
      </c>
      <c r="F88" t="s">
        <v>47</v>
      </c>
      <c r="G88" s="1">
        <v>43449</v>
      </c>
      <c r="H88" t="s">
        <v>912</v>
      </c>
      <c r="I88" t="s">
        <v>913</v>
      </c>
      <c r="J88" t="s">
        <v>31</v>
      </c>
      <c r="K88">
        <v>17531.212779067198</v>
      </c>
      <c r="L88">
        <v>111</v>
      </c>
      <c r="M88" t="s">
        <v>32</v>
      </c>
      <c r="N88" s="1">
        <v>43462</v>
      </c>
      <c r="O88" t="s">
        <v>23</v>
      </c>
      <c r="P88" t="s">
        <v>24</v>
      </c>
      <c r="Q88">
        <v>13</v>
      </c>
    </row>
    <row r="89" spans="1:17" x14ac:dyDescent="0.35">
      <c r="A89" t="s">
        <v>183</v>
      </c>
      <c r="B89" t="str">
        <f t="shared" si="12"/>
        <v>46-55</v>
      </c>
      <c r="C89">
        <v>48</v>
      </c>
      <c r="D89" t="s">
        <v>16</v>
      </c>
      <c r="E89" t="s">
        <v>36</v>
      </c>
      <c r="F89" t="s">
        <v>47</v>
      </c>
      <c r="G89" s="1">
        <v>44854</v>
      </c>
      <c r="H89" t="s">
        <v>184</v>
      </c>
      <c r="I89" t="s">
        <v>185</v>
      </c>
      <c r="J89" t="s">
        <v>54</v>
      </c>
      <c r="K89">
        <v>38872.645222723702</v>
      </c>
      <c r="L89">
        <v>412</v>
      </c>
      <c r="M89" t="s">
        <v>22</v>
      </c>
      <c r="N89" s="1">
        <v>44869</v>
      </c>
      <c r="O89" t="s">
        <v>44</v>
      </c>
      <c r="P89" t="s">
        <v>45</v>
      </c>
      <c r="Q89">
        <v>15</v>
      </c>
    </row>
    <row r="90" spans="1:17" x14ac:dyDescent="0.35">
      <c r="A90" t="s">
        <v>1289</v>
      </c>
      <c r="B90" t="str">
        <f t="shared" si="12"/>
        <v>18-25</v>
      </c>
      <c r="C90">
        <v>18</v>
      </c>
      <c r="D90" t="s">
        <v>26</v>
      </c>
      <c r="E90" t="s">
        <v>51</v>
      </c>
      <c r="F90" t="s">
        <v>47</v>
      </c>
      <c r="G90" s="1">
        <v>44912</v>
      </c>
      <c r="H90" t="s">
        <v>1290</v>
      </c>
      <c r="I90" t="s">
        <v>1291</v>
      </c>
      <c r="J90" t="s">
        <v>31</v>
      </c>
      <c r="K90">
        <v>39875.215878852301</v>
      </c>
      <c r="L90">
        <v>230</v>
      </c>
      <c r="M90" t="s">
        <v>22</v>
      </c>
      <c r="N90" s="1">
        <v>44937</v>
      </c>
      <c r="O90" t="s">
        <v>87</v>
      </c>
      <c r="P90" t="s">
        <v>24</v>
      </c>
      <c r="Q90">
        <v>25</v>
      </c>
    </row>
    <row r="91" spans="1:17" x14ac:dyDescent="0.35">
      <c r="A91" t="s">
        <v>2269</v>
      </c>
      <c r="B91" t="str">
        <f t="shared" si="12"/>
        <v>26-35</v>
      </c>
      <c r="C91">
        <v>33</v>
      </c>
      <c r="D91" t="s">
        <v>16</v>
      </c>
      <c r="E91" t="s">
        <v>232</v>
      </c>
      <c r="F91" t="s">
        <v>47</v>
      </c>
      <c r="G91" s="1">
        <v>44169</v>
      </c>
      <c r="H91" t="s">
        <v>2270</v>
      </c>
      <c r="I91" t="s">
        <v>2271</v>
      </c>
      <c r="J91" t="s">
        <v>54</v>
      </c>
      <c r="K91">
        <v>9812.1798241314991</v>
      </c>
      <c r="L91">
        <v>262</v>
      </c>
      <c r="M91" t="s">
        <v>43</v>
      </c>
      <c r="N91" s="1">
        <v>44178</v>
      </c>
      <c r="O91" t="s">
        <v>23</v>
      </c>
      <c r="P91" t="s">
        <v>45</v>
      </c>
      <c r="Q91">
        <v>9</v>
      </c>
    </row>
    <row r="92" spans="1:17" x14ac:dyDescent="0.35">
      <c r="A92" t="s">
        <v>958</v>
      </c>
      <c r="B92" t="str">
        <f t="shared" si="12"/>
        <v>26-35</v>
      </c>
      <c r="C92">
        <v>33</v>
      </c>
      <c r="D92" t="s">
        <v>26</v>
      </c>
      <c r="E92" t="s">
        <v>17</v>
      </c>
      <c r="F92" t="s">
        <v>47</v>
      </c>
      <c r="G92" s="1">
        <v>45109</v>
      </c>
      <c r="H92" t="s">
        <v>959</v>
      </c>
      <c r="I92" t="s">
        <v>960</v>
      </c>
      <c r="J92" t="s">
        <v>31</v>
      </c>
      <c r="K92">
        <v>8129.3584987025797</v>
      </c>
      <c r="L92">
        <v>436</v>
      </c>
      <c r="M92" t="s">
        <v>32</v>
      </c>
      <c r="N92" s="1">
        <v>45115</v>
      </c>
      <c r="O92" t="s">
        <v>33</v>
      </c>
      <c r="P92" t="s">
        <v>45</v>
      </c>
      <c r="Q92">
        <v>6</v>
      </c>
    </row>
    <row r="93" spans="1:17" x14ac:dyDescent="0.35">
      <c r="A93" t="s">
        <v>2550</v>
      </c>
      <c r="B93" t="str">
        <f t="shared" si="12"/>
        <v>56-65</v>
      </c>
      <c r="C93">
        <v>56</v>
      </c>
      <c r="D93" t="s">
        <v>26</v>
      </c>
      <c r="E93" t="s">
        <v>17</v>
      </c>
      <c r="F93" t="s">
        <v>47</v>
      </c>
      <c r="G93" s="1">
        <v>44075</v>
      </c>
      <c r="H93" t="s">
        <v>2551</v>
      </c>
      <c r="I93" t="s">
        <v>2552</v>
      </c>
      <c r="J93" t="s">
        <v>31</v>
      </c>
      <c r="K93">
        <v>26105.143432276102</v>
      </c>
      <c r="L93">
        <v>185</v>
      </c>
      <c r="M93" t="s">
        <v>32</v>
      </c>
      <c r="N93" s="1">
        <v>44085</v>
      </c>
      <c r="O93" t="s">
        <v>44</v>
      </c>
      <c r="P93" t="s">
        <v>34</v>
      </c>
      <c r="Q93">
        <v>10</v>
      </c>
    </row>
    <row r="94" spans="1:17" x14ac:dyDescent="0.35">
      <c r="A94" t="s">
        <v>262</v>
      </c>
      <c r="B94" t="str">
        <f t="shared" si="12"/>
        <v>26-35</v>
      </c>
      <c r="C94">
        <v>32</v>
      </c>
      <c r="D94" t="s">
        <v>26</v>
      </c>
      <c r="E94" t="s">
        <v>117</v>
      </c>
      <c r="F94" t="s">
        <v>47</v>
      </c>
      <c r="G94" s="1">
        <v>43958</v>
      </c>
      <c r="H94" t="s">
        <v>263</v>
      </c>
      <c r="I94" t="s">
        <v>264</v>
      </c>
      <c r="J94" t="s">
        <v>63</v>
      </c>
      <c r="K94">
        <v>37421.296659936001</v>
      </c>
      <c r="L94">
        <v>405</v>
      </c>
      <c r="M94" t="s">
        <v>32</v>
      </c>
      <c r="N94" s="1">
        <v>43986</v>
      </c>
      <c r="O94" t="s">
        <v>33</v>
      </c>
      <c r="P94" t="s">
        <v>45</v>
      </c>
      <c r="Q94">
        <v>28</v>
      </c>
    </row>
    <row r="95" spans="1:17" x14ac:dyDescent="0.35">
      <c r="A95" t="s">
        <v>637</v>
      </c>
      <c r="B95" t="str">
        <f t="shared" si="12"/>
        <v>46-55</v>
      </c>
      <c r="C95">
        <v>52</v>
      </c>
      <c r="D95" t="s">
        <v>26</v>
      </c>
      <c r="E95" t="s">
        <v>36</v>
      </c>
      <c r="F95" t="s">
        <v>47</v>
      </c>
      <c r="G95" s="1">
        <v>44512</v>
      </c>
      <c r="H95" t="s">
        <v>638</v>
      </c>
      <c r="I95" t="s">
        <v>639</v>
      </c>
      <c r="J95" t="s">
        <v>31</v>
      </c>
      <c r="K95">
        <v>1452.0538192226099</v>
      </c>
      <c r="L95">
        <v>120</v>
      </c>
      <c r="M95" t="s">
        <v>32</v>
      </c>
      <c r="N95" s="1">
        <v>44528</v>
      </c>
      <c r="O95" t="s">
        <v>44</v>
      </c>
      <c r="P95" t="s">
        <v>45</v>
      </c>
      <c r="Q95">
        <v>16</v>
      </c>
    </row>
    <row r="96" spans="1:17" x14ac:dyDescent="0.35">
      <c r="A96" t="s">
        <v>946</v>
      </c>
      <c r="B96" t="str">
        <f t="shared" si="12"/>
        <v>46-55</v>
      </c>
      <c r="C96">
        <v>52</v>
      </c>
      <c r="D96" t="s">
        <v>26</v>
      </c>
      <c r="E96" t="s">
        <v>65</v>
      </c>
      <c r="F96" t="s">
        <v>47</v>
      </c>
      <c r="G96" s="1">
        <v>43649</v>
      </c>
      <c r="H96" t="s">
        <v>947</v>
      </c>
      <c r="I96" t="s">
        <v>948</v>
      </c>
      <c r="J96" t="s">
        <v>59</v>
      </c>
      <c r="K96">
        <v>43311.759415349501</v>
      </c>
      <c r="L96">
        <v>432</v>
      </c>
      <c r="M96" t="s">
        <v>32</v>
      </c>
      <c r="N96" s="1">
        <v>43667</v>
      </c>
      <c r="O96" t="s">
        <v>87</v>
      </c>
      <c r="P96" t="s">
        <v>34</v>
      </c>
      <c r="Q96">
        <v>18</v>
      </c>
    </row>
    <row r="97" spans="1:17" x14ac:dyDescent="0.35">
      <c r="A97" t="s">
        <v>207</v>
      </c>
      <c r="B97" t="str">
        <f t="shared" si="12"/>
        <v>18-25</v>
      </c>
      <c r="C97">
        <v>19</v>
      </c>
      <c r="D97" t="s">
        <v>26</v>
      </c>
      <c r="E97" t="s">
        <v>65</v>
      </c>
      <c r="F97" t="s">
        <v>47</v>
      </c>
      <c r="G97" s="1">
        <v>44381</v>
      </c>
      <c r="H97" t="s">
        <v>208</v>
      </c>
      <c r="I97" t="s">
        <v>209</v>
      </c>
      <c r="J97" t="s">
        <v>63</v>
      </c>
      <c r="K97">
        <v>20080.297644905098</v>
      </c>
      <c r="L97">
        <v>303</v>
      </c>
      <c r="M97" t="s">
        <v>32</v>
      </c>
      <c r="N97" s="1">
        <v>44406</v>
      </c>
      <c r="O97" t="s">
        <v>87</v>
      </c>
      <c r="P97" t="s">
        <v>34</v>
      </c>
      <c r="Q97">
        <v>25</v>
      </c>
    </row>
    <row r="98" spans="1:17" x14ac:dyDescent="0.35">
      <c r="A98" t="s">
        <v>2012</v>
      </c>
      <c r="B98" t="str">
        <f t="shared" si="12"/>
        <v>66-75</v>
      </c>
      <c r="C98">
        <v>71</v>
      </c>
      <c r="D98" t="s">
        <v>26</v>
      </c>
      <c r="E98" t="s">
        <v>51</v>
      </c>
      <c r="F98" t="s">
        <v>47</v>
      </c>
      <c r="G98" s="1">
        <v>44040</v>
      </c>
      <c r="H98" t="s">
        <v>2013</v>
      </c>
      <c r="I98" t="s">
        <v>2014</v>
      </c>
      <c r="J98" t="s">
        <v>31</v>
      </c>
      <c r="K98">
        <v>7135.0884567345101</v>
      </c>
      <c r="L98">
        <v>413</v>
      </c>
      <c r="M98" t="s">
        <v>32</v>
      </c>
      <c r="N98" s="1">
        <v>44054</v>
      </c>
      <c r="O98" t="s">
        <v>44</v>
      </c>
      <c r="P98" t="s">
        <v>34</v>
      </c>
      <c r="Q98">
        <v>14</v>
      </c>
    </row>
    <row r="99" spans="1:17" x14ac:dyDescent="0.35">
      <c r="A99" t="s">
        <v>2646</v>
      </c>
      <c r="B99" t="str">
        <f t="shared" si="12"/>
        <v>66-75</v>
      </c>
      <c r="C99">
        <v>69</v>
      </c>
      <c r="D99" t="s">
        <v>16</v>
      </c>
      <c r="E99" t="s">
        <v>65</v>
      </c>
      <c r="F99" t="s">
        <v>47</v>
      </c>
      <c r="G99" s="1">
        <v>43418</v>
      </c>
      <c r="H99" t="s">
        <v>2647</v>
      </c>
      <c r="I99" t="s">
        <v>2648</v>
      </c>
      <c r="J99" t="s">
        <v>31</v>
      </c>
      <c r="K99">
        <v>39472.193756529203</v>
      </c>
      <c r="L99">
        <v>337</v>
      </c>
      <c r="M99" t="s">
        <v>22</v>
      </c>
      <c r="N99" s="1">
        <v>43429</v>
      </c>
      <c r="O99" t="s">
        <v>44</v>
      </c>
      <c r="P99" t="s">
        <v>24</v>
      </c>
      <c r="Q99">
        <v>11</v>
      </c>
    </row>
    <row r="100" spans="1:17" x14ac:dyDescent="0.35">
      <c r="A100" t="s">
        <v>908</v>
      </c>
      <c r="B100" t="str">
        <f t="shared" si="12"/>
        <v>56-65</v>
      </c>
      <c r="C100">
        <v>63</v>
      </c>
      <c r="D100" t="s">
        <v>16</v>
      </c>
      <c r="E100" t="s">
        <v>51</v>
      </c>
      <c r="F100" t="s">
        <v>47</v>
      </c>
      <c r="G100" s="1">
        <v>43492</v>
      </c>
      <c r="H100" t="s">
        <v>909</v>
      </c>
      <c r="I100" t="s">
        <v>910</v>
      </c>
      <c r="J100" t="s">
        <v>59</v>
      </c>
      <c r="K100">
        <v>25420.211238027801</v>
      </c>
      <c r="L100">
        <v>445</v>
      </c>
      <c r="M100" t="s">
        <v>43</v>
      </c>
      <c r="N100" s="1">
        <v>43504</v>
      </c>
      <c r="O100" t="s">
        <v>23</v>
      </c>
      <c r="P100" t="s">
        <v>45</v>
      </c>
      <c r="Q100">
        <v>12</v>
      </c>
    </row>
    <row r="101" spans="1:17" x14ac:dyDescent="0.35">
      <c r="A101" t="s">
        <v>739</v>
      </c>
      <c r="B101" t="str">
        <f t="shared" si="12"/>
        <v>18-25</v>
      </c>
      <c r="C101">
        <v>20</v>
      </c>
      <c r="D101" t="s">
        <v>16</v>
      </c>
      <c r="E101" t="s">
        <v>92</v>
      </c>
      <c r="F101" t="s">
        <v>47</v>
      </c>
      <c r="G101" s="1">
        <v>43524</v>
      </c>
      <c r="H101" t="s">
        <v>740</v>
      </c>
      <c r="I101" t="s">
        <v>741</v>
      </c>
      <c r="J101" t="s">
        <v>21</v>
      </c>
      <c r="K101">
        <v>49035.206927040497</v>
      </c>
      <c r="L101">
        <v>460</v>
      </c>
      <c r="M101" t="s">
        <v>43</v>
      </c>
      <c r="N101" s="1">
        <v>43550</v>
      </c>
      <c r="O101" t="s">
        <v>50</v>
      </c>
      <c r="P101" t="s">
        <v>24</v>
      </c>
      <c r="Q101">
        <v>26</v>
      </c>
    </row>
    <row r="102" spans="1:17" x14ac:dyDescent="0.35">
      <c r="A102" t="s">
        <v>2323</v>
      </c>
      <c r="B102" t="str">
        <f t="shared" si="12"/>
        <v>26-35</v>
      </c>
      <c r="C102">
        <v>26</v>
      </c>
      <c r="D102" t="s">
        <v>26</v>
      </c>
      <c r="E102" t="s">
        <v>17</v>
      </c>
      <c r="F102" t="s">
        <v>47</v>
      </c>
      <c r="G102" s="1">
        <v>43701</v>
      </c>
      <c r="H102" t="s">
        <v>2324</v>
      </c>
      <c r="I102" t="s">
        <v>2325</v>
      </c>
      <c r="J102" t="s">
        <v>31</v>
      </c>
      <c r="K102">
        <v>44336.269154592403</v>
      </c>
      <c r="L102">
        <v>401</v>
      </c>
      <c r="M102" t="s">
        <v>43</v>
      </c>
      <c r="N102" s="1">
        <v>43715</v>
      </c>
      <c r="O102" t="s">
        <v>23</v>
      </c>
      <c r="P102" t="s">
        <v>24</v>
      </c>
      <c r="Q102">
        <v>14</v>
      </c>
    </row>
    <row r="103" spans="1:17" x14ac:dyDescent="0.35">
      <c r="A103" t="s">
        <v>1550</v>
      </c>
      <c r="B103" t="str">
        <f t="shared" si="12"/>
        <v>26-35</v>
      </c>
      <c r="C103">
        <v>32</v>
      </c>
      <c r="D103" t="s">
        <v>16</v>
      </c>
      <c r="E103" t="s">
        <v>232</v>
      </c>
      <c r="F103" t="s">
        <v>47</v>
      </c>
      <c r="G103" s="1">
        <v>44114</v>
      </c>
      <c r="H103" t="s">
        <v>1551</v>
      </c>
      <c r="I103" t="s">
        <v>1552</v>
      </c>
      <c r="J103" t="s">
        <v>63</v>
      </c>
      <c r="K103">
        <v>7114.39032496049</v>
      </c>
      <c r="L103">
        <v>209</v>
      </c>
      <c r="M103" t="s">
        <v>43</v>
      </c>
      <c r="N103" s="1">
        <v>44118</v>
      </c>
      <c r="O103" t="s">
        <v>23</v>
      </c>
      <c r="P103" t="s">
        <v>34</v>
      </c>
      <c r="Q103">
        <v>4</v>
      </c>
    </row>
    <row r="104" spans="1:17" x14ac:dyDescent="0.35">
      <c r="A104" t="s">
        <v>2610</v>
      </c>
      <c r="B104" t="str">
        <f t="shared" si="12"/>
        <v>36-45</v>
      </c>
      <c r="C104">
        <v>38</v>
      </c>
      <c r="D104" t="s">
        <v>26</v>
      </c>
      <c r="E104" t="s">
        <v>92</v>
      </c>
      <c r="F104" t="s">
        <v>47</v>
      </c>
      <c r="G104" s="1">
        <v>44309</v>
      </c>
      <c r="H104" t="s">
        <v>2611</v>
      </c>
      <c r="I104" t="s">
        <v>2612</v>
      </c>
      <c r="J104" t="s">
        <v>63</v>
      </c>
      <c r="K104">
        <v>25159.923894608299</v>
      </c>
      <c r="L104">
        <v>233</v>
      </c>
      <c r="M104" t="s">
        <v>22</v>
      </c>
      <c r="N104" s="1">
        <v>44338</v>
      </c>
      <c r="O104" t="s">
        <v>23</v>
      </c>
      <c r="P104" t="s">
        <v>45</v>
      </c>
      <c r="Q104">
        <v>29</v>
      </c>
    </row>
    <row r="105" spans="1:17" x14ac:dyDescent="0.35">
      <c r="A105" t="s">
        <v>1211</v>
      </c>
      <c r="B105" t="str">
        <f t="shared" si="12"/>
        <v>76-85</v>
      </c>
      <c r="C105">
        <v>79</v>
      </c>
      <c r="D105" t="s">
        <v>16</v>
      </c>
      <c r="E105" t="s">
        <v>117</v>
      </c>
      <c r="F105" t="s">
        <v>47</v>
      </c>
      <c r="G105" s="1">
        <v>44724</v>
      </c>
      <c r="H105" t="s">
        <v>1212</v>
      </c>
      <c r="I105" t="s">
        <v>1213</v>
      </c>
      <c r="J105" t="s">
        <v>63</v>
      </c>
      <c r="K105">
        <v>19955.344980386999</v>
      </c>
      <c r="L105">
        <v>379</v>
      </c>
      <c r="M105" t="s">
        <v>32</v>
      </c>
      <c r="N105" s="1">
        <v>44725</v>
      </c>
      <c r="O105" t="s">
        <v>23</v>
      </c>
      <c r="P105" t="s">
        <v>24</v>
      </c>
      <c r="Q105">
        <v>1</v>
      </c>
    </row>
    <row r="106" spans="1:17" x14ac:dyDescent="0.35">
      <c r="A106" t="s">
        <v>1904</v>
      </c>
      <c r="B106" t="str">
        <f t="shared" si="12"/>
        <v>46-55</v>
      </c>
      <c r="C106">
        <v>52</v>
      </c>
      <c r="D106" t="s">
        <v>16</v>
      </c>
      <c r="E106" t="s">
        <v>92</v>
      </c>
      <c r="F106" t="s">
        <v>47</v>
      </c>
      <c r="G106" s="1">
        <v>44481</v>
      </c>
      <c r="H106" t="s">
        <v>1905</v>
      </c>
      <c r="I106" t="s">
        <v>1906</v>
      </c>
      <c r="J106" t="s">
        <v>54</v>
      </c>
      <c r="K106">
        <v>12318.402603786701</v>
      </c>
      <c r="L106">
        <v>444</v>
      </c>
      <c r="M106" t="s">
        <v>22</v>
      </c>
      <c r="N106" s="1">
        <v>44492</v>
      </c>
      <c r="O106" t="s">
        <v>50</v>
      </c>
      <c r="P106" t="s">
        <v>45</v>
      </c>
      <c r="Q106">
        <v>11</v>
      </c>
    </row>
    <row r="107" spans="1:17" x14ac:dyDescent="0.35">
      <c r="A107" t="s">
        <v>165</v>
      </c>
      <c r="B107" t="str">
        <f t="shared" si="12"/>
        <v>18-25</v>
      </c>
      <c r="C107">
        <v>23</v>
      </c>
      <c r="D107" t="s">
        <v>26</v>
      </c>
      <c r="E107" t="s">
        <v>17</v>
      </c>
      <c r="F107" t="s">
        <v>47</v>
      </c>
      <c r="G107" s="1">
        <v>43549</v>
      </c>
      <c r="H107" t="s">
        <v>166</v>
      </c>
      <c r="I107" t="s">
        <v>167</v>
      </c>
      <c r="J107" t="s">
        <v>31</v>
      </c>
      <c r="K107">
        <v>39329.114309021497</v>
      </c>
      <c r="L107">
        <v>110</v>
      </c>
      <c r="M107" t="s">
        <v>43</v>
      </c>
      <c r="N107" s="1">
        <v>43563</v>
      </c>
      <c r="O107" t="s">
        <v>44</v>
      </c>
      <c r="P107" t="s">
        <v>24</v>
      </c>
      <c r="Q107">
        <v>14</v>
      </c>
    </row>
    <row r="108" spans="1:17" x14ac:dyDescent="0.35">
      <c r="A108" t="s">
        <v>1698</v>
      </c>
      <c r="B108" t="str">
        <f t="shared" si="12"/>
        <v>56-65</v>
      </c>
      <c r="C108">
        <v>61</v>
      </c>
      <c r="D108" t="s">
        <v>26</v>
      </c>
      <c r="E108" t="s">
        <v>92</v>
      </c>
      <c r="F108" t="s">
        <v>47</v>
      </c>
      <c r="G108" s="1">
        <v>44528</v>
      </c>
      <c r="H108" t="s">
        <v>1699</v>
      </c>
      <c r="I108" t="s">
        <v>1700</v>
      </c>
      <c r="J108" t="s">
        <v>21</v>
      </c>
      <c r="K108">
        <v>12442.557385800599</v>
      </c>
      <c r="L108">
        <v>437</v>
      </c>
      <c r="M108" t="s">
        <v>43</v>
      </c>
      <c r="N108" s="1">
        <v>44542</v>
      </c>
      <c r="O108" t="s">
        <v>44</v>
      </c>
      <c r="P108" t="s">
        <v>34</v>
      </c>
      <c r="Q108">
        <v>14</v>
      </c>
    </row>
    <row r="109" spans="1:17" x14ac:dyDescent="0.35">
      <c r="A109" t="s">
        <v>1724</v>
      </c>
      <c r="B109" t="str">
        <f t="shared" si="12"/>
        <v>26-35</v>
      </c>
      <c r="C109">
        <v>33</v>
      </c>
      <c r="D109" t="s">
        <v>16</v>
      </c>
      <c r="E109" t="s">
        <v>17</v>
      </c>
      <c r="F109" t="s">
        <v>47</v>
      </c>
      <c r="G109" s="1">
        <v>44324</v>
      </c>
      <c r="H109" t="s">
        <v>1725</v>
      </c>
      <c r="I109" t="s">
        <v>1726</v>
      </c>
      <c r="J109" t="s">
        <v>31</v>
      </c>
      <c r="K109">
        <v>42727.0625792098</v>
      </c>
      <c r="L109">
        <v>424</v>
      </c>
      <c r="M109" t="s">
        <v>32</v>
      </c>
      <c r="N109" s="1">
        <v>44332</v>
      </c>
      <c r="O109" t="s">
        <v>33</v>
      </c>
      <c r="P109" t="s">
        <v>24</v>
      </c>
      <c r="Q109">
        <v>8</v>
      </c>
    </row>
    <row r="110" spans="1:17" x14ac:dyDescent="0.35">
      <c r="A110" t="s">
        <v>46</v>
      </c>
      <c r="B110" t="str">
        <f t="shared" si="12"/>
        <v>46-55</v>
      </c>
      <c r="C110">
        <v>51</v>
      </c>
      <c r="D110" t="s">
        <v>26</v>
      </c>
      <c r="E110" t="s">
        <v>17</v>
      </c>
      <c r="F110" t="s">
        <v>47</v>
      </c>
      <c r="G110" s="1">
        <v>44386</v>
      </c>
      <c r="H110" t="s">
        <v>48</v>
      </c>
      <c r="I110" t="s">
        <v>49</v>
      </c>
      <c r="J110" t="s">
        <v>31</v>
      </c>
      <c r="K110">
        <v>18086.3441835638</v>
      </c>
      <c r="L110">
        <v>477</v>
      </c>
      <c r="M110" t="s">
        <v>43</v>
      </c>
      <c r="N110" s="1">
        <v>44410</v>
      </c>
      <c r="O110" t="s">
        <v>50</v>
      </c>
      <c r="P110" t="s">
        <v>34</v>
      </c>
      <c r="Q110">
        <v>24</v>
      </c>
    </row>
    <row r="111" spans="1:17" x14ac:dyDescent="0.35">
      <c r="A111" t="s">
        <v>410</v>
      </c>
      <c r="B111" t="str">
        <f t="shared" si="12"/>
        <v>26-35</v>
      </c>
      <c r="C111">
        <v>35</v>
      </c>
      <c r="D111" t="s">
        <v>16</v>
      </c>
      <c r="E111" t="s">
        <v>51</v>
      </c>
      <c r="F111" t="s">
        <v>47</v>
      </c>
      <c r="G111" s="1">
        <v>44866</v>
      </c>
      <c r="H111" t="s">
        <v>411</v>
      </c>
      <c r="I111" t="s">
        <v>412</v>
      </c>
      <c r="J111" t="s">
        <v>63</v>
      </c>
      <c r="K111">
        <v>21591.8361676924</v>
      </c>
      <c r="L111">
        <v>289</v>
      </c>
      <c r="M111" t="s">
        <v>22</v>
      </c>
      <c r="N111" s="1">
        <v>44889</v>
      </c>
      <c r="O111" t="s">
        <v>87</v>
      </c>
      <c r="P111" t="s">
        <v>45</v>
      </c>
      <c r="Q111">
        <v>23</v>
      </c>
    </row>
    <row r="112" spans="1:17" x14ac:dyDescent="0.35">
      <c r="A112" t="s">
        <v>999</v>
      </c>
      <c r="B112" t="str">
        <f t="shared" si="12"/>
        <v>46-55</v>
      </c>
      <c r="C112">
        <v>54</v>
      </c>
      <c r="D112" t="s">
        <v>16</v>
      </c>
      <c r="E112" t="s">
        <v>17</v>
      </c>
      <c r="F112" t="s">
        <v>47</v>
      </c>
      <c r="G112" s="1">
        <v>44436</v>
      </c>
      <c r="H112" t="s">
        <v>1000</v>
      </c>
      <c r="I112" t="s">
        <v>1001</v>
      </c>
      <c r="J112" t="s">
        <v>59</v>
      </c>
      <c r="K112">
        <v>1256.47907173921</v>
      </c>
      <c r="L112">
        <v>265</v>
      </c>
      <c r="M112" t="s">
        <v>43</v>
      </c>
      <c r="N112" s="1">
        <v>44461</v>
      </c>
      <c r="O112" t="s">
        <v>33</v>
      </c>
      <c r="P112" t="s">
        <v>45</v>
      </c>
      <c r="Q112">
        <v>25</v>
      </c>
    </row>
    <row r="113" spans="1:17" x14ac:dyDescent="0.35">
      <c r="A113" t="s">
        <v>2406</v>
      </c>
      <c r="B113" t="str">
        <f t="shared" si="12"/>
        <v>18-25</v>
      </c>
      <c r="C113">
        <v>19</v>
      </c>
      <c r="D113" t="s">
        <v>26</v>
      </c>
      <c r="E113" t="s">
        <v>27</v>
      </c>
      <c r="F113" t="s">
        <v>47</v>
      </c>
      <c r="G113" s="1">
        <v>44394</v>
      </c>
      <c r="H113" t="s">
        <v>2407</v>
      </c>
      <c r="I113" t="s">
        <v>2408</v>
      </c>
      <c r="J113" t="s">
        <v>31</v>
      </c>
      <c r="K113">
        <v>25004.2686095141</v>
      </c>
      <c r="L113">
        <v>416</v>
      </c>
      <c r="M113" t="s">
        <v>32</v>
      </c>
      <c r="N113" s="1">
        <v>44395</v>
      </c>
      <c r="O113" t="s">
        <v>23</v>
      </c>
      <c r="P113" t="s">
        <v>24</v>
      </c>
      <c r="Q113">
        <v>1</v>
      </c>
    </row>
    <row r="114" spans="1:17" x14ac:dyDescent="0.35">
      <c r="A114" t="s">
        <v>2976</v>
      </c>
      <c r="B114" t="str">
        <f t="shared" si="12"/>
        <v>76-85</v>
      </c>
      <c r="C114">
        <v>78</v>
      </c>
      <c r="D114" t="s">
        <v>16</v>
      </c>
      <c r="E114" t="s">
        <v>65</v>
      </c>
      <c r="F114" t="s">
        <v>47</v>
      </c>
      <c r="G114" s="1">
        <v>43863</v>
      </c>
      <c r="H114" t="s">
        <v>2977</v>
      </c>
      <c r="I114" t="s">
        <v>2978</v>
      </c>
      <c r="J114" t="s">
        <v>59</v>
      </c>
      <c r="K114">
        <v>21293.018508273199</v>
      </c>
      <c r="L114">
        <v>487</v>
      </c>
      <c r="M114" t="s">
        <v>43</v>
      </c>
      <c r="N114" s="1">
        <v>43883</v>
      </c>
      <c r="O114" t="s">
        <v>44</v>
      </c>
      <c r="P114" t="s">
        <v>45</v>
      </c>
      <c r="Q114">
        <v>20</v>
      </c>
    </row>
    <row r="115" spans="1:17" x14ac:dyDescent="0.35">
      <c r="A115" t="s">
        <v>2257</v>
      </c>
      <c r="B115" t="str">
        <f t="shared" si="12"/>
        <v>56-65</v>
      </c>
      <c r="C115">
        <v>56</v>
      </c>
      <c r="D115" t="s">
        <v>26</v>
      </c>
      <c r="E115" t="s">
        <v>232</v>
      </c>
      <c r="F115" t="s">
        <v>47</v>
      </c>
      <c r="G115" s="1">
        <v>44419</v>
      </c>
      <c r="H115" t="s">
        <v>2258</v>
      </c>
      <c r="I115" t="s">
        <v>2259</v>
      </c>
      <c r="J115" t="s">
        <v>59</v>
      </c>
      <c r="K115">
        <v>44226.342901835997</v>
      </c>
      <c r="L115">
        <v>338</v>
      </c>
      <c r="M115" t="s">
        <v>22</v>
      </c>
      <c r="N115" s="1">
        <v>44448</v>
      </c>
      <c r="O115" t="s">
        <v>23</v>
      </c>
      <c r="P115" t="s">
        <v>34</v>
      </c>
      <c r="Q115">
        <v>29</v>
      </c>
    </row>
    <row r="116" spans="1:17" x14ac:dyDescent="0.35">
      <c r="A116" t="s">
        <v>2392</v>
      </c>
      <c r="B116" t="str">
        <f t="shared" si="12"/>
        <v>56-65</v>
      </c>
      <c r="C116">
        <v>65</v>
      </c>
      <c r="D116" t="s">
        <v>16</v>
      </c>
      <c r="E116" t="s">
        <v>51</v>
      </c>
      <c r="F116" t="s">
        <v>47</v>
      </c>
      <c r="G116" s="1">
        <v>44955</v>
      </c>
      <c r="H116" t="s">
        <v>2393</v>
      </c>
      <c r="I116" t="s">
        <v>2394</v>
      </c>
      <c r="J116" t="s">
        <v>31</v>
      </c>
      <c r="K116">
        <v>11296.5660235747</v>
      </c>
      <c r="L116">
        <v>123</v>
      </c>
      <c r="M116" t="s">
        <v>22</v>
      </c>
      <c r="N116" s="1">
        <v>44968</v>
      </c>
      <c r="O116" t="s">
        <v>23</v>
      </c>
      <c r="P116" t="s">
        <v>45</v>
      </c>
      <c r="Q116">
        <v>13</v>
      </c>
    </row>
    <row r="117" spans="1:17" x14ac:dyDescent="0.35">
      <c r="A117" t="s">
        <v>198</v>
      </c>
      <c r="B117" t="str">
        <f t="shared" si="12"/>
        <v>56-65</v>
      </c>
      <c r="C117">
        <v>60</v>
      </c>
      <c r="D117" t="s">
        <v>26</v>
      </c>
      <c r="E117" t="s">
        <v>117</v>
      </c>
      <c r="F117" t="s">
        <v>47</v>
      </c>
      <c r="G117" s="1">
        <v>44891</v>
      </c>
      <c r="H117" t="s">
        <v>199</v>
      </c>
      <c r="I117" t="s">
        <v>200</v>
      </c>
      <c r="J117" t="s">
        <v>63</v>
      </c>
      <c r="K117">
        <v>49576.874032886102</v>
      </c>
      <c r="L117">
        <v>132</v>
      </c>
      <c r="M117" t="s">
        <v>22</v>
      </c>
      <c r="N117" s="1">
        <v>44903</v>
      </c>
      <c r="O117" t="s">
        <v>44</v>
      </c>
      <c r="P117" t="s">
        <v>45</v>
      </c>
      <c r="Q117">
        <v>12</v>
      </c>
    </row>
    <row r="118" spans="1:17" x14ac:dyDescent="0.35">
      <c r="A118" t="s">
        <v>1972</v>
      </c>
      <c r="B118" t="str">
        <f t="shared" si="12"/>
        <v>66-75</v>
      </c>
      <c r="C118">
        <v>74</v>
      </c>
      <c r="D118" t="s">
        <v>26</v>
      </c>
      <c r="E118" t="s">
        <v>51</v>
      </c>
      <c r="F118" t="s">
        <v>47</v>
      </c>
      <c r="G118" s="1">
        <v>45149</v>
      </c>
      <c r="H118" t="s">
        <v>1973</v>
      </c>
      <c r="I118" t="s">
        <v>1974</v>
      </c>
      <c r="J118" t="s">
        <v>59</v>
      </c>
      <c r="K118">
        <v>38797.570160700299</v>
      </c>
      <c r="L118">
        <v>443</v>
      </c>
      <c r="M118" t="s">
        <v>32</v>
      </c>
      <c r="N118" s="1">
        <v>45168</v>
      </c>
      <c r="O118" t="s">
        <v>44</v>
      </c>
      <c r="P118" t="s">
        <v>24</v>
      </c>
      <c r="Q118">
        <v>19</v>
      </c>
    </row>
    <row r="119" spans="1:17" x14ac:dyDescent="0.35">
      <c r="A119" t="s">
        <v>1992</v>
      </c>
      <c r="B119" t="str">
        <f t="shared" si="12"/>
        <v>76-85</v>
      </c>
      <c r="C119">
        <v>83</v>
      </c>
      <c r="D119" t="s">
        <v>16</v>
      </c>
      <c r="E119" t="s">
        <v>36</v>
      </c>
      <c r="F119" t="s">
        <v>47</v>
      </c>
      <c r="G119" s="1">
        <v>44069</v>
      </c>
      <c r="H119" t="s">
        <v>1993</v>
      </c>
      <c r="I119" t="s">
        <v>1994</v>
      </c>
      <c r="J119" t="s">
        <v>54</v>
      </c>
      <c r="K119">
        <v>3484.9172789396198</v>
      </c>
      <c r="L119">
        <v>287</v>
      </c>
      <c r="M119" t="s">
        <v>22</v>
      </c>
      <c r="N119" s="1">
        <v>44095</v>
      </c>
      <c r="O119" t="s">
        <v>50</v>
      </c>
      <c r="P119" t="s">
        <v>34</v>
      </c>
      <c r="Q119">
        <v>26</v>
      </c>
    </row>
    <row r="120" spans="1:17" x14ac:dyDescent="0.35">
      <c r="A120" t="s">
        <v>2134</v>
      </c>
      <c r="B120" t="str">
        <f t="shared" si="12"/>
        <v>36-45</v>
      </c>
      <c r="C120">
        <v>36</v>
      </c>
      <c r="D120" t="s">
        <v>16</v>
      </c>
      <c r="E120" t="s">
        <v>51</v>
      </c>
      <c r="F120" t="s">
        <v>47</v>
      </c>
      <c r="G120" s="1">
        <v>44370</v>
      </c>
      <c r="H120" t="s">
        <v>2135</v>
      </c>
      <c r="I120" t="s">
        <v>1464</v>
      </c>
      <c r="J120" t="s">
        <v>21</v>
      </c>
      <c r="K120">
        <v>27564.3597271912</v>
      </c>
      <c r="L120">
        <v>244</v>
      </c>
      <c r="M120" t="s">
        <v>22</v>
      </c>
      <c r="N120" s="1">
        <v>44373</v>
      </c>
      <c r="O120" t="s">
        <v>50</v>
      </c>
      <c r="P120" t="s">
        <v>24</v>
      </c>
      <c r="Q120">
        <v>3</v>
      </c>
    </row>
    <row r="121" spans="1:17" x14ac:dyDescent="0.35">
      <c r="A121" t="s">
        <v>2949</v>
      </c>
      <c r="B121" t="str">
        <f t="shared" si="12"/>
        <v>18-25</v>
      </c>
      <c r="C121">
        <v>20</v>
      </c>
      <c r="D121" t="s">
        <v>16</v>
      </c>
      <c r="E121" t="s">
        <v>65</v>
      </c>
      <c r="F121" t="s">
        <v>47</v>
      </c>
      <c r="G121" s="1">
        <v>43763</v>
      </c>
      <c r="H121" t="s">
        <v>2950</v>
      </c>
      <c r="I121" t="s">
        <v>2951</v>
      </c>
      <c r="J121" t="s">
        <v>63</v>
      </c>
      <c r="K121">
        <v>6982.3929075024598</v>
      </c>
      <c r="L121">
        <v>157</v>
      </c>
      <c r="M121" t="s">
        <v>32</v>
      </c>
      <c r="N121" s="1">
        <v>43777</v>
      </c>
      <c r="O121" t="s">
        <v>87</v>
      </c>
      <c r="P121" t="s">
        <v>45</v>
      </c>
      <c r="Q121">
        <v>14</v>
      </c>
    </row>
    <row r="122" spans="1:17" x14ac:dyDescent="0.35">
      <c r="A122" t="s">
        <v>19</v>
      </c>
      <c r="B122" t="str">
        <f t="shared" si="12"/>
        <v>36-45</v>
      </c>
      <c r="C122">
        <v>41</v>
      </c>
      <c r="D122" t="s">
        <v>26</v>
      </c>
      <c r="E122" t="s">
        <v>51</v>
      </c>
      <c r="F122" t="s">
        <v>47</v>
      </c>
      <c r="G122" s="1">
        <v>44063</v>
      </c>
      <c r="H122" t="s">
        <v>52</v>
      </c>
      <c r="I122" t="s">
        <v>53</v>
      </c>
      <c r="J122" t="s">
        <v>54</v>
      </c>
      <c r="K122">
        <v>22522.363384853201</v>
      </c>
      <c r="L122">
        <v>180</v>
      </c>
      <c r="M122" t="s">
        <v>43</v>
      </c>
      <c r="N122" s="1">
        <v>44066</v>
      </c>
      <c r="O122" t="s">
        <v>23</v>
      </c>
      <c r="P122" t="s">
        <v>45</v>
      </c>
      <c r="Q122">
        <v>3</v>
      </c>
    </row>
    <row r="123" spans="1:17" x14ac:dyDescent="0.35">
      <c r="A123" t="s">
        <v>917</v>
      </c>
      <c r="B123" t="str">
        <f t="shared" si="12"/>
        <v>56-65</v>
      </c>
      <c r="C123">
        <v>62</v>
      </c>
      <c r="D123" t="s">
        <v>16</v>
      </c>
      <c r="E123" t="s">
        <v>36</v>
      </c>
      <c r="F123" t="s">
        <v>47</v>
      </c>
      <c r="G123" s="1">
        <v>44135</v>
      </c>
      <c r="H123" t="s">
        <v>918</v>
      </c>
      <c r="I123" t="s">
        <v>919</v>
      </c>
      <c r="J123" t="s">
        <v>59</v>
      </c>
      <c r="K123">
        <v>45477.909138649302</v>
      </c>
      <c r="L123">
        <v>482</v>
      </c>
      <c r="M123" t="s">
        <v>32</v>
      </c>
      <c r="N123" s="1">
        <v>44162</v>
      </c>
      <c r="O123" t="s">
        <v>44</v>
      </c>
      <c r="P123" t="s">
        <v>34</v>
      </c>
      <c r="Q123">
        <v>27</v>
      </c>
    </row>
    <row r="124" spans="1:17" x14ac:dyDescent="0.35">
      <c r="A124" t="s">
        <v>60</v>
      </c>
      <c r="B124" t="str">
        <f t="shared" si="12"/>
        <v>46-55</v>
      </c>
      <c r="C124">
        <v>55</v>
      </c>
      <c r="D124" t="s">
        <v>16</v>
      </c>
      <c r="E124" t="s">
        <v>17</v>
      </c>
      <c r="F124" t="s">
        <v>47</v>
      </c>
      <c r="G124" s="1">
        <v>43601</v>
      </c>
      <c r="H124" t="s">
        <v>61</v>
      </c>
      <c r="I124" t="s">
        <v>62</v>
      </c>
      <c r="J124" t="s">
        <v>63</v>
      </c>
      <c r="K124">
        <v>13546.8172493648</v>
      </c>
      <c r="L124">
        <v>384</v>
      </c>
      <c r="M124" t="s">
        <v>22</v>
      </c>
      <c r="N124" s="1">
        <v>43618</v>
      </c>
      <c r="O124" t="s">
        <v>23</v>
      </c>
      <c r="P124" t="s">
        <v>34</v>
      </c>
      <c r="Q124">
        <v>17</v>
      </c>
    </row>
    <row r="125" spans="1:17" x14ac:dyDescent="0.35">
      <c r="A125" t="s">
        <v>613</v>
      </c>
      <c r="B125" t="str">
        <f t="shared" si="12"/>
        <v>66-75</v>
      </c>
      <c r="C125">
        <v>66</v>
      </c>
      <c r="D125" t="s">
        <v>16</v>
      </c>
      <c r="E125" t="s">
        <v>27</v>
      </c>
      <c r="F125" t="s">
        <v>47</v>
      </c>
      <c r="G125" s="1">
        <v>44645</v>
      </c>
      <c r="H125" t="s">
        <v>614</v>
      </c>
      <c r="I125" t="s">
        <v>615</v>
      </c>
      <c r="J125" t="s">
        <v>59</v>
      </c>
      <c r="K125">
        <v>35415.682226921097</v>
      </c>
      <c r="L125">
        <v>344</v>
      </c>
      <c r="M125" t="s">
        <v>43</v>
      </c>
      <c r="N125" s="1">
        <v>44655</v>
      </c>
      <c r="O125" t="s">
        <v>33</v>
      </c>
      <c r="P125" t="s">
        <v>34</v>
      </c>
      <c r="Q125">
        <v>10</v>
      </c>
    </row>
    <row r="126" spans="1:17" x14ac:dyDescent="0.35">
      <c r="A126" t="s">
        <v>658</v>
      </c>
      <c r="B126" t="str">
        <f t="shared" si="12"/>
        <v>76-85</v>
      </c>
      <c r="C126">
        <v>76</v>
      </c>
      <c r="D126" t="s">
        <v>26</v>
      </c>
      <c r="E126" t="s">
        <v>117</v>
      </c>
      <c r="F126" t="s">
        <v>47</v>
      </c>
      <c r="G126" s="1">
        <v>44943</v>
      </c>
      <c r="H126" t="s">
        <v>659</v>
      </c>
      <c r="I126" t="s">
        <v>660</v>
      </c>
      <c r="J126" t="s">
        <v>31</v>
      </c>
      <c r="K126">
        <v>4871.0131841336797</v>
      </c>
      <c r="L126">
        <v>400</v>
      </c>
      <c r="M126" t="s">
        <v>22</v>
      </c>
      <c r="N126" s="1">
        <v>44951</v>
      </c>
      <c r="O126" t="s">
        <v>33</v>
      </c>
      <c r="P126" t="s">
        <v>45</v>
      </c>
      <c r="Q126">
        <v>8</v>
      </c>
    </row>
    <row r="127" spans="1:17" x14ac:dyDescent="0.35">
      <c r="A127" t="s">
        <v>775</v>
      </c>
      <c r="B127" t="str">
        <f t="shared" si="12"/>
        <v>56-65</v>
      </c>
      <c r="C127">
        <v>65</v>
      </c>
      <c r="D127" t="s">
        <v>16</v>
      </c>
      <c r="E127" t="s">
        <v>27</v>
      </c>
      <c r="F127" t="s">
        <v>47</v>
      </c>
      <c r="G127" s="1">
        <v>44559</v>
      </c>
      <c r="H127" t="s">
        <v>776</v>
      </c>
      <c r="I127" t="s">
        <v>182</v>
      </c>
      <c r="J127" t="s">
        <v>54</v>
      </c>
      <c r="K127">
        <v>2212.4779186830401</v>
      </c>
      <c r="L127">
        <v>244</v>
      </c>
      <c r="M127" t="s">
        <v>32</v>
      </c>
      <c r="N127" s="1">
        <v>44579</v>
      </c>
      <c r="O127" t="s">
        <v>50</v>
      </c>
      <c r="P127" t="s">
        <v>34</v>
      </c>
      <c r="Q127">
        <v>20</v>
      </c>
    </row>
    <row r="128" spans="1:17" x14ac:dyDescent="0.35">
      <c r="A128" t="s">
        <v>1229</v>
      </c>
      <c r="B128" t="str">
        <f t="shared" si="12"/>
        <v>36-45</v>
      </c>
      <c r="C128">
        <v>44</v>
      </c>
      <c r="D128" t="s">
        <v>26</v>
      </c>
      <c r="E128" t="s">
        <v>92</v>
      </c>
      <c r="F128" t="s">
        <v>47</v>
      </c>
      <c r="G128" s="1">
        <v>43513</v>
      </c>
      <c r="H128" t="s">
        <v>1230</v>
      </c>
      <c r="I128" t="s">
        <v>1231</v>
      </c>
      <c r="J128" t="s">
        <v>54</v>
      </c>
      <c r="K128">
        <v>13271.716783215101</v>
      </c>
      <c r="L128">
        <v>425</v>
      </c>
      <c r="M128" t="s">
        <v>22</v>
      </c>
      <c r="N128" s="1">
        <v>43523</v>
      </c>
      <c r="O128" t="s">
        <v>50</v>
      </c>
      <c r="P128" t="s">
        <v>24</v>
      </c>
      <c r="Q128">
        <v>10</v>
      </c>
    </row>
    <row r="129" spans="1:17" x14ac:dyDescent="0.35">
      <c r="A129" t="s">
        <v>843</v>
      </c>
      <c r="B129" t="str">
        <f t="shared" si="12"/>
        <v>76-85</v>
      </c>
      <c r="C129">
        <v>77</v>
      </c>
      <c r="D129" t="s">
        <v>26</v>
      </c>
      <c r="E129" t="s">
        <v>36</v>
      </c>
      <c r="F129" t="s">
        <v>47</v>
      </c>
      <c r="G129" s="1">
        <v>44282</v>
      </c>
      <c r="H129" t="s">
        <v>844</v>
      </c>
      <c r="I129" t="s">
        <v>845</v>
      </c>
      <c r="J129" t="s">
        <v>63</v>
      </c>
      <c r="K129">
        <v>23660.216628296101</v>
      </c>
      <c r="L129">
        <v>280</v>
      </c>
      <c r="M129" t="s">
        <v>22</v>
      </c>
      <c r="N129" s="1">
        <v>44293</v>
      </c>
      <c r="O129" t="s">
        <v>44</v>
      </c>
      <c r="P129" t="s">
        <v>34</v>
      </c>
      <c r="Q129">
        <v>11</v>
      </c>
    </row>
    <row r="130" spans="1:17" x14ac:dyDescent="0.35">
      <c r="A130" t="s">
        <v>1785</v>
      </c>
      <c r="B130" t="str">
        <f t="shared" si="12"/>
        <v>36-45</v>
      </c>
      <c r="C130">
        <v>37</v>
      </c>
      <c r="D130" t="s">
        <v>16</v>
      </c>
      <c r="E130" t="s">
        <v>92</v>
      </c>
      <c r="F130" t="s">
        <v>47</v>
      </c>
      <c r="G130" s="1">
        <v>44821</v>
      </c>
      <c r="H130" t="s">
        <v>1786</v>
      </c>
      <c r="I130" t="s">
        <v>1787</v>
      </c>
      <c r="J130" t="s">
        <v>21</v>
      </c>
      <c r="K130">
        <v>27740.621895862001</v>
      </c>
      <c r="L130">
        <v>419</v>
      </c>
      <c r="M130" t="s">
        <v>22</v>
      </c>
      <c r="N130" s="1">
        <v>44829</v>
      </c>
      <c r="O130" t="s">
        <v>23</v>
      </c>
      <c r="P130" t="s">
        <v>45</v>
      </c>
      <c r="Q130">
        <v>8</v>
      </c>
    </row>
    <row r="131" spans="1:17" x14ac:dyDescent="0.35">
      <c r="A131" t="s">
        <v>1639</v>
      </c>
      <c r="B131" t="str">
        <f t="shared" si="12"/>
        <v>36-45</v>
      </c>
      <c r="C131">
        <v>42</v>
      </c>
      <c r="D131" t="s">
        <v>16</v>
      </c>
      <c r="E131" t="s">
        <v>27</v>
      </c>
      <c r="F131" t="s">
        <v>47</v>
      </c>
      <c r="G131" s="1">
        <v>45140</v>
      </c>
      <c r="H131" t="s">
        <v>1640</v>
      </c>
      <c r="I131" t="s">
        <v>1641</v>
      </c>
      <c r="J131" t="s">
        <v>31</v>
      </c>
      <c r="K131">
        <v>17514.335725622899</v>
      </c>
      <c r="L131">
        <v>418</v>
      </c>
      <c r="M131" t="s">
        <v>32</v>
      </c>
      <c r="N131" s="1">
        <v>45170</v>
      </c>
      <c r="O131" t="s">
        <v>44</v>
      </c>
      <c r="P131" t="s">
        <v>34</v>
      </c>
      <c r="Q131">
        <v>30</v>
      </c>
    </row>
    <row r="132" spans="1:17" x14ac:dyDescent="0.35">
      <c r="A132" t="s">
        <v>422</v>
      </c>
      <c r="B132" t="str">
        <f t="shared" si="12"/>
        <v>36-45</v>
      </c>
      <c r="C132">
        <v>40</v>
      </c>
      <c r="D132" t="s">
        <v>16</v>
      </c>
      <c r="E132" t="s">
        <v>51</v>
      </c>
      <c r="F132" t="s">
        <v>47</v>
      </c>
      <c r="G132" s="1">
        <v>44028</v>
      </c>
      <c r="H132" t="s">
        <v>423</v>
      </c>
      <c r="I132" t="s">
        <v>424</v>
      </c>
      <c r="J132" t="s">
        <v>31</v>
      </c>
      <c r="K132">
        <v>9824.2650462846104</v>
      </c>
      <c r="L132">
        <v>238</v>
      </c>
      <c r="M132" t="s">
        <v>32</v>
      </c>
      <c r="N132" s="1">
        <v>44048</v>
      </c>
      <c r="O132" t="s">
        <v>44</v>
      </c>
      <c r="P132" t="s">
        <v>45</v>
      </c>
      <c r="Q132">
        <v>20</v>
      </c>
    </row>
    <row r="133" spans="1:17" x14ac:dyDescent="0.35">
      <c r="A133" t="s">
        <v>101</v>
      </c>
      <c r="B133" t="str">
        <f t="shared" si="12"/>
        <v>76-85</v>
      </c>
      <c r="C133">
        <v>80</v>
      </c>
      <c r="D133" t="s">
        <v>26</v>
      </c>
      <c r="E133" t="s">
        <v>17</v>
      </c>
      <c r="F133" t="s">
        <v>47</v>
      </c>
      <c r="G133" s="1">
        <v>43656</v>
      </c>
      <c r="H133" t="s">
        <v>102</v>
      </c>
      <c r="I133" t="s">
        <v>103</v>
      </c>
      <c r="J133" t="s">
        <v>63</v>
      </c>
      <c r="K133">
        <v>16609.311817449801</v>
      </c>
      <c r="L133">
        <v>366</v>
      </c>
      <c r="M133" t="s">
        <v>32</v>
      </c>
      <c r="N133" s="1">
        <v>43684</v>
      </c>
      <c r="O133" t="s">
        <v>87</v>
      </c>
      <c r="P133" t="s">
        <v>24</v>
      </c>
      <c r="Q133">
        <v>28</v>
      </c>
    </row>
    <row r="134" spans="1:17" x14ac:dyDescent="0.35">
      <c r="A134" t="s">
        <v>754</v>
      </c>
      <c r="B134" t="str">
        <f t="shared" si="12"/>
        <v>46-55</v>
      </c>
      <c r="C134">
        <v>48</v>
      </c>
      <c r="D134" t="s">
        <v>16</v>
      </c>
      <c r="E134" t="s">
        <v>117</v>
      </c>
      <c r="F134" t="s">
        <v>47</v>
      </c>
      <c r="G134" s="1">
        <v>44660</v>
      </c>
      <c r="H134" t="s">
        <v>755</v>
      </c>
      <c r="I134" t="s">
        <v>756</v>
      </c>
      <c r="J134" t="s">
        <v>21</v>
      </c>
      <c r="K134">
        <v>12547.100881090701</v>
      </c>
      <c r="L134">
        <v>154</v>
      </c>
      <c r="M134" t="s">
        <v>22</v>
      </c>
      <c r="N134" s="1">
        <v>44686</v>
      </c>
      <c r="O134" t="s">
        <v>23</v>
      </c>
      <c r="P134" t="s">
        <v>34</v>
      </c>
      <c r="Q134">
        <v>26</v>
      </c>
    </row>
    <row r="135" spans="1:17" x14ac:dyDescent="0.35">
      <c r="A135" t="s">
        <v>497</v>
      </c>
      <c r="B135" t="str">
        <f t="shared" si="12"/>
        <v>46-55</v>
      </c>
      <c r="C135">
        <v>47</v>
      </c>
      <c r="D135" t="s">
        <v>26</v>
      </c>
      <c r="E135" t="s">
        <v>51</v>
      </c>
      <c r="F135" t="s">
        <v>47</v>
      </c>
      <c r="G135" s="1">
        <v>43923</v>
      </c>
      <c r="H135" t="s">
        <v>498</v>
      </c>
      <c r="I135" t="s">
        <v>499</v>
      </c>
      <c r="J135" t="s">
        <v>59</v>
      </c>
      <c r="K135">
        <v>31670.263275760299</v>
      </c>
      <c r="L135">
        <v>136</v>
      </c>
      <c r="M135" t="s">
        <v>32</v>
      </c>
      <c r="N135" s="1">
        <v>43943</v>
      </c>
      <c r="O135" t="s">
        <v>23</v>
      </c>
      <c r="P135" t="s">
        <v>24</v>
      </c>
      <c r="Q135">
        <v>20</v>
      </c>
    </row>
    <row r="136" spans="1:17" x14ac:dyDescent="0.35">
      <c r="A136" t="s">
        <v>2940</v>
      </c>
      <c r="B136" t="str">
        <f t="shared" si="12"/>
        <v>26-35</v>
      </c>
      <c r="C136">
        <v>27</v>
      </c>
      <c r="D136" t="s">
        <v>26</v>
      </c>
      <c r="E136" t="s">
        <v>27</v>
      </c>
      <c r="F136" t="s">
        <v>47</v>
      </c>
      <c r="G136" s="1">
        <v>43438</v>
      </c>
      <c r="H136" t="s">
        <v>2941</v>
      </c>
      <c r="I136" t="s">
        <v>2942</v>
      </c>
      <c r="J136" t="s">
        <v>31</v>
      </c>
      <c r="K136">
        <v>18290.276536766702</v>
      </c>
      <c r="L136">
        <v>141</v>
      </c>
      <c r="M136" t="s">
        <v>43</v>
      </c>
      <c r="N136" s="1">
        <v>43449</v>
      </c>
      <c r="O136" t="s">
        <v>87</v>
      </c>
      <c r="P136" t="s">
        <v>45</v>
      </c>
      <c r="Q136">
        <v>11</v>
      </c>
    </row>
    <row r="137" spans="1:17" x14ac:dyDescent="0.35">
      <c r="A137" t="s">
        <v>2426</v>
      </c>
      <c r="B137" t="str">
        <f t="shared" si="12"/>
        <v>56-65</v>
      </c>
      <c r="C137">
        <v>57</v>
      </c>
      <c r="D137" t="s">
        <v>26</v>
      </c>
      <c r="E137" t="s">
        <v>17</v>
      </c>
      <c r="F137" t="s">
        <v>47</v>
      </c>
      <c r="G137" s="1">
        <v>43587</v>
      </c>
      <c r="H137" t="s">
        <v>2427</v>
      </c>
      <c r="I137" t="s">
        <v>2428</v>
      </c>
      <c r="J137" t="s">
        <v>59</v>
      </c>
      <c r="K137">
        <v>44595.209917483298</v>
      </c>
      <c r="L137">
        <v>240</v>
      </c>
      <c r="M137" t="s">
        <v>32</v>
      </c>
      <c r="N137" s="1">
        <v>43602</v>
      </c>
      <c r="O137" t="s">
        <v>33</v>
      </c>
      <c r="P137" t="s">
        <v>34</v>
      </c>
      <c r="Q137">
        <v>15</v>
      </c>
    </row>
    <row r="138" spans="1:17" x14ac:dyDescent="0.35">
      <c r="A138" t="s">
        <v>1603</v>
      </c>
      <c r="B138" t="str">
        <f t="shared" si="12"/>
        <v>76-85</v>
      </c>
      <c r="C138">
        <v>84</v>
      </c>
      <c r="D138" t="s">
        <v>16</v>
      </c>
      <c r="E138" t="s">
        <v>117</v>
      </c>
      <c r="F138" t="s">
        <v>47</v>
      </c>
      <c r="G138" s="1">
        <v>44411</v>
      </c>
      <c r="H138" t="s">
        <v>1604</v>
      </c>
      <c r="I138" t="s">
        <v>1605</v>
      </c>
      <c r="J138" t="s">
        <v>31</v>
      </c>
      <c r="K138">
        <v>37589.305795129803</v>
      </c>
      <c r="L138">
        <v>171</v>
      </c>
      <c r="M138" t="s">
        <v>43</v>
      </c>
      <c r="N138" s="1">
        <v>44425</v>
      </c>
      <c r="O138" t="s">
        <v>23</v>
      </c>
      <c r="P138" t="s">
        <v>34</v>
      </c>
      <c r="Q138">
        <v>14</v>
      </c>
    </row>
    <row r="139" spans="1:17" x14ac:dyDescent="0.35">
      <c r="A139" t="s">
        <v>1203</v>
      </c>
      <c r="B139" t="str">
        <f t="shared" si="12"/>
        <v>18-25</v>
      </c>
      <c r="C139">
        <v>25</v>
      </c>
      <c r="D139" t="s">
        <v>16</v>
      </c>
      <c r="E139" t="s">
        <v>51</v>
      </c>
      <c r="F139" t="s">
        <v>47</v>
      </c>
      <c r="G139" s="1">
        <v>44505</v>
      </c>
      <c r="H139" t="s">
        <v>2567</v>
      </c>
      <c r="I139" t="s">
        <v>2568</v>
      </c>
      <c r="J139" t="s">
        <v>21</v>
      </c>
      <c r="K139">
        <v>30615.009101675201</v>
      </c>
      <c r="L139">
        <v>332</v>
      </c>
      <c r="M139" t="s">
        <v>32</v>
      </c>
      <c r="N139" s="1">
        <v>44535</v>
      </c>
      <c r="O139" t="s">
        <v>50</v>
      </c>
      <c r="P139" t="s">
        <v>24</v>
      </c>
      <c r="Q139">
        <v>30</v>
      </c>
    </row>
    <row r="140" spans="1:17" x14ac:dyDescent="0.35">
      <c r="A140" t="s">
        <v>1155</v>
      </c>
      <c r="B140" t="str">
        <f t="shared" si="12"/>
        <v>26-35</v>
      </c>
      <c r="C140">
        <v>26</v>
      </c>
      <c r="D140" t="s">
        <v>26</v>
      </c>
      <c r="E140" t="s">
        <v>232</v>
      </c>
      <c r="F140" t="s">
        <v>47</v>
      </c>
      <c r="G140" s="1">
        <v>43506</v>
      </c>
      <c r="H140" t="s">
        <v>1156</v>
      </c>
      <c r="I140" t="s">
        <v>1157</v>
      </c>
      <c r="J140" t="s">
        <v>31</v>
      </c>
      <c r="K140">
        <v>29737.635840160401</v>
      </c>
      <c r="L140">
        <v>275</v>
      </c>
      <c r="M140" t="s">
        <v>22</v>
      </c>
      <c r="N140" s="1">
        <v>43512</v>
      </c>
      <c r="O140" t="s">
        <v>50</v>
      </c>
      <c r="P140" t="s">
        <v>45</v>
      </c>
      <c r="Q140">
        <v>6</v>
      </c>
    </row>
    <row r="141" spans="1:17" x14ac:dyDescent="0.35">
      <c r="A141" t="s">
        <v>1913</v>
      </c>
      <c r="B141" t="str">
        <f t="shared" si="12"/>
        <v>76-85</v>
      </c>
      <c r="C141">
        <v>80</v>
      </c>
      <c r="D141" t="s">
        <v>26</v>
      </c>
      <c r="E141" t="s">
        <v>51</v>
      </c>
      <c r="F141" t="s">
        <v>47</v>
      </c>
      <c r="G141" s="1">
        <v>44889</v>
      </c>
      <c r="H141" t="s">
        <v>1914</v>
      </c>
      <c r="I141" t="s">
        <v>1915</v>
      </c>
      <c r="J141" t="s">
        <v>59</v>
      </c>
      <c r="K141">
        <v>26137.148020363002</v>
      </c>
      <c r="L141">
        <v>405</v>
      </c>
      <c r="M141" t="s">
        <v>43</v>
      </c>
      <c r="N141" s="1">
        <v>44913</v>
      </c>
      <c r="O141" t="s">
        <v>44</v>
      </c>
      <c r="P141" t="s">
        <v>34</v>
      </c>
      <c r="Q141">
        <v>24</v>
      </c>
    </row>
    <row r="142" spans="1:17" x14ac:dyDescent="0.35">
      <c r="A142" t="s">
        <v>1886</v>
      </c>
      <c r="B142" t="str">
        <f t="shared" si="12"/>
        <v>36-45</v>
      </c>
      <c r="C142">
        <v>42</v>
      </c>
      <c r="D142" t="s">
        <v>26</v>
      </c>
      <c r="E142" t="s">
        <v>232</v>
      </c>
      <c r="F142" t="s">
        <v>47</v>
      </c>
      <c r="G142" s="1">
        <v>43455</v>
      </c>
      <c r="H142" t="s">
        <v>1887</v>
      </c>
      <c r="I142" t="s">
        <v>1888</v>
      </c>
      <c r="J142" t="s">
        <v>63</v>
      </c>
      <c r="K142">
        <v>17774.513460335798</v>
      </c>
      <c r="L142">
        <v>315</v>
      </c>
      <c r="M142" t="s">
        <v>32</v>
      </c>
      <c r="N142" s="1">
        <v>43462</v>
      </c>
      <c r="O142" t="s">
        <v>44</v>
      </c>
      <c r="P142" t="s">
        <v>34</v>
      </c>
      <c r="Q142">
        <v>7</v>
      </c>
    </row>
    <row r="143" spans="1:17" x14ac:dyDescent="0.35">
      <c r="A143" t="s">
        <v>1468</v>
      </c>
      <c r="B143" t="str">
        <f t="shared" si="12"/>
        <v>18-25</v>
      </c>
      <c r="C143">
        <v>23</v>
      </c>
      <c r="D143" t="s">
        <v>26</v>
      </c>
      <c r="E143" t="s">
        <v>36</v>
      </c>
      <c r="F143" t="s">
        <v>47</v>
      </c>
      <c r="G143" s="1">
        <v>44391</v>
      </c>
      <c r="H143" t="s">
        <v>1469</v>
      </c>
      <c r="I143" t="s">
        <v>1470</v>
      </c>
      <c r="J143" t="s">
        <v>59</v>
      </c>
      <c r="K143">
        <v>5181.7973294712801</v>
      </c>
      <c r="L143">
        <v>277</v>
      </c>
      <c r="M143" t="s">
        <v>43</v>
      </c>
      <c r="N143" s="1">
        <v>44398</v>
      </c>
      <c r="O143" t="s">
        <v>87</v>
      </c>
      <c r="P143" t="s">
        <v>34</v>
      </c>
      <c r="Q143">
        <v>7</v>
      </c>
    </row>
    <row r="144" spans="1:17" x14ac:dyDescent="0.35">
      <c r="A144" t="s">
        <v>333</v>
      </c>
      <c r="B144" t="str">
        <f t="shared" si="12"/>
        <v>36-45</v>
      </c>
      <c r="C144">
        <v>38</v>
      </c>
      <c r="D144" t="s">
        <v>26</v>
      </c>
      <c r="E144" t="s">
        <v>232</v>
      </c>
      <c r="F144" t="s">
        <v>47</v>
      </c>
      <c r="G144" s="1">
        <v>44175</v>
      </c>
      <c r="H144" t="s">
        <v>334</v>
      </c>
      <c r="I144" t="s">
        <v>335</v>
      </c>
      <c r="J144" t="s">
        <v>21</v>
      </c>
      <c r="K144">
        <v>11057.975641406199</v>
      </c>
      <c r="L144">
        <v>176</v>
      </c>
      <c r="M144" t="s">
        <v>32</v>
      </c>
      <c r="N144" s="1">
        <v>44205</v>
      </c>
      <c r="O144" t="s">
        <v>87</v>
      </c>
      <c r="P144" t="s">
        <v>45</v>
      </c>
      <c r="Q144">
        <v>30</v>
      </c>
    </row>
    <row r="145" spans="1:17" x14ac:dyDescent="0.35">
      <c r="A145" t="s">
        <v>1665</v>
      </c>
      <c r="B145" t="str">
        <f t="shared" si="12"/>
        <v>76-85</v>
      </c>
      <c r="C145">
        <v>82</v>
      </c>
      <c r="D145" t="s">
        <v>26</v>
      </c>
      <c r="E145" t="s">
        <v>51</v>
      </c>
      <c r="F145" t="s">
        <v>47</v>
      </c>
      <c r="G145" s="1">
        <v>43745</v>
      </c>
      <c r="H145" t="s">
        <v>1666</v>
      </c>
      <c r="I145" t="s">
        <v>1667</v>
      </c>
      <c r="J145" t="s">
        <v>54</v>
      </c>
      <c r="K145">
        <v>9530.4477557268892</v>
      </c>
      <c r="L145">
        <v>130</v>
      </c>
      <c r="M145" t="s">
        <v>32</v>
      </c>
      <c r="N145" s="1">
        <v>43755</v>
      </c>
      <c r="O145" t="s">
        <v>44</v>
      </c>
      <c r="P145" t="s">
        <v>34</v>
      </c>
      <c r="Q145">
        <v>10</v>
      </c>
    </row>
    <row r="146" spans="1:17" x14ac:dyDescent="0.35">
      <c r="A146" t="s">
        <v>1774</v>
      </c>
      <c r="B146" t="str">
        <f t="shared" si="12"/>
        <v>18-25</v>
      </c>
      <c r="C146">
        <v>24</v>
      </c>
      <c r="D146" t="s">
        <v>26</v>
      </c>
      <c r="E146" t="s">
        <v>51</v>
      </c>
      <c r="F146" t="s">
        <v>47</v>
      </c>
      <c r="G146" s="1">
        <v>44143</v>
      </c>
      <c r="H146" t="s">
        <v>1775</v>
      </c>
      <c r="I146" t="s">
        <v>1776</v>
      </c>
      <c r="J146" t="s">
        <v>31</v>
      </c>
      <c r="K146">
        <v>27793.874151156899</v>
      </c>
      <c r="L146">
        <v>354</v>
      </c>
      <c r="M146" t="s">
        <v>22</v>
      </c>
      <c r="N146" s="1">
        <v>44172</v>
      </c>
      <c r="O146" t="s">
        <v>33</v>
      </c>
      <c r="P146" t="s">
        <v>45</v>
      </c>
      <c r="Q146">
        <v>29</v>
      </c>
    </row>
    <row r="147" spans="1:17" x14ac:dyDescent="0.35">
      <c r="A147" t="s">
        <v>1753</v>
      </c>
      <c r="B147" t="str">
        <f t="shared" si="12"/>
        <v>26-35</v>
      </c>
      <c r="C147">
        <v>30</v>
      </c>
      <c r="D147" t="s">
        <v>26</v>
      </c>
      <c r="E147" t="s">
        <v>117</v>
      </c>
      <c r="F147" t="s">
        <v>47</v>
      </c>
      <c r="G147" s="1">
        <v>45173</v>
      </c>
      <c r="H147" t="s">
        <v>1754</v>
      </c>
      <c r="I147" t="s">
        <v>1755</v>
      </c>
      <c r="J147" t="s">
        <v>63</v>
      </c>
      <c r="K147">
        <v>22325.858487842601</v>
      </c>
      <c r="L147">
        <v>494</v>
      </c>
      <c r="M147" t="s">
        <v>32</v>
      </c>
      <c r="N147" s="1">
        <v>45185</v>
      </c>
      <c r="O147" t="s">
        <v>87</v>
      </c>
      <c r="P147" t="s">
        <v>34</v>
      </c>
      <c r="Q147">
        <v>12</v>
      </c>
    </row>
    <row r="148" spans="1:17" x14ac:dyDescent="0.35">
      <c r="A148" t="s">
        <v>1373</v>
      </c>
      <c r="B148" t="str">
        <f t="shared" ref="B148:B211" si="13">VLOOKUP(C148,$T$3:$U$9,2,TRUE)</f>
        <v>56-65</v>
      </c>
      <c r="C148">
        <v>65</v>
      </c>
      <c r="D148" t="s">
        <v>16</v>
      </c>
      <c r="E148" t="s">
        <v>92</v>
      </c>
      <c r="F148" t="s">
        <v>47</v>
      </c>
      <c r="G148" s="1">
        <v>45136</v>
      </c>
      <c r="H148" t="s">
        <v>1374</v>
      </c>
      <c r="I148" t="s">
        <v>1375</v>
      </c>
      <c r="J148" t="s">
        <v>59</v>
      </c>
      <c r="K148">
        <v>26531.6982940903</v>
      </c>
      <c r="L148">
        <v>375</v>
      </c>
      <c r="M148" t="s">
        <v>22</v>
      </c>
      <c r="N148" s="1">
        <v>45148</v>
      </c>
      <c r="O148" t="s">
        <v>50</v>
      </c>
      <c r="P148" t="s">
        <v>45</v>
      </c>
      <c r="Q148">
        <v>12</v>
      </c>
    </row>
    <row r="149" spans="1:17" x14ac:dyDescent="0.35">
      <c r="A149" t="s">
        <v>2097</v>
      </c>
      <c r="B149" t="str">
        <f t="shared" si="13"/>
        <v>56-65</v>
      </c>
      <c r="C149">
        <v>65</v>
      </c>
      <c r="D149" t="s">
        <v>26</v>
      </c>
      <c r="E149" t="s">
        <v>65</v>
      </c>
      <c r="F149" t="s">
        <v>47</v>
      </c>
      <c r="G149" s="1">
        <v>43832</v>
      </c>
      <c r="H149" t="s">
        <v>2098</v>
      </c>
      <c r="I149" t="s">
        <v>1464</v>
      </c>
      <c r="J149" t="s">
        <v>63</v>
      </c>
      <c r="K149">
        <v>6264.5528465513498</v>
      </c>
      <c r="L149">
        <v>483</v>
      </c>
      <c r="M149" t="s">
        <v>32</v>
      </c>
      <c r="N149" s="1">
        <v>43854</v>
      </c>
      <c r="O149" t="s">
        <v>87</v>
      </c>
      <c r="P149" t="s">
        <v>24</v>
      </c>
      <c r="Q149">
        <v>22</v>
      </c>
    </row>
    <row r="150" spans="1:17" x14ac:dyDescent="0.35">
      <c r="A150" t="s">
        <v>878</v>
      </c>
      <c r="B150" t="str">
        <f t="shared" si="13"/>
        <v>36-45</v>
      </c>
      <c r="C150">
        <v>39</v>
      </c>
      <c r="D150" t="s">
        <v>26</v>
      </c>
      <c r="E150" t="s">
        <v>51</v>
      </c>
      <c r="F150" t="s">
        <v>47</v>
      </c>
      <c r="G150" s="1">
        <v>44720</v>
      </c>
      <c r="H150" t="s">
        <v>879</v>
      </c>
      <c r="I150" t="s">
        <v>880</v>
      </c>
      <c r="J150" t="s">
        <v>21</v>
      </c>
      <c r="K150">
        <v>28394.399066466602</v>
      </c>
      <c r="L150">
        <v>442</v>
      </c>
      <c r="M150" t="s">
        <v>32</v>
      </c>
      <c r="N150" s="1">
        <v>44750</v>
      </c>
      <c r="O150" t="s">
        <v>23</v>
      </c>
      <c r="P150" t="s">
        <v>34</v>
      </c>
      <c r="Q150">
        <v>30</v>
      </c>
    </row>
    <row r="151" spans="1:17" x14ac:dyDescent="0.35">
      <c r="A151" t="s">
        <v>95</v>
      </c>
      <c r="B151" t="str">
        <f t="shared" si="13"/>
        <v>18-25</v>
      </c>
      <c r="C151">
        <v>23</v>
      </c>
      <c r="D151" t="s">
        <v>26</v>
      </c>
      <c r="E151" t="s">
        <v>65</v>
      </c>
      <c r="F151" t="s">
        <v>47</v>
      </c>
      <c r="G151" s="1">
        <v>44628</v>
      </c>
      <c r="H151" t="s">
        <v>96</v>
      </c>
      <c r="I151" t="s">
        <v>97</v>
      </c>
      <c r="J151" t="s">
        <v>21</v>
      </c>
      <c r="K151">
        <v>45213.537626419602</v>
      </c>
      <c r="L151">
        <v>475</v>
      </c>
      <c r="M151" t="s">
        <v>22</v>
      </c>
      <c r="N151" s="1">
        <v>44636</v>
      </c>
      <c r="O151" t="s">
        <v>87</v>
      </c>
      <c r="P151" t="s">
        <v>24</v>
      </c>
      <c r="Q151">
        <v>8</v>
      </c>
    </row>
    <row r="152" spans="1:17" x14ac:dyDescent="0.35">
      <c r="A152" t="s">
        <v>135</v>
      </c>
      <c r="B152" t="str">
        <f t="shared" si="13"/>
        <v>36-45</v>
      </c>
      <c r="C152">
        <v>37</v>
      </c>
      <c r="D152" t="s">
        <v>16</v>
      </c>
      <c r="E152" t="s">
        <v>36</v>
      </c>
      <c r="F152" t="s">
        <v>47</v>
      </c>
      <c r="G152" s="1">
        <v>44509</v>
      </c>
      <c r="H152" t="s">
        <v>136</v>
      </c>
      <c r="I152" t="s">
        <v>137</v>
      </c>
      <c r="J152" t="s">
        <v>21</v>
      </c>
      <c r="K152">
        <v>22356.082268250699</v>
      </c>
      <c r="L152">
        <v>456</v>
      </c>
      <c r="M152" t="s">
        <v>32</v>
      </c>
      <c r="N152" s="1">
        <v>44528</v>
      </c>
      <c r="O152" t="s">
        <v>33</v>
      </c>
      <c r="P152" t="s">
        <v>45</v>
      </c>
      <c r="Q152">
        <v>19</v>
      </c>
    </row>
    <row r="153" spans="1:17" x14ac:dyDescent="0.35">
      <c r="A153" t="s">
        <v>1208</v>
      </c>
      <c r="B153" t="str">
        <f t="shared" si="13"/>
        <v>26-35</v>
      </c>
      <c r="C153">
        <v>35</v>
      </c>
      <c r="D153" t="s">
        <v>26</v>
      </c>
      <c r="E153" t="s">
        <v>92</v>
      </c>
      <c r="F153" t="s">
        <v>47</v>
      </c>
      <c r="G153" s="1">
        <v>45179</v>
      </c>
      <c r="H153" t="s">
        <v>1209</v>
      </c>
      <c r="I153" t="s">
        <v>1210</v>
      </c>
      <c r="J153" t="s">
        <v>54</v>
      </c>
      <c r="K153">
        <v>4098.8542028788597</v>
      </c>
      <c r="L153">
        <v>168</v>
      </c>
      <c r="M153" t="s">
        <v>22</v>
      </c>
      <c r="N153" s="1">
        <v>45187</v>
      </c>
      <c r="O153" t="s">
        <v>50</v>
      </c>
      <c r="P153" t="s">
        <v>24</v>
      </c>
      <c r="Q153">
        <v>8</v>
      </c>
    </row>
    <row r="154" spans="1:17" x14ac:dyDescent="0.35">
      <c r="A154" t="s">
        <v>2866</v>
      </c>
      <c r="B154" t="str">
        <f t="shared" si="13"/>
        <v>76-85</v>
      </c>
      <c r="C154">
        <v>77</v>
      </c>
      <c r="D154" t="s">
        <v>16</v>
      </c>
      <c r="E154" t="s">
        <v>92</v>
      </c>
      <c r="F154" t="s">
        <v>47</v>
      </c>
      <c r="G154" s="1">
        <v>43922</v>
      </c>
      <c r="H154" t="s">
        <v>2867</v>
      </c>
      <c r="I154" t="s">
        <v>2868</v>
      </c>
      <c r="J154" t="s">
        <v>21</v>
      </c>
      <c r="K154">
        <v>17704.741580046099</v>
      </c>
      <c r="L154">
        <v>127</v>
      </c>
      <c r="M154" t="s">
        <v>32</v>
      </c>
      <c r="N154" s="1">
        <v>43943</v>
      </c>
      <c r="O154" t="s">
        <v>44</v>
      </c>
      <c r="P154" t="s">
        <v>45</v>
      </c>
      <c r="Q154">
        <v>21</v>
      </c>
    </row>
    <row r="155" spans="1:17" x14ac:dyDescent="0.35">
      <c r="A155" t="s">
        <v>464</v>
      </c>
      <c r="B155" t="str">
        <f t="shared" si="13"/>
        <v>66-75</v>
      </c>
      <c r="C155">
        <v>71</v>
      </c>
      <c r="D155" t="s">
        <v>16</v>
      </c>
      <c r="E155" t="s">
        <v>51</v>
      </c>
      <c r="F155" t="s">
        <v>47</v>
      </c>
      <c r="G155" s="1">
        <v>44325</v>
      </c>
      <c r="H155" t="s">
        <v>465</v>
      </c>
      <c r="I155" t="s">
        <v>466</v>
      </c>
      <c r="J155" t="s">
        <v>21</v>
      </c>
      <c r="K155">
        <v>43535.609044458201</v>
      </c>
      <c r="L155">
        <v>145</v>
      </c>
      <c r="M155" t="s">
        <v>32</v>
      </c>
      <c r="N155" s="1">
        <v>44340</v>
      </c>
      <c r="O155" t="s">
        <v>23</v>
      </c>
      <c r="P155" t="s">
        <v>34</v>
      </c>
      <c r="Q155">
        <v>15</v>
      </c>
    </row>
    <row r="156" spans="1:17" x14ac:dyDescent="0.35">
      <c r="A156" t="s">
        <v>298</v>
      </c>
      <c r="B156" t="str">
        <f t="shared" si="13"/>
        <v>66-75</v>
      </c>
      <c r="C156">
        <v>70</v>
      </c>
      <c r="D156" t="s">
        <v>16</v>
      </c>
      <c r="E156" t="s">
        <v>117</v>
      </c>
      <c r="F156" t="s">
        <v>47</v>
      </c>
      <c r="G156" s="1">
        <v>43477</v>
      </c>
      <c r="H156" t="s">
        <v>299</v>
      </c>
      <c r="I156" t="s">
        <v>300</v>
      </c>
      <c r="J156" t="s">
        <v>21</v>
      </c>
      <c r="K156">
        <v>44047.144241884198</v>
      </c>
      <c r="L156">
        <v>482</v>
      </c>
      <c r="M156" t="s">
        <v>22</v>
      </c>
      <c r="N156" s="1">
        <v>43507</v>
      </c>
      <c r="O156" t="s">
        <v>44</v>
      </c>
      <c r="P156" t="s">
        <v>34</v>
      </c>
      <c r="Q156">
        <v>30</v>
      </c>
    </row>
    <row r="157" spans="1:17" x14ac:dyDescent="0.35">
      <c r="A157" t="s">
        <v>967</v>
      </c>
      <c r="B157" t="str">
        <f t="shared" si="13"/>
        <v>76-85</v>
      </c>
      <c r="C157">
        <v>76</v>
      </c>
      <c r="D157" t="s">
        <v>16</v>
      </c>
      <c r="E157" t="s">
        <v>17</v>
      </c>
      <c r="F157" t="s">
        <v>47</v>
      </c>
      <c r="G157" s="1">
        <v>43781</v>
      </c>
      <c r="H157" t="s">
        <v>808</v>
      </c>
      <c r="I157" t="s">
        <v>968</v>
      </c>
      <c r="J157" t="s">
        <v>21</v>
      </c>
      <c r="K157">
        <v>42007.244350615998</v>
      </c>
      <c r="L157">
        <v>440</v>
      </c>
      <c r="M157" t="s">
        <v>32</v>
      </c>
      <c r="N157" s="1">
        <v>43806</v>
      </c>
      <c r="O157" t="s">
        <v>50</v>
      </c>
      <c r="P157" t="s">
        <v>34</v>
      </c>
      <c r="Q157">
        <v>25</v>
      </c>
    </row>
    <row r="158" spans="1:17" x14ac:dyDescent="0.35">
      <c r="A158" t="s">
        <v>104</v>
      </c>
      <c r="B158" t="str">
        <f t="shared" si="13"/>
        <v>46-55</v>
      </c>
      <c r="C158">
        <v>55</v>
      </c>
      <c r="D158" t="s">
        <v>16</v>
      </c>
      <c r="E158" t="s">
        <v>51</v>
      </c>
      <c r="F158" t="s">
        <v>47</v>
      </c>
      <c r="G158" s="1">
        <v>44982</v>
      </c>
      <c r="H158" t="s">
        <v>105</v>
      </c>
      <c r="I158" t="s">
        <v>106</v>
      </c>
      <c r="J158" t="s">
        <v>54</v>
      </c>
      <c r="K158">
        <v>32263.6221565624</v>
      </c>
      <c r="L158">
        <v>238</v>
      </c>
      <c r="M158" t="s">
        <v>32</v>
      </c>
      <c r="N158" s="1">
        <v>45012</v>
      </c>
      <c r="O158" t="s">
        <v>44</v>
      </c>
      <c r="P158" t="s">
        <v>34</v>
      </c>
      <c r="Q158">
        <v>30</v>
      </c>
    </row>
    <row r="159" spans="1:17" x14ac:dyDescent="0.35">
      <c r="A159" t="s">
        <v>1337</v>
      </c>
      <c r="B159" t="str">
        <f t="shared" si="13"/>
        <v>76-85</v>
      </c>
      <c r="C159">
        <v>81</v>
      </c>
      <c r="D159" t="s">
        <v>16</v>
      </c>
      <c r="E159" t="s">
        <v>27</v>
      </c>
      <c r="F159" t="s">
        <v>47</v>
      </c>
      <c r="G159" s="1">
        <v>44792</v>
      </c>
      <c r="H159" t="s">
        <v>1338</v>
      </c>
      <c r="I159" t="s">
        <v>1339</v>
      </c>
      <c r="J159" t="s">
        <v>54</v>
      </c>
      <c r="K159">
        <v>4377.6019867773703</v>
      </c>
      <c r="L159">
        <v>265</v>
      </c>
      <c r="M159" t="s">
        <v>22</v>
      </c>
      <c r="N159" s="1">
        <v>44813</v>
      </c>
      <c r="O159" t="s">
        <v>33</v>
      </c>
      <c r="P159" t="s">
        <v>45</v>
      </c>
      <c r="Q159">
        <v>21</v>
      </c>
    </row>
    <row r="160" spans="1:17" x14ac:dyDescent="0.35">
      <c r="A160" t="s">
        <v>2928</v>
      </c>
      <c r="B160" t="str">
        <f t="shared" si="13"/>
        <v>76-85</v>
      </c>
      <c r="C160">
        <v>78</v>
      </c>
      <c r="D160" t="s">
        <v>26</v>
      </c>
      <c r="E160" t="s">
        <v>65</v>
      </c>
      <c r="F160" t="s">
        <v>47</v>
      </c>
      <c r="G160" s="1">
        <v>45197</v>
      </c>
      <c r="H160" t="s">
        <v>2929</v>
      </c>
      <c r="I160" t="s">
        <v>2930</v>
      </c>
      <c r="J160" t="s">
        <v>63</v>
      </c>
      <c r="K160">
        <v>20707.319633024901</v>
      </c>
      <c r="L160">
        <v>261</v>
      </c>
      <c r="M160" t="s">
        <v>22</v>
      </c>
      <c r="N160" s="1">
        <v>45207</v>
      </c>
      <c r="O160" t="s">
        <v>33</v>
      </c>
      <c r="P160" t="s">
        <v>34</v>
      </c>
      <c r="Q160">
        <v>10</v>
      </c>
    </row>
    <row r="161" spans="1:17" x14ac:dyDescent="0.35">
      <c r="A161" t="s">
        <v>2122</v>
      </c>
      <c r="B161" t="str">
        <f t="shared" si="13"/>
        <v>56-65</v>
      </c>
      <c r="C161">
        <v>62</v>
      </c>
      <c r="D161" t="s">
        <v>16</v>
      </c>
      <c r="E161" t="s">
        <v>65</v>
      </c>
      <c r="F161" t="s">
        <v>47</v>
      </c>
      <c r="G161" s="1">
        <v>43870</v>
      </c>
      <c r="H161" t="s">
        <v>2123</v>
      </c>
      <c r="I161" t="s">
        <v>2124</v>
      </c>
      <c r="J161" t="s">
        <v>21</v>
      </c>
      <c r="K161">
        <v>30328.0815505709</v>
      </c>
      <c r="L161">
        <v>381</v>
      </c>
      <c r="M161" t="s">
        <v>43</v>
      </c>
      <c r="N161" s="1">
        <v>43873</v>
      </c>
      <c r="O161" t="s">
        <v>23</v>
      </c>
      <c r="P161" t="s">
        <v>34</v>
      </c>
      <c r="Q161">
        <v>3</v>
      </c>
    </row>
    <row r="162" spans="1:17" x14ac:dyDescent="0.35">
      <c r="A162" t="s">
        <v>470</v>
      </c>
      <c r="B162" t="str">
        <f t="shared" si="13"/>
        <v>36-45</v>
      </c>
      <c r="C162">
        <v>36</v>
      </c>
      <c r="D162" t="s">
        <v>26</v>
      </c>
      <c r="E162" t="s">
        <v>17</v>
      </c>
      <c r="F162" t="s">
        <v>47</v>
      </c>
      <c r="G162" s="1">
        <v>44370</v>
      </c>
      <c r="H162" t="s">
        <v>471</v>
      </c>
      <c r="I162" t="s">
        <v>472</v>
      </c>
      <c r="J162" t="s">
        <v>54</v>
      </c>
      <c r="K162">
        <v>7154.9566998575101</v>
      </c>
      <c r="L162">
        <v>432</v>
      </c>
      <c r="M162" t="s">
        <v>32</v>
      </c>
      <c r="N162" s="1">
        <v>44380</v>
      </c>
      <c r="O162" t="s">
        <v>50</v>
      </c>
      <c r="P162" t="s">
        <v>24</v>
      </c>
      <c r="Q162">
        <v>10</v>
      </c>
    </row>
    <row r="163" spans="1:17" x14ac:dyDescent="0.35">
      <c r="A163" t="s">
        <v>789</v>
      </c>
      <c r="B163" t="str">
        <f t="shared" si="13"/>
        <v>18-25</v>
      </c>
      <c r="C163">
        <v>25</v>
      </c>
      <c r="D163" t="s">
        <v>26</v>
      </c>
      <c r="E163" t="s">
        <v>17</v>
      </c>
      <c r="F163" t="s">
        <v>28</v>
      </c>
      <c r="G163" s="1">
        <v>44169</v>
      </c>
      <c r="H163" t="s">
        <v>790</v>
      </c>
      <c r="I163" t="s">
        <v>791</v>
      </c>
      <c r="J163" t="s">
        <v>54</v>
      </c>
      <c r="K163">
        <v>13318.195486021499</v>
      </c>
      <c r="L163">
        <v>181</v>
      </c>
      <c r="M163" t="s">
        <v>22</v>
      </c>
      <c r="N163" s="1">
        <v>44195</v>
      </c>
      <c r="O163" t="s">
        <v>23</v>
      </c>
      <c r="P163" t="s">
        <v>45</v>
      </c>
      <c r="Q163">
        <v>26</v>
      </c>
    </row>
    <row r="164" spans="1:17" x14ac:dyDescent="0.35">
      <c r="A164" t="s">
        <v>972</v>
      </c>
      <c r="B164" t="str">
        <f t="shared" si="13"/>
        <v>36-45</v>
      </c>
      <c r="C164">
        <v>42</v>
      </c>
      <c r="D164" t="s">
        <v>26</v>
      </c>
      <c r="E164" t="s">
        <v>27</v>
      </c>
      <c r="F164" t="s">
        <v>28</v>
      </c>
      <c r="G164" s="1">
        <v>45091</v>
      </c>
      <c r="H164" t="s">
        <v>973</v>
      </c>
      <c r="I164" t="s">
        <v>974</v>
      </c>
      <c r="J164" t="s">
        <v>21</v>
      </c>
      <c r="K164">
        <v>4740.1090264370896</v>
      </c>
      <c r="L164">
        <v>425</v>
      </c>
      <c r="M164" t="s">
        <v>32</v>
      </c>
      <c r="N164" s="1">
        <v>45095</v>
      </c>
      <c r="O164" t="s">
        <v>23</v>
      </c>
      <c r="P164" t="s">
        <v>45</v>
      </c>
      <c r="Q164">
        <v>4</v>
      </c>
    </row>
    <row r="165" spans="1:17" x14ac:dyDescent="0.35">
      <c r="A165" t="s">
        <v>1630</v>
      </c>
      <c r="B165" t="str">
        <f t="shared" si="13"/>
        <v>46-55</v>
      </c>
      <c r="C165">
        <v>54</v>
      </c>
      <c r="D165" t="s">
        <v>16</v>
      </c>
      <c r="E165" t="s">
        <v>27</v>
      </c>
      <c r="F165" t="s">
        <v>28</v>
      </c>
      <c r="G165" s="1">
        <v>43646</v>
      </c>
      <c r="H165" t="s">
        <v>1631</v>
      </c>
      <c r="I165" t="s">
        <v>1632</v>
      </c>
      <c r="J165" t="s">
        <v>59</v>
      </c>
      <c r="K165">
        <v>23708.647050401902</v>
      </c>
      <c r="L165">
        <v>358</v>
      </c>
      <c r="M165" t="s">
        <v>32</v>
      </c>
      <c r="N165" s="1">
        <v>43669</v>
      </c>
      <c r="O165" t="s">
        <v>33</v>
      </c>
      <c r="P165" t="s">
        <v>45</v>
      </c>
      <c r="Q165">
        <v>23</v>
      </c>
    </row>
    <row r="166" spans="1:17" x14ac:dyDescent="0.35">
      <c r="A166" t="s">
        <v>1262</v>
      </c>
      <c r="B166" t="str">
        <f t="shared" si="13"/>
        <v>66-75</v>
      </c>
      <c r="C166">
        <v>70</v>
      </c>
      <c r="D166" t="s">
        <v>26</v>
      </c>
      <c r="E166" t="s">
        <v>117</v>
      </c>
      <c r="F166" t="s">
        <v>28</v>
      </c>
      <c r="G166" s="1">
        <v>44678</v>
      </c>
      <c r="H166" t="s">
        <v>1263</v>
      </c>
      <c r="I166" t="s">
        <v>1264</v>
      </c>
      <c r="J166" t="s">
        <v>31</v>
      </c>
      <c r="K166">
        <v>47881.281107418901</v>
      </c>
      <c r="L166">
        <v>144</v>
      </c>
      <c r="M166" t="s">
        <v>43</v>
      </c>
      <c r="N166" s="1">
        <v>44693</v>
      </c>
      <c r="O166" t="s">
        <v>33</v>
      </c>
      <c r="P166" t="s">
        <v>45</v>
      </c>
      <c r="Q166">
        <v>15</v>
      </c>
    </row>
    <row r="167" spans="1:17" x14ac:dyDescent="0.35">
      <c r="A167" t="s">
        <v>1975</v>
      </c>
      <c r="B167" t="str">
        <f t="shared" si="13"/>
        <v>46-55</v>
      </c>
      <c r="C167">
        <v>54</v>
      </c>
      <c r="D167" t="s">
        <v>26</v>
      </c>
      <c r="E167" t="s">
        <v>17</v>
      </c>
      <c r="F167" t="s">
        <v>28</v>
      </c>
      <c r="G167" s="1">
        <v>44827</v>
      </c>
      <c r="H167" t="s">
        <v>1976</v>
      </c>
      <c r="I167" t="s">
        <v>1977</v>
      </c>
      <c r="J167" t="s">
        <v>21</v>
      </c>
      <c r="K167">
        <v>39298.313979066799</v>
      </c>
      <c r="L167">
        <v>499</v>
      </c>
      <c r="M167" t="s">
        <v>32</v>
      </c>
      <c r="N167" s="1">
        <v>44833</v>
      </c>
      <c r="O167" t="s">
        <v>44</v>
      </c>
      <c r="P167" t="s">
        <v>34</v>
      </c>
      <c r="Q167">
        <v>6</v>
      </c>
    </row>
    <row r="168" spans="1:17" x14ac:dyDescent="0.35">
      <c r="A168" t="s">
        <v>1745</v>
      </c>
      <c r="B168" t="str">
        <f t="shared" si="13"/>
        <v>46-55</v>
      </c>
      <c r="C168">
        <v>55</v>
      </c>
      <c r="D168" t="s">
        <v>16</v>
      </c>
      <c r="E168" t="s">
        <v>36</v>
      </c>
      <c r="F168" t="s">
        <v>28</v>
      </c>
      <c r="G168" s="1">
        <v>44916</v>
      </c>
      <c r="H168" t="s">
        <v>1777</v>
      </c>
      <c r="I168" t="s">
        <v>1778</v>
      </c>
      <c r="J168" t="s">
        <v>54</v>
      </c>
      <c r="K168">
        <v>25651.524166615702</v>
      </c>
      <c r="L168">
        <v>210</v>
      </c>
      <c r="M168" t="s">
        <v>43</v>
      </c>
      <c r="N168" s="1">
        <v>44922</v>
      </c>
      <c r="O168" t="s">
        <v>33</v>
      </c>
      <c r="P168" t="s">
        <v>45</v>
      </c>
      <c r="Q168">
        <v>6</v>
      </c>
    </row>
    <row r="169" spans="1:17" x14ac:dyDescent="0.35">
      <c r="A169" t="s">
        <v>1844</v>
      </c>
      <c r="B169" t="str">
        <f t="shared" si="13"/>
        <v>76-85</v>
      </c>
      <c r="C169">
        <v>82</v>
      </c>
      <c r="D169" t="s">
        <v>16</v>
      </c>
      <c r="E169" t="s">
        <v>36</v>
      </c>
      <c r="F169" t="s">
        <v>28</v>
      </c>
      <c r="G169" s="1">
        <v>44439</v>
      </c>
      <c r="H169" t="s">
        <v>1845</v>
      </c>
      <c r="I169" t="s">
        <v>1846</v>
      </c>
      <c r="J169" t="s">
        <v>63</v>
      </c>
      <c r="K169">
        <v>25944.5873699082</v>
      </c>
      <c r="L169">
        <v>163</v>
      </c>
      <c r="M169" t="s">
        <v>43</v>
      </c>
      <c r="N169" s="1">
        <v>44468</v>
      </c>
      <c r="O169" t="s">
        <v>33</v>
      </c>
      <c r="P169" t="s">
        <v>45</v>
      </c>
      <c r="Q169">
        <v>29</v>
      </c>
    </row>
    <row r="170" spans="1:17" x14ac:dyDescent="0.35">
      <c r="A170" t="s">
        <v>914</v>
      </c>
      <c r="B170" t="str">
        <f t="shared" si="13"/>
        <v>18-25</v>
      </c>
      <c r="C170">
        <v>22</v>
      </c>
      <c r="D170" t="s">
        <v>26</v>
      </c>
      <c r="E170" t="s">
        <v>36</v>
      </c>
      <c r="F170" t="s">
        <v>28</v>
      </c>
      <c r="G170" s="1">
        <v>43567</v>
      </c>
      <c r="H170" t="s">
        <v>915</v>
      </c>
      <c r="I170" t="s">
        <v>916</v>
      </c>
      <c r="J170" t="s">
        <v>59</v>
      </c>
      <c r="K170">
        <v>17743.968519301001</v>
      </c>
      <c r="L170">
        <v>119</v>
      </c>
      <c r="M170" t="s">
        <v>32</v>
      </c>
      <c r="N170" s="1">
        <v>43580</v>
      </c>
      <c r="O170" t="s">
        <v>87</v>
      </c>
      <c r="P170" t="s">
        <v>45</v>
      </c>
      <c r="Q170">
        <v>13</v>
      </c>
    </row>
    <row r="171" spans="1:17" x14ac:dyDescent="0.35">
      <c r="A171" t="s">
        <v>697</v>
      </c>
      <c r="B171" t="str">
        <f t="shared" si="13"/>
        <v>56-65</v>
      </c>
      <c r="C171">
        <v>60</v>
      </c>
      <c r="D171" t="s">
        <v>16</v>
      </c>
      <c r="E171" t="s">
        <v>232</v>
      </c>
      <c r="F171" t="s">
        <v>28</v>
      </c>
      <c r="G171" s="1">
        <v>44250</v>
      </c>
      <c r="H171" t="s">
        <v>698</v>
      </c>
      <c r="I171" t="s">
        <v>699</v>
      </c>
      <c r="J171" t="s">
        <v>21</v>
      </c>
      <c r="K171">
        <v>36936.7877416013</v>
      </c>
      <c r="L171">
        <v>275</v>
      </c>
      <c r="M171" t="s">
        <v>22</v>
      </c>
      <c r="N171" s="1">
        <v>44261</v>
      </c>
      <c r="O171" t="s">
        <v>87</v>
      </c>
      <c r="P171" t="s">
        <v>45</v>
      </c>
      <c r="Q171">
        <v>11</v>
      </c>
    </row>
    <row r="172" spans="1:17" x14ac:dyDescent="0.35">
      <c r="A172" t="s">
        <v>533</v>
      </c>
      <c r="B172" t="str">
        <f t="shared" si="13"/>
        <v>66-75</v>
      </c>
      <c r="C172">
        <v>71</v>
      </c>
      <c r="D172" t="s">
        <v>26</v>
      </c>
      <c r="E172" t="s">
        <v>65</v>
      </c>
      <c r="F172" t="s">
        <v>28</v>
      </c>
      <c r="G172" s="1">
        <v>43863</v>
      </c>
      <c r="H172" t="s">
        <v>534</v>
      </c>
      <c r="I172" t="s">
        <v>535</v>
      </c>
      <c r="J172" t="s">
        <v>31</v>
      </c>
      <c r="K172">
        <v>21341.2388427238</v>
      </c>
      <c r="L172">
        <v>372</v>
      </c>
      <c r="M172" t="s">
        <v>32</v>
      </c>
      <c r="N172" s="1">
        <v>43879</v>
      </c>
      <c r="O172" t="s">
        <v>44</v>
      </c>
      <c r="P172" t="s">
        <v>34</v>
      </c>
      <c r="Q172">
        <v>16</v>
      </c>
    </row>
    <row r="173" spans="1:17" x14ac:dyDescent="0.35">
      <c r="A173" t="s">
        <v>467</v>
      </c>
      <c r="B173" t="str">
        <f t="shared" si="13"/>
        <v>76-85</v>
      </c>
      <c r="C173">
        <v>79</v>
      </c>
      <c r="D173" t="s">
        <v>26</v>
      </c>
      <c r="E173" t="s">
        <v>51</v>
      </c>
      <c r="F173" t="s">
        <v>28</v>
      </c>
      <c r="G173" s="1">
        <v>43576</v>
      </c>
      <c r="H173" t="s">
        <v>468</v>
      </c>
      <c r="I173" t="s">
        <v>469</v>
      </c>
      <c r="J173" t="s">
        <v>54</v>
      </c>
      <c r="K173">
        <v>41058.233873784498</v>
      </c>
      <c r="L173">
        <v>148</v>
      </c>
      <c r="M173" t="s">
        <v>43</v>
      </c>
      <c r="N173" s="1">
        <v>43594</v>
      </c>
      <c r="O173" t="s">
        <v>23</v>
      </c>
      <c r="P173" t="s">
        <v>45</v>
      </c>
      <c r="Q173">
        <v>18</v>
      </c>
    </row>
    <row r="174" spans="1:17" x14ac:dyDescent="0.35">
      <c r="A174" t="s">
        <v>952</v>
      </c>
      <c r="B174" t="str">
        <f t="shared" si="13"/>
        <v>76-85</v>
      </c>
      <c r="C174">
        <v>76</v>
      </c>
      <c r="D174" t="s">
        <v>26</v>
      </c>
      <c r="E174" t="s">
        <v>17</v>
      </c>
      <c r="F174" t="s">
        <v>28</v>
      </c>
      <c r="G174" s="1">
        <v>43582</v>
      </c>
      <c r="H174" t="s">
        <v>953</v>
      </c>
      <c r="I174" t="s">
        <v>954</v>
      </c>
      <c r="J174" t="s">
        <v>21</v>
      </c>
      <c r="K174">
        <v>11548.830510952301</v>
      </c>
      <c r="L174">
        <v>162</v>
      </c>
      <c r="M174" t="s">
        <v>22</v>
      </c>
      <c r="N174" s="1">
        <v>43601</v>
      </c>
      <c r="O174" t="s">
        <v>87</v>
      </c>
      <c r="P174" t="s">
        <v>34</v>
      </c>
      <c r="Q174">
        <v>19</v>
      </c>
    </row>
    <row r="175" spans="1:17" x14ac:dyDescent="0.35">
      <c r="A175" t="s">
        <v>1883</v>
      </c>
      <c r="B175" t="str">
        <f t="shared" si="13"/>
        <v>26-35</v>
      </c>
      <c r="C175">
        <v>29</v>
      </c>
      <c r="D175" t="s">
        <v>16</v>
      </c>
      <c r="E175" t="s">
        <v>65</v>
      </c>
      <c r="F175" t="s">
        <v>28</v>
      </c>
      <c r="G175" s="1">
        <v>44624</v>
      </c>
      <c r="H175" t="s">
        <v>1884</v>
      </c>
      <c r="I175" t="s">
        <v>1885</v>
      </c>
      <c r="J175" t="s">
        <v>59</v>
      </c>
      <c r="K175">
        <v>7375.7026775905197</v>
      </c>
      <c r="L175">
        <v>469</v>
      </c>
      <c r="M175" t="s">
        <v>43</v>
      </c>
      <c r="N175" s="1">
        <v>44640</v>
      </c>
      <c r="O175" t="s">
        <v>87</v>
      </c>
      <c r="P175" t="s">
        <v>34</v>
      </c>
      <c r="Q175">
        <v>16</v>
      </c>
    </row>
    <row r="176" spans="1:17" x14ac:dyDescent="0.35">
      <c r="A176" t="s">
        <v>1791</v>
      </c>
      <c r="B176" t="str">
        <f t="shared" si="13"/>
        <v>26-35</v>
      </c>
      <c r="C176">
        <v>31</v>
      </c>
      <c r="D176" t="s">
        <v>16</v>
      </c>
      <c r="E176" t="s">
        <v>27</v>
      </c>
      <c r="F176" t="s">
        <v>28</v>
      </c>
      <c r="G176" s="1">
        <v>44831</v>
      </c>
      <c r="H176" t="s">
        <v>1792</v>
      </c>
      <c r="I176" t="s">
        <v>1793</v>
      </c>
      <c r="J176" t="s">
        <v>54</v>
      </c>
      <c r="K176">
        <v>1580.52389936031</v>
      </c>
      <c r="L176">
        <v>385</v>
      </c>
      <c r="M176" t="s">
        <v>32</v>
      </c>
      <c r="N176" s="1">
        <v>44839</v>
      </c>
      <c r="O176" t="s">
        <v>87</v>
      </c>
      <c r="P176" t="s">
        <v>34</v>
      </c>
      <c r="Q176">
        <v>8</v>
      </c>
    </row>
    <row r="177" spans="1:17" x14ac:dyDescent="0.35">
      <c r="A177" t="s">
        <v>742</v>
      </c>
      <c r="B177" t="str">
        <f t="shared" si="13"/>
        <v>26-35</v>
      </c>
      <c r="C177">
        <v>32</v>
      </c>
      <c r="D177" t="s">
        <v>16</v>
      </c>
      <c r="E177" t="s">
        <v>232</v>
      </c>
      <c r="F177" t="s">
        <v>28</v>
      </c>
      <c r="G177" s="1">
        <v>45102</v>
      </c>
      <c r="H177" t="s">
        <v>743</v>
      </c>
      <c r="I177" t="s">
        <v>744</v>
      </c>
      <c r="J177" t="s">
        <v>54</v>
      </c>
      <c r="K177">
        <v>43321.063241324402</v>
      </c>
      <c r="L177">
        <v>322</v>
      </c>
      <c r="M177" t="s">
        <v>22</v>
      </c>
      <c r="N177" s="1">
        <v>45105</v>
      </c>
      <c r="O177" t="s">
        <v>23</v>
      </c>
      <c r="P177" t="s">
        <v>34</v>
      </c>
      <c r="Q177">
        <v>3</v>
      </c>
    </row>
    <row r="178" spans="1:17" x14ac:dyDescent="0.35">
      <c r="A178" t="s">
        <v>2320</v>
      </c>
      <c r="B178" t="str">
        <f t="shared" si="13"/>
        <v>56-65</v>
      </c>
      <c r="C178">
        <v>60</v>
      </c>
      <c r="D178" t="s">
        <v>16</v>
      </c>
      <c r="E178" t="s">
        <v>27</v>
      </c>
      <c r="F178" t="s">
        <v>28</v>
      </c>
      <c r="G178" s="1">
        <v>44343</v>
      </c>
      <c r="H178" t="s">
        <v>2321</v>
      </c>
      <c r="I178" t="s">
        <v>2322</v>
      </c>
      <c r="J178" t="s">
        <v>63</v>
      </c>
      <c r="K178">
        <v>25362.314192783499</v>
      </c>
      <c r="L178">
        <v>148</v>
      </c>
      <c r="M178" t="s">
        <v>43</v>
      </c>
      <c r="N178" s="1">
        <v>44373</v>
      </c>
      <c r="O178" t="s">
        <v>33</v>
      </c>
      <c r="P178" t="s">
        <v>24</v>
      </c>
      <c r="Q178">
        <v>30</v>
      </c>
    </row>
    <row r="179" spans="1:17" x14ac:dyDescent="0.35">
      <c r="A179" t="s">
        <v>2338</v>
      </c>
      <c r="B179" t="str">
        <f t="shared" si="13"/>
        <v>46-55</v>
      </c>
      <c r="C179">
        <v>47</v>
      </c>
      <c r="D179" t="s">
        <v>16</v>
      </c>
      <c r="E179" t="s">
        <v>51</v>
      </c>
      <c r="F179" t="s">
        <v>28</v>
      </c>
      <c r="G179" s="1">
        <v>43507</v>
      </c>
      <c r="H179" t="s">
        <v>2339</v>
      </c>
      <c r="I179" t="s">
        <v>2340</v>
      </c>
      <c r="J179" t="s">
        <v>31</v>
      </c>
      <c r="K179">
        <v>41051.670280796803</v>
      </c>
      <c r="L179">
        <v>329</v>
      </c>
      <c r="M179" t="s">
        <v>32</v>
      </c>
      <c r="N179" s="1">
        <v>43517</v>
      </c>
      <c r="O179" t="s">
        <v>44</v>
      </c>
      <c r="P179" t="s">
        <v>34</v>
      </c>
      <c r="Q179">
        <v>10</v>
      </c>
    </row>
    <row r="180" spans="1:17" x14ac:dyDescent="0.35">
      <c r="A180" t="s">
        <v>292</v>
      </c>
      <c r="B180" t="str">
        <f t="shared" si="13"/>
        <v>46-55</v>
      </c>
      <c r="C180">
        <v>48</v>
      </c>
      <c r="D180" t="s">
        <v>16</v>
      </c>
      <c r="E180" t="s">
        <v>27</v>
      </c>
      <c r="F180" t="s">
        <v>28</v>
      </c>
      <c r="G180" s="1">
        <v>43760</v>
      </c>
      <c r="H180" t="s">
        <v>293</v>
      </c>
      <c r="I180" t="s">
        <v>294</v>
      </c>
      <c r="J180" t="s">
        <v>31</v>
      </c>
      <c r="K180">
        <v>46144.939718407099</v>
      </c>
      <c r="L180">
        <v>392</v>
      </c>
      <c r="M180" t="s">
        <v>32</v>
      </c>
      <c r="N180" s="1">
        <v>43779</v>
      </c>
      <c r="O180" t="s">
        <v>23</v>
      </c>
      <c r="P180" t="s">
        <v>34</v>
      </c>
      <c r="Q180">
        <v>19</v>
      </c>
    </row>
    <row r="181" spans="1:17" x14ac:dyDescent="0.35">
      <c r="A181" t="s">
        <v>40</v>
      </c>
      <c r="B181" t="str">
        <f t="shared" si="13"/>
        <v>46-55</v>
      </c>
      <c r="C181">
        <v>49</v>
      </c>
      <c r="D181" t="s">
        <v>26</v>
      </c>
      <c r="E181" t="s">
        <v>36</v>
      </c>
      <c r="F181" t="s">
        <v>28</v>
      </c>
      <c r="G181" s="1">
        <v>43953</v>
      </c>
      <c r="H181" t="s">
        <v>41</v>
      </c>
      <c r="I181" t="s">
        <v>42</v>
      </c>
      <c r="J181" t="s">
        <v>21</v>
      </c>
      <c r="K181">
        <v>23303.3220921969</v>
      </c>
      <c r="L181">
        <v>480</v>
      </c>
      <c r="M181" t="s">
        <v>43</v>
      </c>
      <c r="N181" s="1">
        <v>43954</v>
      </c>
      <c r="O181" t="s">
        <v>44</v>
      </c>
      <c r="P181" t="s">
        <v>45</v>
      </c>
      <c r="Q181">
        <v>1</v>
      </c>
    </row>
    <row r="182" spans="1:17" x14ac:dyDescent="0.35">
      <c r="A182" t="s">
        <v>2795</v>
      </c>
      <c r="B182" t="str">
        <f t="shared" si="13"/>
        <v>56-65</v>
      </c>
      <c r="C182">
        <v>63</v>
      </c>
      <c r="D182" t="s">
        <v>16</v>
      </c>
      <c r="E182" t="s">
        <v>65</v>
      </c>
      <c r="F182" t="s">
        <v>28</v>
      </c>
      <c r="G182" s="1">
        <v>44512</v>
      </c>
      <c r="H182" t="s">
        <v>2796</v>
      </c>
      <c r="I182" t="s">
        <v>2797</v>
      </c>
      <c r="J182" t="s">
        <v>59</v>
      </c>
      <c r="K182">
        <v>3552.8587362936801</v>
      </c>
      <c r="L182">
        <v>345</v>
      </c>
      <c r="M182" t="s">
        <v>22</v>
      </c>
      <c r="N182" s="1">
        <v>44530</v>
      </c>
      <c r="O182" t="s">
        <v>50</v>
      </c>
      <c r="P182" t="s">
        <v>24</v>
      </c>
      <c r="Q182">
        <v>18</v>
      </c>
    </row>
    <row r="183" spans="1:17" x14ac:dyDescent="0.35">
      <c r="A183" t="s">
        <v>2982</v>
      </c>
      <c r="B183" t="str">
        <f t="shared" si="13"/>
        <v>76-85</v>
      </c>
      <c r="C183">
        <v>83</v>
      </c>
      <c r="D183" t="s">
        <v>16</v>
      </c>
      <c r="E183" t="s">
        <v>117</v>
      </c>
      <c r="F183" t="s">
        <v>28</v>
      </c>
      <c r="G183" s="1">
        <v>43746</v>
      </c>
      <c r="H183" t="s">
        <v>2983</v>
      </c>
      <c r="I183" t="s">
        <v>2984</v>
      </c>
      <c r="J183" t="s">
        <v>54</v>
      </c>
      <c r="K183">
        <v>46323.269465520301</v>
      </c>
      <c r="L183">
        <v>142</v>
      </c>
      <c r="M183" t="s">
        <v>32</v>
      </c>
      <c r="N183" s="1">
        <v>43756</v>
      </c>
      <c r="O183" t="s">
        <v>87</v>
      </c>
      <c r="P183" t="s">
        <v>45</v>
      </c>
      <c r="Q183">
        <v>10</v>
      </c>
    </row>
    <row r="184" spans="1:17" x14ac:dyDescent="0.35">
      <c r="A184" t="s">
        <v>2378</v>
      </c>
      <c r="B184" t="str">
        <f t="shared" si="13"/>
        <v>56-65</v>
      </c>
      <c r="C184">
        <v>62</v>
      </c>
      <c r="D184" t="s">
        <v>26</v>
      </c>
      <c r="E184" t="s">
        <v>36</v>
      </c>
      <c r="F184" t="s">
        <v>28</v>
      </c>
      <c r="G184" s="1">
        <v>44029</v>
      </c>
      <c r="H184" t="s">
        <v>2379</v>
      </c>
      <c r="I184" t="s">
        <v>2380</v>
      </c>
      <c r="J184" t="s">
        <v>59</v>
      </c>
      <c r="K184">
        <v>25970.8661387596</v>
      </c>
      <c r="L184">
        <v>235</v>
      </c>
      <c r="M184" t="s">
        <v>22</v>
      </c>
      <c r="N184" s="1">
        <v>44037</v>
      </c>
      <c r="O184" t="s">
        <v>87</v>
      </c>
      <c r="P184" t="s">
        <v>24</v>
      </c>
      <c r="Q184">
        <v>8</v>
      </c>
    </row>
    <row r="185" spans="1:17" x14ac:dyDescent="0.35">
      <c r="A185" t="s">
        <v>2048</v>
      </c>
      <c r="B185" t="str">
        <f t="shared" si="13"/>
        <v>36-45</v>
      </c>
      <c r="C185">
        <v>36</v>
      </c>
      <c r="D185" t="s">
        <v>16</v>
      </c>
      <c r="E185" t="s">
        <v>117</v>
      </c>
      <c r="F185" t="s">
        <v>28</v>
      </c>
      <c r="G185" s="1">
        <v>43623</v>
      </c>
      <c r="H185" t="s">
        <v>2049</v>
      </c>
      <c r="I185" t="s">
        <v>2050</v>
      </c>
      <c r="J185" t="s">
        <v>63</v>
      </c>
      <c r="K185">
        <v>6752.4163709619397</v>
      </c>
      <c r="L185">
        <v>405</v>
      </c>
      <c r="M185" t="s">
        <v>43</v>
      </c>
      <c r="N185" s="1">
        <v>43627</v>
      </c>
      <c r="O185" t="s">
        <v>23</v>
      </c>
      <c r="P185" t="s">
        <v>34</v>
      </c>
      <c r="Q185">
        <v>4</v>
      </c>
    </row>
    <row r="186" spans="1:17" x14ac:dyDescent="0.35">
      <c r="A186" t="s">
        <v>2369</v>
      </c>
      <c r="B186" t="str">
        <f t="shared" si="13"/>
        <v>18-25</v>
      </c>
      <c r="C186">
        <v>24</v>
      </c>
      <c r="D186" t="s">
        <v>16</v>
      </c>
      <c r="E186" t="s">
        <v>232</v>
      </c>
      <c r="F186" t="s">
        <v>28</v>
      </c>
      <c r="G186" s="1">
        <v>44505</v>
      </c>
      <c r="H186" t="s">
        <v>2370</v>
      </c>
      <c r="I186" t="s">
        <v>2371</v>
      </c>
      <c r="J186" t="s">
        <v>31</v>
      </c>
      <c r="K186">
        <v>34712.191114827998</v>
      </c>
      <c r="L186">
        <v>104</v>
      </c>
      <c r="M186" t="s">
        <v>22</v>
      </c>
      <c r="N186" s="1">
        <v>44511</v>
      </c>
      <c r="O186" t="s">
        <v>33</v>
      </c>
      <c r="P186" t="s">
        <v>45</v>
      </c>
      <c r="Q186">
        <v>6</v>
      </c>
    </row>
    <row r="187" spans="1:17" x14ac:dyDescent="0.35">
      <c r="A187" t="s">
        <v>116</v>
      </c>
      <c r="B187" t="str">
        <f t="shared" si="13"/>
        <v>46-55</v>
      </c>
      <c r="C187">
        <v>54</v>
      </c>
      <c r="D187" t="s">
        <v>26</v>
      </c>
      <c r="E187" t="s">
        <v>117</v>
      </c>
      <c r="F187" t="s">
        <v>28</v>
      </c>
      <c r="G187" s="1">
        <v>44778</v>
      </c>
      <c r="H187" t="s">
        <v>118</v>
      </c>
      <c r="I187" t="s">
        <v>119</v>
      </c>
      <c r="J187" t="s">
        <v>59</v>
      </c>
      <c r="K187">
        <v>41319.500315655103</v>
      </c>
      <c r="L187">
        <v>293</v>
      </c>
      <c r="M187" t="s">
        <v>43</v>
      </c>
      <c r="N187" s="1">
        <v>44807</v>
      </c>
      <c r="O187" t="s">
        <v>50</v>
      </c>
      <c r="P187" t="s">
        <v>34</v>
      </c>
      <c r="Q187">
        <v>29</v>
      </c>
    </row>
    <row r="188" spans="1:17" x14ac:dyDescent="0.35">
      <c r="A188" t="s">
        <v>1622</v>
      </c>
      <c r="B188" t="str">
        <f t="shared" si="13"/>
        <v>66-75</v>
      </c>
      <c r="C188">
        <v>69</v>
      </c>
      <c r="D188" t="s">
        <v>26</v>
      </c>
      <c r="E188" t="s">
        <v>117</v>
      </c>
      <c r="F188" t="s">
        <v>28</v>
      </c>
      <c r="G188" s="1">
        <v>44836</v>
      </c>
      <c r="H188" t="s">
        <v>1810</v>
      </c>
      <c r="I188" t="s">
        <v>1811</v>
      </c>
      <c r="J188" t="s">
        <v>63</v>
      </c>
      <c r="K188">
        <v>1621.74136483954</v>
      </c>
      <c r="L188">
        <v>124</v>
      </c>
      <c r="M188" t="s">
        <v>22</v>
      </c>
      <c r="N188" s="1">
        <v>44864</v>
      </c>
      <c r="O188" t="s">
        <v>44</v>
      </c>
      <c r="P188" t="s">
        <v>45</v>
      </c>
      <c r="Q188">
        <v>28</v>
      </c>
    </row>
    <row r="189" spans="1:17" x14ac:dyDescent="0.35">
      <c r="A189" t="s">
        <v>622</v>
      </c>
      <c r="B189" t="str">
        <f t="shared" si="13"/>
        <v>56-65</v>
      </c>
      <c r="C189">
        <v>61</v>
      </c>
      <c r="D189" t="s">
        <v>26</v>
      </c>
      <c r="E189" t="s">
        <v>92</v>
      </c>
      <c r="F189" t="s">
        <v>28</v>
      </c>
      <c r="G189" s="1">
        <v>44834</v>
      </c>
      <c r="H189" t="s">
        <v>623</v>
      </c>
      <c r="I189" t="s">
        <v>624</v>
      </c>
      <c r="J189" t="s">
        <v>21</v>
      </c>
      <c r="K189">
        <v>24357.6078664628</v>
      </c>
      <c r="L189">
        <v>276</v>
      </c>
      <c r="M189" t="s">
        <v>43</v>
      </c>
      <c r="N189" s="1">
        <v>44839</v>
      </c>
      <c r="O189" t="s">
        <v>33</v>
      </c>
      <c r="P189" t="s">
        <v>45</v>
      </c>
      <c r="Q189">
        <v>5</v>
      </c>
    </row>
    <row r="190" spans="1:17" x14ac:dyDescent="0.35">
      <c r="A190" t="s">
        <v>670</v>
      </c>
      <c r="B190" t="str">
        <f t="shared" si="13"/>
        <v>36-45</v>
      </c>
      <c r="C190">
        <v>41</v>
      </c>
      <c r="D190" t="s">
        <v>26</v>
      </c>
      <c r="E190" t="s">
        <v>65</v>
      </c>
      <c r="F190" t="s">
        <v>28</v>
      </c>
      <c r="G190" s="1">
        <v>44284</v>
      </c>
      <c r="H190" t="s">
        <v>671</v>
      </c>
      <c r="I190" t="s">
        <v>672</v>
      </c>
      <c r="J190" t="s">
        <v>21</v>
      </c>
      <c r="K190">
        <v>42208.7987493162</v>
      </c>
      <c r="L190">
        <v>162</v>
      </c>
      <c r="M190" t="s">
        <v>22</v>
      </c>
      <c r="N190" s="1">
        <v>44311</v>
      </c>
      <c r="O190" t="s">
        <v>87</v>
      </c>
      <c r="P190" t="s">
        <v>24</v>
      </c>
      <c r="Q190">
        <v>27</v>
      </c>
    </row>
    <row r="191" spans="1:17" x14ac:dyDescent="0.35">
      <c r="A191" t="s">
        <v>2485</v>
      </c>
      <c r="B191" t="str">
        <f t="shared" si="13"/>
        <v>66-75</v>
      </c>
      <c r="C191">
        <v>75</v>
      </c>
      <c r="D191" t="s">
        <v>26</v>
      </c>
      <c r="E191" t="s">
        <v>51</v>
      </c>
      <c r="F191" t="s">
        <v>28</v>
      </c>
      <c r="G191" s="1">
        <v>44717</v>
      </c>
      <c r="H191" t="s">
        <v>2486</v>
      </c>
      <c r="I191" t="s">
        <v>2487</v>
      </c>
      <c r="J191" t="s">
        <v>59</v>
      </c>
      <c r="K191">
        <v>33301.630993388098</v>
      </c>
      <c r="L191">
        <v>464</v>
      </c>
      <c r="M191" t="s">
        <v>43</v>
      </c>
      <c r="N191" s="1">
        <v>44730</v>
      </c>
      <c r="O191" t="s">
        <v>50</v>
      </c>
      <c r="P191" t="s">
        <v>45</v>
      </c>
      <c r="Q191">
        <v>13</v>
      </c>
    </row>
    <row r="192" spans="1:17" x14ac:dyDescent="0.35">
      <c r="A192" t="s">
        <v>1718</v>
      </c>
      <c r="B192" t="str">
        <f t="shared" si="13"/>
        <v>36-45</v>
      </c>
      <c r="C192">
        <v>42</v>
      </c>
      <c r="D192" t="s">
        <v>26</v>
      </c>
      <c r="E192" t="s">
        <v>232</v>
      </c>
      <c r="F192" t="s">
        <v>28</v>
      </c>
      <c r="G192" s="1">
        <v>44693</v>
      </c>
      <c r="H192" t="s">
        <v>1719</v>
      </c>
      <c r="I192" t="s">
        <v>1720</v>
      </c>
      <c r="J192" t="s">
        <v>31</v>
      </c>
      <c r="K192">
        <v>42655.642055873002</v>
      </c>
      <c r="L192">
        <v>366</v>
      </c>
      <c r="M192" t="s">
        <v>32</v>
      </c>
      <c r="N192" s="1">
        <v>44717</v>
      </c>
      <c r="O192" t="s">
        <v>87</v>
      </c>
      <c r="P192" t="s">
        <v>34</v>
      </c>
      <c r="Q192">
        <v>24</v>
      </c>
    </row>
    <row r="193" spans="1:17" x14ac:dyDescent="0.35">
      <c r="A193" t="s">
        <v>1298</v>
      </c>
      <c r="B193" t="str">
        <f t="shared" si="13"/>
        <v>66-75</v>
      </c>
      <c r="C193">
        <v>73</v>
      </c>
      <c r="D193" t="s">
        <v>26</v>
      </c>
      <c r="E193" t="s">
        <v>17</v>
      </c>
      <c r="F193" t="s">
        <v>28</v>
      </c>
      <c r="G193" s="1">
        <v>44995</v>
      </c>
      <c r="H193" t="s">
        <v>1299</v>
      </c>
      <c r="I193" t="s">
        <v>1300</v>
      </c>
      <c r="J193" t="s">
        <v>54</v>
      </c>
      <c r="K193">
        <v>45925.071772642601</v>
      </c>
      <c r="L193">
        <v>224</v>
      </c>
      <c r="M193" t="s">
        <v>22</v>
      </c>
      <c r="N193" s="1">
        <v>45012</v>
      </c>
      <c r="O193" t="s">
        <v>50</v>
      </c>
      <c r="P193" t="s">
        <v>45</v>
      </c>
      <c r="Q193">
        <v>17</v>
      </c>
    </row>
    <row r="194" spans="1:17" x14ac:dyDescent="0.35">
      <c r="A194" t="s">
        <v>2883</v>
      </c>
      <c r="B194" t="str">
        <f t="shared" si="13"/>
        <v>26-35</v>
      </c>
      <c r="C194">
        <v>32</v>
      </c>
      <c r="D194" t="s">
        <v>16</v>
      </c>
      <c r="E194" t="s">
        <v>117</v>
      </c>
      <c r="F194" t="s">
        <v>28</v>
      </c>
      <c r="G194" s="1">
        <v>43543</v>
      </c>
      <c r="H194" t="s">
        <v>2884</v>
      </c>
      <c r="I194" t="s">
        <v>2885</v>
      </c>
      <c r="J194" t="s">
        <v>63</v>
      </c>
      <c r="K194">
        <v>11289.847591874301</v>
      </c>
      <c r="L194">
        <v>481</v>
      </c>
      <c r="M194" t="s">
        <v>43</v>
      </c>
      <c r="N194" s="1">
        <v>43558</v>
      </c>
      <c r="O194" t="s">
        <v>23</v>
      </c>
      <c r="P194" t="s">
        <v>34</v>
      </c>
      <c r="Q194">
        <v>15</v>
      </c>
    </row>
    <row r="195" spans="1:17" x14ac:dyDescent="0.35">
      <c r="A195" t="s">
        <v>2350</v>
      </c>
      <c r="B195" t="str">
        <f t="shared" si="13"/>
        <v>36-45</v>
      </c>
      <c r="C195">
        <v>36</v>
      </c>
      <c r="D195" t="s">
        <v>16</v>
      </c>
      <c r="E195" t="s">
        <v>65</v>
      </c>
      <c r="F195" t="s">
        <v>28</v>
      </c>
      <c r="G195" s="1">
        <v>44957</v>
      </c>
      <c r="H195" t="s">
        <v>2351</v>
      </c>
      <c r="I195" t="s">
        <v>2352</v>
      </c>
      <c r="J195" t="s">
        <v>54</v>
      </c>
      <c r="K195">
        <v>32654.992245896701</v>
      </c>
      <c r="L195">
        <v>289</v>
      </c>
      <c r="M195" t="s">
        <v>22</v>
      </c>
      <c r="N195" s="1">
        <v>44978</v>
      </c>
      <c r="O195" t="s">
        <v>33</v>
      </c>
      <c r="P195" t="s">
        <v>45</v>
      </c>
      <c r="Q195">
        <v>21</v>
      </c>
    </row>
    <row r="196" spans="1:17" x14ac:dyDescent="0.35">
      <c r="A196" t="s">
        <v>1301</v>
      </c>
      <c r="B196" t="str">
        <f t="shared" si="13"/>
        <v>26-35</v>
      </c>
      <c r="C196">
        <v>35</v>
      </c>
      <c r="D196" t="s">
        <v>16</v>
      </c>
      <c r="E196" t="s">
        <v>232</v>
      </c>
      <c r="F196" t="s">
        <v>28</v>
      </c>
      <c r="G196" s="1">
        <v>45210</v>
      </c>
      <c r="H196" t="s">
        <v>1302</v>
      </c>
      <c r="I196" t="s">
        <v>1303</v>
      </c>
      <c r="J196" t="s">
        <v>63</v>
      </c>
      <c r="K196">
        <v>18272.8255390097</v>
      </c>
      <c r="L196">
        <v>359</v>
      </c>
      <c r="M196" t="s">
        <v>32</v>
      </c>
      <c r="N196" s="1">
        <v>45226</v>
      </c>
      <c r="O196" t="s">
        <v>44</v>
      </c>
      <c r="P196" t="s">
        <v>45</v>
      </c>
      <c r="Q196">
        <v>16</v>
      </c>
    </row>
    <row r="197" spans="1:17" x14ac:dyDescent="0.35">
      <c r="A197" t="s">
        <v>1384</v>
      </c>
      <c r="B197" t="str">
        <f t="shared" si="13"/>
        <v>26-35</v>
      </c>
      <c r="C197">
        <v>28</v>
      </c>
      <c r="D197" t="s">
        <v>16</v>
      </c>
      <c r="E197" t="s">
        <v>36</v>
      </c>
      <c r="F197" t="s">
        <v>28</v>
      </c>
      <c r="G197" s="1">
        <v>43784</v>
      </c>
      <c r="H197" t="s">
        <v>1385</v>
      </c>
      <c r="I197" t="s">
        <v>1386</v>
      </c>
      <c r="J197" t="s">
        <v>31</v>
      </c>
      <c r="K197">
        <v>28473.0312307065</v>
      </c>
      <c r="L197">
        <v>353</v>
      </c>
      <c r="M197" t="s">
        <v>43</v>
      </c>
      <c r="N197" s="1">
        <v>43794</v>
      </c>
      <c r="O197" t="s">
        <v>44</v>
      </c>
      <c r="P197" t="s">
        <v>45</v>
      </c>
      <c r="Q197">
        <v>10</v>
      </c>
    </row>
    <row r="198" spans="1:17" x14ac:dyDescent="0.35">
      <c r="A198" t="s">
        <v>1683</v>
      </c>
      <c r="B198" t="str">
        <f t="shared" si="13"/>
        <v>36-45</v>
      </c>
      <c r="C198">
        <v>38</v>
      </c>
      <c r="D198" t="s">
        <v>26</v>
      </c>
      <c r="E198" t="s">
        <v>51</v>
      </c>
      <c r="F198" t="s">
        <v>28</v>
      </c>
      <c r="G198" s="1">
        <v>44870</v>
      </c>
      <c r="H198" t="s">
        <v>1684</v>
      </c>
      <c r="I198" t="s">
        <v>1685</v>
      </c>
      <c r="J198" t="s">
        <v>31</v>
      </c>
      <c r="K198">
        <v>35815.455846479301</v>
      </c>
      <c r="L198">
        <v>183</v>
      </c>
      <c r="M198" t="s">
        <v>32</v>
      </c>
      <c r="N198" s="1">
        <v>44899</v>
      </c>
      <c r="O198" t="s">
        <v>23</v>
      </c>
      <c r="P198" t="s">
        <v>34</v>
      </c>
      <c r="Q198">
        <v>29</v>
      </c>
    </row>
    <row r="199" spans="1:17" x14ac:dyDescent="0.35">
      <c r="A199" t="s">
        <v>1910</v>
      </c>
      <c r="B199" t="str">
        <f t="shared" si="13"/>
        <v>26-35</v>
      </c>
      <c r="C199">
        <v>27</v>
      </c>
      <c r="D199" t="s">
        <v>16</v>
      </c>
      <c r="E199" t="s">
        <v>117</v>
      </c>
      <c r="F199" t="s">
        <v>28</v>
      </c>
      <c r="G199" s="1">
        <v>45110</v>
      </c>
      <c r="H199" t="s">
        <v>1911</v>
      </c>
      <c r="I199" t="s">
        <v>1912</v>
      </c>
      <c r="J199" t="s">
        <v>31</v>
      </c>
      <c r="K199">
        <v>1166.7713188498301</v>
      </c>
      <c r="L199">
        <v>212</v>
      </c>
      <c r="M199" t="s">
        <v>22</v>
      </c>
      <c r="N199" s="1">
        <v>45140</v>
      </c>
      <c r="O199" t="s">
        <v>50</v>
      </c>
      <c r="P199" t="s">
        <v>45</v>
      </c>
      <c r="Q199">
        <v>30</v>
      </c>
    </row>
    <row r="200" spans="1:17" x14ac:dyDescent="0.35">
      <c r="A200" t="s">
        <v>2157</v>
      </c>
      <c r="B200" t="str">
        <f t="shared" si="13"/>
        <v>56-65</v>
      </c>
      <c r="C200">
        <v>61</v>
      </c>
      <c r="D200" t="s">
        <v>26</v>
      </c>
      <c r="E200" t="s">
        <v>232</v>
      </c>
      <c r="F200" t="s">
        <v>28</v>
      </c>
      <c r="G200" s="1">
        <v>43532</v>
      </c>
      <c r="H200" t="s">
        <v>2158</v>
      </c>
      <c r="I200" t="s">
        <v>2159</v>
      </c>
      <c r="J200" t="s">
        <v>31</v>
      </c>
      <c r="K200">
        <v>35381.349101178901</v>
      </c>
      <c r="L200">
        <v>460</v>
      </c>
      <c r="M200" t="s">
        <v>22</v>
      </c>
      <c r="N200" s="1">
        <v>43548</v>
      </c>
      <c r="O200" t="s">
        <v>87</v>
      </c>
      <c r="P200" t="s">
        <v>34</v>
      </c>
      <c r="Q200">
        <v>16</v>
      </c>
    </row>
    <row r="201" spans="1:17" x14ac:dyDescent="0.35">
      <c r="A201" t="s">
        <v>1271</v>
      </c>
      <c r="B201" t="str">
        <f t="shared" si="13"/>
        <v>46-55</v>
      </c>
      <c r="C201">
        <v>55</v>
      </c>
      <c r="D201" t="s">
        <v>26</v>
      </c>
      <c r="E201" t="s">
        <v>27</v>
      </c>
      <c r="F201" t="s">
        <v>28</v>
      </c>
      <c r="G201" s="1">
        <v>45172</v>
      </c>
      <c r="H201" t="s">
        <v>1272</v>
      </c>
      <c r="I201" t="s">
        <v>1273</v>
      </c>
      <c r="J201" t="s">
        <v>63</v>
      </c>
      <c r="K201">
        <v>38734.813541835101</v>
      </c>
      <c r="L201">
        <v>259</v>
      </c>
      <c r="M201" t="s">
        <v>22</v>
      </c>
      <c r="N201" s="1">
        <v>45179</v>
      </c>
      <c r="O201" t="s">
        <v>44</v>
      </c>
      <c r="P201" t="s">
        <v>45</v>
      </c>
      <c r="Q201">
        <v>7</v>
      </c>
    </row>
    <row r="202" spans="1:17" x14ac:dyDescent="0.35">
      <c r="A202" t="s">
        <v>2635</v>
      </c>
      <c r="B202" t="str">
        <f t="shared" si="13"/>
        <v>26-35</v>
      </c>
      <c r="C202">
        <v>34</v>
      </c>
      <c r="D202" t="s">
        <v>26</v>
      </c>
      <c r="E202" t="s">
        <v>117</v>
      </c>
      <c r="F202" t="s">
        <v>28</v>
      </c>
      <c r="G202" s="1">
        <v>45080</v>
      </c>
      <c r="H202" t="s">
        <v>2636</v>
      </c>
      <c r="I202" t="s">
        <v>2440</v>
      </c>
      <c r="J202" t="s">
        <v>59</v>
      </c>
      <c r="K202">
        <v>41324.848355036898</v>
      </c>
      <c r="L202">
        <v>132</v>
      </c>
      <c r="M202" t="s">
        <v>43</v>
      </c>
      <c r="N202" s="1">
        <v>45084</v>
      </c>
      <c r="O202" t="s">
        <v>44</v>
      </c>
      <c r="P202" t="s">
        <v>34</v>
      </c>
      <c r="Q202">
        <v>4</v>
      </c>
    </row>
    <row r="203" spans="1:17" x14ac:dyDescent="0.35">
      <c r="A203" t="s">
        <v>1621</v>
      </c>
      <c r="B203" t="str">
        <f t="shared" si="13"/>
        <v>26-35</v>
      </c>
      <c r="C203">
        <v>32</v>
      </c>
      <c r="D203" t="s">
        <v>26</v>
      </c>
      <c r="E203" t="s">
        <v>36</v>
      </c>
      <c r="F203" t="s">
        <v>28</v>
      </c>
      <c r="G203" s="1">
        <v>45114</v>
      </c>
      <c r="H203" t="s">
        <v>1622</v>
      </c>
      <c r="I203" t="s">
        <v>1623</v>
      </c>
      <c r="J203" t="s">
        <v>63</v>
      </c>
      <c r="K203">
        <v>23674.450003124199</v>
      </c>
      <c r="L203">
        <v>457</v>
      </c>
      <c r="M203" t="s">
        <v>32</v>
      </c>
      <c r="N203" s="1">
        <v>45115</v>
      </c>
      <c r="O203" t="s">
        <v>87</v>
      </c>
      <c r="P203" t="s">
        <v>34</v>
      </c>
      <c r="Q203">
        <v>1</v>
      </c>
    </row>
    <row r="204" spans="1:17" x14ac:dyDescent="0.35">
      <c r="A204" t="s">
        <v>1824</v>
      </c>
      <c r="B204" t="str">
        <f t="shared" si="13"/>
        <v>26-35</v>
      </c>
      <c r="C204">
        <v>30</v>
      </c>
      <c r="D204" t="s">
        <v>16</v>
      </c>
      <c r="E204" t="s">
        <v>232</v>
      </c>
      <c r="F204" t="s">
        <v>28</v>
      </c>
      <c r="G204" s="1">
        <v>44552</v>
      </c>
      <c r="H204" t="s">
        <v>1825</v>
      </c>
      <c r="I204" t="s">
        <v>1826</v>
      </c>
      <c r="J204" t="s">
        <v>54</v>
      </c>
      <c r="K204">
        <v>43169.871554592501</v>
      </c>
      <c r="L204">
        <v>190</v>
      </c>
      <c r="M204" t="s">
        <v>43</v>
      </c>
      <c r="N204" s="1">
        <v>44560</v>
      </c>
      <c r="O204" t="s">
        <v>50</v>
      </c>
      <c r="P204" t="s">
        <v>45</v>
      </c>
      <c r="Q204">
        <v>8</v>
      </c>
    </row>
    <row r="205" spans="1:17" x14ac:dyDescent="0.35">
      <c r="A205" t="s">
        <v>2729</v>
      </c>
      <c r="B205" t="str">
        <f t="shared" si="13"/>
        <v>26-35</v>
      </c>
      <c r="C205">
        <v>26</v>
      </c>
      <c r="D205" t="s">
        <v>26</v>
      </c>
      <c r="E205" t="s">
        <v>36</v>
      </c>
      <c r="F205" t="s">
        <v>28</v>
      </c>
      <c r="G205" s="1">
        <v>44001</v>
      </c>
      <c r="H205" t="s">
        <v>2730</v>
      </c>
      <c r="I205" t="s">
        <v>2731</v>
      </c>
      <c r="J205" t="s">
        <v>21</v>
      </c>
      <c r="K205">
        <v>4865.5518374109097</v>
      </c>
      <c r="L205">
        <v>386</v>
      </c>
      <c r="M205" t="s">
        <v>22</v>
      </c>
      <c r="N205" s="1">
        <v>44010</v>
      </c>
      <c r="O205" t="s">
        <v>87</v>
      </c>
      <c r="P205" t="s">
        <v>34</v>
      </c>
      <c r="Q205">
        <v>9</v>
      </c>
    </row>
    <row r="206" spans="1:17" x14ac:dyDescent="0.35">
      <c r="A206" t="s">
        <v>1591</v>
      </c>
      <c r="B206" t="str">
        <f t="shared" si="13"/>
        <v>46-55</v>
      </c>
      <c r="C206">
        <v>51</v>
      </c>
      <c r="D206" t="s">
        <v>26</v>
      </c>
      <c r="E206" t="s">
        <v>17</v>
      </c>
      <c r="F206" t="s">
        <v>28</v>
      </c>
      <c r="G206" s="1">
        <v>43447</v>
      </c>
      <c r="H206" t="s">
        <v>1592</v>
      </c>
      <c r="I206" t="s">
        <v>1593</v>
      </c>
      <c r="J206" t="s">
        <v>59</v>
      </c>
      <c r="K206">
        <v>23147.662039422601</v>
      </c>
      <c r="L206">
        <v>121</v>
      </c>
      <c r="M206" t="s">
        <v>32</v>
      </c>
      <c r="N206" s="1">
        <v>43450</v>
      </c>
      <c r="O206" t="s">
        <v>33</v>
      </c>
      <c r="P206" t="s">
        <v>24</v>
      </c>
      <c r="Q206">
        <v>3</v>
      </c>
    </row>
    <row r="207" spans="1:17" x14ac:dyDescent="0.35">
      <c r="A207" t="s">
        <v>1898</v>
      </c>
      <c r="B207" t="str">
        <f t="shared" si="13"/>
        <v>46-55</v>
      </c>
      <c r="C207">
        <v>51</v>
      </c>
      <c r="D207" t="s">
        <v>16</v>
      </c>
      <c r="E207" t="s">
        <v>51</v>
      </c>
      <c r="F207" t="s">
        <v>28</v>
      </c>
      <c r="G207" s="1">
        <v>44920</v>
      </c>
      <c r="H207" t="s">
        <v>1899</v>
      </c>
      <c r="I207" t="s">
        <v>1900</v>
      </c>
      <c r="J207" t="s">
        <v>31</v>
      </c>
      <c r="K207">
        <v>26191.855680458099</v>
      </c>
      <c r="L207">
        <v>250</v>
      </c>
      <c r="M207" t="s">
        <v>22</v>
      </c>
      <c r="N207" s="1">
        <v>44925</v>
      </c>
      <c r="O207" t="s">
        <v>44</v>
      </c>
      <c r="P207" t="s">
        <v>24</v>
      </c>
      <c r="Q207">
        <v>5</v>
      </c>
    </row>
    <row r="208" spans="1:17" x14ac:dyDescent="0.35">
      <c r="A208" t="s">
        <v>1202</v>
      </c>
      <c r="B208" t="str">
        <f t="shared" si="13"/>
        <v>46-55</v>
      </c>
      <c r="C208">
        <v>47</v>
      </c>
      <c r="D208" t="s">
        <v>16</v>
      </c>
      <c r="E208" t="s">
        <v>27</v>
      </c>
      <c r="F208" t="s">
        <v>28</v>
      </c>
      <c r="G208" s="1">
        <v>44996</v>
      </c>
      <c r="H208" t="s">
        <v>1203</v>
      </c>
      <c r="I208" t="s">
        <v>1204</v>
      </c>
      <c r="J208" t="s">
        <v>59</v>
      </c>
      <c r="K208">
        <v>21025.566735250799</v>
      </c>
      <c r="L208">
        <v>142</v>
      </c>
      <c r="M208" t="s">
        <v>43</v>
      </c>
      <c r="N208" s="1">
        <v>45017</v>
      </c>
      <c r="O208" t="s">
        <v>33</v>
      </c>
      <c r="P208" t="s">
        <v>45</v>
      </c>
      <c r="Q208">
        <v>21</v>
      </c>
    </row>
    <row r="209" spans="1:17" x14ac:dyDescent="0.35">
      <c r="A209" t="s">
        <v>2774</v>
      </c>
      <c r="B209" t="str">
        <f t="shared" si="13"/>
        <v>56-65</v>
      </c>
      <c r="C209">
        <v>60</v>
      </c>
      <c r="D209" t="s">
        <v>16</v>
      </c>
      <c r="E209" t="s">
        <v>27</v>
      </c>
      <c r="F209" t="s">
        <v>28</v>
      </c>
      <c r="G209" s="1">
        <v>43848</v>
      </c>
      <c r="H209" t="s">
        <v>2775</v>
      </c>
      <c r="I209" t="s">
        <v>2776</v>
      </c>
      <c r="J209" t="s">
        <v>59</v>
      </c>
      <c r="K209">
        <v>28481.455529918599</v>
      </c>
      <c r="L209">
        <v>216</v>
      </c>
      <c r="M209" t="s">
        <v>43</v>
      </c>
      <c r="N209" s="1">
        <v>43878</v>
      </c>
      <c r="O209" t="s">
        <v>87</v>
      </c>
      <c r="P209" t="s">
        <v>24</v>
      </c>
      <c r="Q209">
        <v>30</v>
      </c>
    </row>
    <row r="210" spans="1:17" x14ac:dyDescent="0.35">
      <c r="A210" t="s">
        <v>981</v>
      </c>
      <c r="B210" t="str">
        <f t="shared" si="13"/>
        <v>18-25</v>
      </c>
      <c r="C210">
        <v>18</v>
      </c>
      <c r="D210" t="s">
        <v>26</v>
      </c>
      <c r="E210" t="s">
        <v>51</v>
      </c>
      <c r="F210" t="s">
        <v>28</v>
      </c>
      <c r="G210" s="1">
        <v>45117</v>
      </c>
      <c r="H210" t="s">
        <v>982</v>
      </c>
      <c r="I210" t="s">
        <v>983</v>
      </c>
      <c r="J210" t="s">
        <v>59</v>
      </c>
      <c r="K210">
        <v>44724.882707224198</v>
      </c>
      <c r="L210">
        <v>114</v>
      </c>
      <c r="M210" t="s">
        <v>32</v>
      </c>
      <c r="N210" s="1">
        <v>45142</v>
      </c>
      <c r="O210" t="s">
        <v>23</v>
      </c>
      <c r="P210" t="s">
        <v>45</v>
      </c>
      <c r="Q210">
        <v>25</v>
      </c>
    </row>
    <row r="211" spans="1:17" x14ac:dyDescent="0.35">
      <c r="A211" t="s">
        <v>2771</v>
      </c>
      <c r="B211" t="str">
        <f t="shared" si="13"/>
        <v>46-55</v>
      </c>
      <c r="C211">
        <v>51</v>
      </c>
      <c r="D211" t="s">
        <v>26</v>
      </c>
      <c r="E211" t="s">
        <v>117</v>
      </c>
      <c r="F211" t="s">
        <v>28</v>
      </c>
      <c r="G211" s="1">
        <v>44847</v>
      </c>
      <c r="H211" t="s">
        <v>2772</v>
      </c>
      <c r="I211" t="s">
        <v>2773</v>
      </c>
      <c r="J211" t="s">
        <v>54</v>
      </c>
      <c r="K211">
        <v>22547.496004173601</v>
      </c>
      <c r="L211">
        <v>491</v>
      </c>
      <c r="M211" t="s">
        <v>32</v>
      </c>
      <c r="N211" s="1">
        <v>44855</v>
      </c>
      <c r="O211" t="s">
        <v>50</v>
      </c>
      <c r="P211" t="s">
        <v>24</v>
      </c>
      <c r="Q211">
        <v>8</v>
      </c>
    </row>
    <row r="212" spans="1:17" x14ac:dyDescent="0.35">
      <c r="A212" t="s">
        <v>1839</v>
      </c>
      <c r="B212" t="str">
        <f t="shared" ref="B212:B275" si="14">VLOOKUP(C212,$T$3:$U$9,2,TRUE)</f>
        <v>76-85</v>
      </c>
      <c r="C212">
        <v>80</v>
      </c>
      <c r="D212" t="s">
        <v>16</v>
      </c>
      <c r="E212" t="s">
        <v>17</v>
      </c>
      <c r="F212" t="s">
        <v>28</v>
      </c>
      <c r="G212" s="1">
        <v>43584</v>
      </c>
      <c r="H212" t="s">
        <v>1840</v>
      </c>
      <c r="I212" t="s">
        <v>1213</v>
      </c>
      <c r="J212" t="s">
        <v>21</v>
      </c>
      <c r="K212">
        <v>20480.127366492499</v>
      </c>
      <c r="L212">
        <v>194</v>
      </c>
      <c r="M212" t="s">
        <v>32</v>
      </c>
      <c r="N212" s="1">
        <v>43589</v>
      </c>
      <c r="O212" t="s">
        <v>44</v>
      </c>
      <c r="P212" t="s">
        <v>34</v>
      </c>
      <c r="Q212">
        <v>5</v>
      </c>
    </row>
    <row r="213" spans="1:17" x14ac:dyDescent="0.35">
      <c r="A213" t="s">
        <v>1259</v>
      </c>
      <c r="B213" t="str">
        <f t="shared" si="14"/>
        <v>56-65</v>
      </c>
      <c r="C213">
        <v>57</v>
      </c>
      <c r="D213" t="s">
        <v>16</v>
      </c>
      <c r="E213" t="s">
        <v>92</v>
      </c>
      <c r="F213" t="s">
        <v>28</v>
      </c>
      <c r="G213" s="1">
        <v>44126</v>
      </c>
      <c r="H213" t="s">
        <v>1260</v>
      </c>
      <c r="I213" t="s">
        <v>1261</v>
      </c>
      <c r="J213" t="s">
        <v>31</v>
      </c>
      <c r="K213">
        <v>48716.2891071493</v>
      </c>
      <c r="L213">
        <v>476</v>
      </c>
      <c r="M213" t="s">
        <v>32</v>
      </c>
      <c r="N213" s="1">
        <v>44154</v>
      </c>
      <c r="O213" t="s">
        <v>44</v>
      </c>
      <c r="P213" t="s">
        <v>34</v>
      </c>
      <c r="Q213">
        <v>28</v>
      </c>
    </row>
    <row r="214" spans="1:17" x14ac:dyDescent="0.35">
      <c r="A214" t="s">
        <v>512</v>
      </c>
      <c r="B214" t="str">
        <f t="shared" si="14"/>
        <v>66-75</v>
      </c>
      <c r="C214">
        <v>66</v>
      </c>
      <c r="D214" t="s">
        <v>16</v>
      </c>
      <c r="E214" t="s">
        <v>65</v>
      </c>
      <c r="F214" t="s">
        <v>28</v>
      </c>
      <c r="G214" s="1">
        <v>43796</v>
      </c>
      <c r="H214" t="s">
        <v>513</v>
      </c>
      <c r="I214" t="s">
        <v>514</v>
      </c>
      <c r="J214" t="s">
        <v>21</v>
      </c>
      <c r="K214">
        <v>10753.757615365401</v>
      </c>
      <c r="L214">
        <v>145</v>
      </c>
      <c r="M214" t="s">
        <v>43</v>
      </c>
      <c r="N214" s="1">
        <v>43813</v>
      </c>
      <c r="O214" t="s">
        <v>50</v>
      </c>
      <c r="P214" t="s">
        <v>34</v>
      </c>
      <c r="Q214">
        <v>17</v>
      </c>
    </row>
    <row r="215" spans="1:17" x14ac:dyDescent="0.35">
      <c r="A215" t="s">
        <v>1744</v>
      </c>
      <c r="B215" t="str">
        <f t="shared" si="14"/>
        <v>66-75</v>
      </c>
      <c r="C215">
        <v>70</v>
      </c>
      <c r="D215" t="s">
        <v>26</v>
      </c>
      <c r="E215" t="s">
        <v>232</v>
      </c>
      <c r="F215" t="s">
        <v>28</v>
      </c>
      <c r="G215" s="1">
        <v>45078</v>
      </c>
      <c r="H215" t="s">
        <v>1745</v>
      </c>
      <c r="I215" t="s">
        <v>1746</v>
      </c>
      <c r="J215" t="s">
        <v>59</v>
      </c>
      <c r="K215">
        <v>40930.336700342901</v>
      </c>
      <c r="L215">
        <v>269</v>
      </c>
      <c r="M215" t="s">
        <v>22</v>
      </c>
      <c r="N215" s="1">
        <v>45104</v>
      </c>
      <c r="O215" t="s">
        <v>50</v>
      </c>
      <c r="P215" t="s">
        <v>45</v>
      </c>
      <c r="Q215">
        <v>26</v>
      </c>
    </row>
    <row r="216" spans="1:17" x14ac:dyDescent="0.35">
      <c r="A216" t="s">
        <v>955</v>
      </c>
      <c r="B216" t="str">
        <f t="shared" si="14"/>
        <v>26-35</v>
      </c>
      <c r="C216">
        <v>33</v>
      </c>
      <c r="D216" t="s">
        <v>26</v>
      </c>
      <c r="E216" t="s">
        <v>51</v>
      </c>
      <c r="F216" t="s">
        <v>28</v>
      </c>
      <c r="G216" s="1">
        <v>43418</v>
      </c>
      <c r="H216" t="s">
        <v>956</v>
      </c>
      <c r="I216" t="s">
        <v>957</v>
      </c>
      <c r="J216" t="s">
        <v>59</v>
      </c>
      <c r="K216">
        <v>27593.645082180599</v>
      </c>
      <c r="L216">
        <v>161</v>
      </c>
      <c r="M216" t="s">
        <v>22</v>
      </c>
      <c r="N216" s="1">
        <v>43435</v>
      </c>
      <c r="O216" t="s">
        <v>87</v>
      </c>
      <c r="P216" t="s">
        <v>45</v>
      </c>
      <c r="Q216">
        <v>17</v>
      </c>
    </row>
    <row r="217" spans="1:17" x14ac:dyDescent="0.35">
      <c r="A217" t="s">
        <v>932</v>
      </c>
      <c r="B217" t="str">
        <f t="shared" si="14"/>
        <v>76-85</v>
      </c>
      <c r="C217">
        <v>80</v>
      </c>
      <c r="D217" t="s">
        <v>16</v>
      </c>
      <c r="E217" t="s">
        <v>27</v>
      </c>
      <c r="F217" t="s">
        <v>28</v>
      </c>
      <c r="G217" s="1">
        <v>43727</v>
      </c>
      <c r="H217" t="s">
        <v>933</v>
      </c>
      <c r="I217" t="s">
        <v>934</v>
      </c>
      <c r="J217" t="s">
        <v>54</v>
      </c>
      <c r="K217">
        <v>41417.844339025498</v>
      </c>
      <c r="L217">
        <v>230</v>
      </c>
      <c r="M217" t="s">
        <v>22</v>
      </c>
      <c r="N217" s="1">
        <v>43756</v>
      </c>
      <c r="O217" t="s">
        <v>23</v>
      </c>
      <c r="P217" t="s">
        <v>45</v>
      </c>
      <c r="Q217">
        <v>29</v>
      </c>
    </row>
    <row r="218" spans="1:17" x14ac:dyDescent="0.35">
      <c r="A218" t="s">
        <v>1582</v>
      </c>
      <c r="B218" t="str">
        <f t="shared" si="14"/>
        <v>26-35</v>
      </c>
      <c r="C218">
        <v>32</v>
      </c>
      <c r="D218" t="s">
        <v>16</v>
      </c>
      <c r="E218" t="s">
        <v>232</v>
      </c>
      <c r="F218" t="s">
        <v>28</v>
      </c>
      <c r="G218" s="1">
        <v>44681</v>
      </c>
      <c r="H218" t="s">
        <v>1583</v>
      </c>
      <c r="I218" t="s">
        <v>1584</v>
      </c>
      <c r="J218" t="s">
        <v>54</v>
      </c>
      <c r="K218">
        <v>6070.7903873286596</v>
      </c>
      <c r="L218">
        <v>283</v>
      </c>
      <c r="M218" t="s">
        <v>43</v>
      </c>
      <c r="N218" s="1">
        <v>44690</v>
      </c>
      <c r="O218" t="s">
        <v>33</v>
      </c>
      <c r="P218" t="s">
        <v>24</v>
      </c>
      <c r="Q218">
        <v>9</v>
      </c>
    </row>
    <row r="219" spans="1:17" x14ac:dyDescent="0.35">
      <c r="A219" t="s">
        <v>1128</v>
      </c>
      <c r="B219" t="str">
        <f t="shared" si="14"/>
        <v>46-55</v>
      </c>
      <c r="C219">
        <v>53</v>
      </c>
      <c r="D219" t="s">
        <v>26</v>
      </c>
      <c r="E219" t="s">
        <v>92</v>
      </c>
      <c r="F219" t="s">
        <v>28</v>
      </c>
      <c r="G219" s="1">
        <v>43678</v>
      </c>
      <c r="H219" t="s">
        <v>1129</v>
      </c>
      <c r="I219" t="s">
        <v>1130</v>
      </c>
      <c r="J219" t="s">
        <v>31</v>
      </c>
      <c r="K219">
        <v>43495.230345054202</v>
      </c>
      <c r="L219">
        <v>493</v>
      </c>
      <c r="M219" t="s">
        <v>43</v>
      </c>
      <c r="N219" s="1">
        <v>43700</v>
      </c>
      <c r="O219" t="s">
        <v>23</v>
      </c>
      <c r="P219" t="s">
        <v>45</v>
      </c>
      <c r="Q219">
        <v>22</v>
      </c>
    </row>
    <row r="220" spans="1:17" x14ac:dyDescent="0.35">
      <c r="A220" t="s">
        <v>1513</v>
      </c>
      <c r="B220" t="str">
        <f t="shared" si="14"/>
        <v>76-85</v>
      </c>
      <c r="C220">
        <v>78</v>
      </c>
      <c r="D220" t="s">
        <v>16</v>
      </c>
      <c r="E220" t="s">
        <v>65</v>
      </c>
      <c r="F220" t="s">
        <v>28</v>
      </c>
      <c r="G220" s="1">
        <v>44794</v>
      </c>
      <c r="H220" t="s">
        <v>1514</v>
      </c>
      <c r="I220" t="s">
        <v>1515</v>
      </c>
      <c r="J220" t="s">
        <v>21</v>
      </c>
      <c r="K220">
        <v>4872.5220386779602</v>
      </c>
      <c r="L220">
        <v>300</v>
      </c>
      <c r="M220" t="s">
        <v>32</v>
      </c>
      <c r="N220" s="1">
        <v>44796</v>
      </c>
      <c r="O220" t="s">
        <v>23</v>
      </c>
      <c r="P220" t="s">
        <v>34</v>
      </c>
      <c r="Q220">
        <v>2</v>
      </c>
    </row>
    <row r="221" spans="1:17" x14ac:dyDescent="0.35">
      <c r="A221" t="s">
        <v>1073</v>
      </c>
      <c r="B221" t="str">
        <f t="shared" si="14"/>
        <v>36-45</v>
      </c>
      <c r="C221">
        <v>42</v>
      </c>
      <c r="D221" t="s">
        <v>16</v>
      </c>
      <c r="E221" t="s">
        <v>17</v>
      </c>
      <c r="F221" t="s">
        <v>28</v>
      </c>
      <c r="G221" s="1">
        <v>44471</v>
      </c>
      <c r="H221" t="s">
        <v>280</v>
      </c>
      <c r="I221" t="s">
        <v>1074</v>
      </c>
      <c r="J221" t="s">
        <v>59</v>
      </c>
      <c r="K221">
        <v>37113.070252732701</v>
      </c>
      <c r="L221">
        <v>226</v>
      </c>
      <c r="M221" t="s">
        <v>22</v>
      </c>
      <c r="N221" s="1">
        <v>44476</v>
      </c>
      <c r="O221" t="s">
        <v>44</v>
      </c>
      <c r="P221" t="s">
        <v>24</v>
      </c>
      <c r="Q221">
        <v>5</v>
      </c>
    </row>
    <row r="222" spans="1:17" x14ac:dyDescent="0.35">
      <c r="A222" t="s">
        <v>804</v>
      </c>
      <c r="B222" t="str">
        <f t="shared" si="14"/>
        <v>26-35</v>
      </c>
      <c r="C222">
        <v>28</v>
      </c>
      <c r="D222" t="s">
        <v>26</v>
      </c>
      <c r="E222" t="s">
        <v>92</v>
      </c>
      <c r="F222" t="s">
        <v>28</v>
      </c>
      <c r="G222" s="1">
        <v>44032</v>
      </c>
      <c r="H222" t="s">
        <v>805</v>
      </c>
      <c r="I222" t="s">
        <v>806</v>
      </c>
      <c r="J222" t="s">
        <v>59</v>
      </c>
      <c r="K222">
        <v>41414.986529870999</v>
      </c>
      <c r="L222">
        <v>292</v>
      </c>
      <c r="M222" t="s">
        <v>43</v>
      </c>
      <c r="N222" s="1">
        <v>44052</v>
      </c>
      <c r="O222" t="s">
        <v>23</v>
      </c>
      <c r="P222" t="s">
        <v>45</v>
      </c>
      <c r="Q222">
        <v>20</v>
      </c>
    </row>
    <row r="223" spans="1:17" x14ac:dyDescent="0.35">
      <c r="A223" t="s">
        <v>2863</v>
      </c>
      <c r="B223" t="str">
        <f t="shared" si="14"/>
        <v>36-45</v>
      </c>
      <c r="C223">
        <v>40</v>
      </c>
      <c r="D223" t="s">
        <v>16</v>
      </c>
      <c r="E223" t="s">
        <v>36</v>
      </c>
      <c r="F223" t="s">
        <v>28</v>
      </c>
      <c r="G223" s="1">
        <v>44187</v>
      </c>
      <c r="H223" t="s">
        <v>2864</v>
      </c>
      <c r="I223" t="s">
        <v>2865</v>
      </c>
      <c r="J223" t="s">
        <v>59</v>
      </c>
      <c r="K223">
        <v>49125.157745441698</v>
      </c>
      <c r="L223">
        <v>430</v>
      </c>
      <c r="M223" t="s">
        <v>22</v>
      </c>
      <c r="N223" s="1">
        <v>44198</v>
      </c>
      <c r="O223" t="s">
        <v>33</v>
      </c>
      <c r="P223" t="s">
        <v>24</v>
      </c>
      <c r="Q223">
        <v>11</v>
      </c>
    </row>
    <row r="224" spans="1:17" x14ac:dyDescent="0.35">
      <c r="A224" t="s">
        <v>1014</v>
      </c>
      <c r="B224" t="str">
        <f t="shared" si="14"/>
        <v>36-45</v>
      </c>
      <c r="C224">
        <v>42</v>
      </c>
      <c r="D224" t="s">
        <v>16</v>
      </c>
      <c r="E224" t="s">
        <v>51</v>
      </c>
      <c r="F224" t="s">
        <v>28</v>
      </c>
      <c r="G224" s="1">
        <v>43697</v>
      </c>
      <c r="H224" t="s">
        <v>1015</v>
      </c>
      <c r="I224" t="s">
        <v>1016</v>
      </c>
      <c r="J224" t="s">
        <v>59</v>
      </c>
      <c r="K224">
        <v>12287.139440438399</v>
      </c>
      <c r="L224">
        <v>384</v>
      </c>
      <c r="M224" t="s">
        <v>22</v>
      </c>
      <c r="N224" s="1">
        <v>43715</v>
      </c>
      <c r="O224" t="s">
        <v>33</v>
      </c>
      <c r="P224" t="s">
        <v>24</v>
      </c>
      <c r="Q224">
        <v>18</v>
      </c>
    </row>
    <row r="225" spans="1:17" x14ac:dyDescent="0.35">
      <c r="A225" t="s">
        <v>1465</v>
      </c>
      <c r="B225" t="str">
        <f t="shared" si="14"/>
        <v>26-35</v>
      </c>
      <c r="C225">
        <v>32</v>
      </c>
      <c r="D225" t="s">
        <v>26</v>
      </c>
      <c r="E225" t="s">
        <v>92</v>
      </c>
      <c r="F225" t="s">
        <v>28</v>
      </c>
      <c r="G225" s="1">
        <v>45070</v>
      </c>
      <c r="H225" t="s">
        <v>1466</v>
      </c>
      <c r="I225" t="s">
        <v>1467</v>
      </c>
      <c r="J225" t="s">
        <v>59</v>
      </c>
      <c r="K225">
        <v>3717.53276817495</v>
      </c>
      <c r="L225">
        <v>412</v>
      </c>
      <c r="M225" t="s">
        <v>22</v>
      </c>
      <c r="N225" s="1">
        <v>45089</v>
      </c>
      <c r="O225" t="s">
        <v>50</v>
      </c>
      <c r="P225" t="s">
        <v>34</v>
      </c>
      <c r="Q225">
        <v>19</v>
      </c>
    </row>
    <row r="226" spans="1:17" x14ac:dyDescent="0.35">
      <c r="A226" t="s">
        <v>539</v>
      </c>
      <c r="B226" t="str">
        <f t="shared" si="14"/>
        <v>56-65</v>
      </c>
      <c r="C226">
        <v>64</v>
      </c>
      <c r="D226" t="s">
        <v>16</v>
      </c>
      <c r="E226" t="s">
        <v>232</v>
      </c>
      <c r="F226" t="s">
        <v>28</v>
      </c>
      <c r="G226" s="1">
        <v>43950</v>
      </c>
      <c r="H226" t="s">
        <v>540</v>
      </c>
      <c r="I226" t="s">
        <v>541</v>
      </c>
      <c r="J226" t="s">
        <v>21</v>
      </c>
      <c r="K226">
        <v>23968.316918250101</v>
      </c>
      <c r="L226">
        <v>245</v>
      </c>
      <c r="M226" t="s">
        <v>22</v>
      </c>
      <c r="N226" s="1">
        <v>43969</v>
      </c>
      <c r="O226" t="s">
        <v>87</v>
      </c>
      <c r="P226" t="s">
        <v>34</v>
      </c>
      <c r="Q226">
        <v>19</v>
      </c>
    </row>
    <row r="227" spans="1:17" x14ac:dyDescent="0.35">
      <c r="A227" t="s">
        <v>834</v>
      </c>
      <c r="B227" t="str">
        <f t="shared" si="14"/>
        <v>18-25</v>
      </c>
      <c r="C227">
        <v>21</v>
      </c>
      <c r="D227" t="s">
        <v>16</v>
      </c>
      <c r="E227" t="s">
        <v>92</v>
      </c>
      <c r="F227" t="s">
        <v>28</v>
      </c>
      <c r="G227" s="1">
        <v>44553</v>
      </c>
      <c r="H227" t="s">
        <v>835</v>
      </c>
      <c r="I227" t="s">
        <v>836</v>
      </c>
      <c r="J227" t="s">
        <v>63</v>
      </c>
      <c r="K227">
        <v>37246.819154310397</v>
      </c>
      <c r="L227">
        <v>294</v>
      </c>
      <c r="M227" t="s">
        <v>22</v>
      </c>
      <c r="N227" s="1">
        <v>44568</v>
      </c>
      <c r="O227" t="s">
        <v>44</v>
      </c>
      <c r="P227" t="s">
        <v>34</v>
      </c>
      <c r="Q227">
        <v>15</v>
      </c>
    </row>
    <row r="228" spans="1:17" x14ac:dyDescent="0.35">
      <c r="A228" t="s">
        <v>521</v>
      </c>
      <c r="B228" t="str">
        <f t="shared" si="14"/>
        <v>56-65</v>
      </c>
      <c r="C228">
        <v>65</v>
      </c>
      <c r="D228" t="s">
        <v>16</v>
      </c>
      <c r="E228" t="s">
        <v>17</v>
      </c>
      <c r="F228" t="s">
        <v>28</v>
      </c>
      <c r="G228" s="1">
        <v>43949</v>
      </c>
      <c r="H228" t="s">
        <v>522</v>
      </c>
      <c r="I228" t="s">
        <v>523</v>
      </c>
      <c r="J228" t="s">
        <v>21</v>
      </c>
      <c r="K228">
        <v>23961.069814057901</v>
      </c>
      <c r="L228">
        <v>170</v>
      </c>
      <c r="M228" t="s">
        <v>22</v>
      </c>
      <c r="N228" s="1">
        <v>43975</v>
      </c>
      <c r="O228" t="s">
        <v>87</v>
      </c>
      <c r="P228" t="s">
        <v>24</v>
      </c>
      <c r="Q228">
        <v>26</v>
      </c>
    </row>
    <row r="229" spans="1:17" x14ac:dyDescent="0.35">
      <c r="A229" t="s">
        <v>2181</v>
      </c>
      <c r="B229" t="str">
        <f t="shared" si="14"/>
        <v>26-35</v>
      </c>
      <c r="C229">
        <v>34</v>
      </c>
      <c r="D229" t="s">
        <v>26</v>
      </c>
      <c r="E229" t="s">
        <v>117</v>
      </c>
      <c r="F229" t="s">
        <v>28</v>
      </c>
      <c r="G229" s="1">
        <v>44440</v>
      </c>
      <c r="H229" t="s">
        <v>2182</v>
      </c>
      <c r="I229" t="s">
        <v>2183</v>
      </c>
      <c r="J229" t="s">
        <v>59</v>
      </c>
      <c r="K229">
        <v>17282.783447122001</v>
      </c>
      <c r="L229">
        <v>210</v>
      </c>
      <c r="M229" t="s">
        <v>43</v>
      </c>
      <c r="N229" s="1">
        <v>44450</v>
      </c>
      <c r="O229" t="s">
        <v>44</v>
      </c>
      <c r="P229" t="s">
        <v>24</v>
      </c>
      <c r="Q229">
        <v>10</v>
      </c>
    </row>
    <row r="230" spans="1:17" x14ac:dyDescent="0.35">
      <c r="A230" t="s">
        <v>506</v>
      </c>
      <c r="B230" t="str">
        <f t="shared" si="14"/>
        <v>36-45</v>
      </c>
      <c r="C230">
        <v>43</v>
      </c>
      <c r="D230" t="s">
        <v>16</v>
      </c>
      <c r="E230" t="s">
        <v>27</v>
      </c>
      <c r="F230" t="s">
        <v>28</v>
      </c>
      <c r="G230" s="1">
        <v>44660</v>
      </c>
      <c r="H230" t="s">
        <v>507</v>
      </c>
      <c r="I230" t="s">
        <v>508</v>
      </c>
      <c r="J230" t="s">
        <v>63</v>
      </c>
      <c r="K230">
        <v>5974.9702052410903</v>
      </c>
      <c r="L230">
        <v>238</v>
      </c>
      <c r="M230" t="s">
        <v>32</v>
      </c>
      <c r="N230" s="1">
        <v>44664</v>
      </c>
      <c r="O230" t="s">
        <v>87</v>
      </c>
      <c r="P230" t="s">
        <v>24</v>
      </c>
      <c r="Q230">
        <v>4</v>
      </c>
    </row>
    <row r="231" spans="1:17" x14ac:dyDescent="0.35">
      <c r="A231" t="s">
        <v>1408</v>
      </c>
      <c r="B231" t="str">
        <f t="shared" si="14"/>
        <v>26-35</v>
      </c>
      <c r="C231">
        <v>26</v>
      </c>
      <c r="D231" t="s">
        <v>16</v>
      </c>
      <c r="E231" t="s">
        <v>232</v>
      </c>
      <c r="F231" t="s">
        <v>28</v>
      </c>
      <c r="G231" s="1">
        <v>44773</v>
      </c>
      <c r="H231" t="s">
        <v>1409</v>
      </c>
      <c r="I231" t="s">
        <v>1410</v>
      </c>
      <c r="J231" t="s">
        <v>63</v>
      </c>
      <c r="K231">
        <v>47633.196118288397</v>
      </c>
      <c r="L231">
        <v>467</v>
      </c>
      <c r="M231" t="s">
        <v>22</v>
      </c>
      <c r="N231" s="1">
        <v>44783</v>
      </c>
      <c r="O231" t="s">
        <v>44</v>
      </c>
      <c r="P231" t="s">
        <v>24</v>
      </c>
      <c r="Q231">
        <v>10</v>
      </c>
    </row>
    <row r="232" spans="1:17" x14ac:dyDescent="0.35">
      <c r="A232" t="s">
        <v>1423</v>
      </c>
      <c r="B232" t="str">
        <f t="shared" si="14"/>
        <v>76-85</v>
      </c>
      <c r="C232">
        <v>79</v>
      </c>
      <c r="D232" t="s">
        <v>16</v>
      </c>
      <c r="E232" t="s">
        <v>36</v>
      </c>
      <c r="F232" t="s">
        <v>28</v>
      </c>
      <c r="G232" s="1">
        <v>44714</v>
      </c>
      <c r="H232" t="s">
        <v>1424</v>
      </c>
      <c r="I232" t="s">
        <v>1425</v>
      </c>
      <c r="J232" t="s">
        <v>21</v>
      </c>
      <c r="K232">
        <v>12798.3544363728</v>
      </c>
      <c r="L232">
        <v>206</v>
      </c>
      <c r="M232" t="s">
        <v>22</v>
      </c>
      <c r="N232" s="1">
        <v>44727</v>
      </c>
      <c r="O232" t="s">
        <v>44</v>
      </c>
      <c r="P232" t="s">
        <v>24</v>
      </c>
      <c r="Q232">
        <v>13</v>
      </c>
    </row>
    <row r="233" spans="1:17" x14ac:dyDescent="0.35">
      <c r="A233" t="s">
        <v>336</v>
      </c>
      <c r="B233" t="str">
        <f t="shared" si="14"/>
        <v>76-85</v>
      </c>
      <c r="C233">
        <v>81</v>
      </c>
      <c r="D233" t="s">
        <v>26</v>
      </c>
      <c r="E233" t="s">
        <v>117</v>
      </c>
      <c r="F233" t="s">
        <v>28</v>
      </c>
      <c r="G233" s="1">
        <v>44849</v>
      </c>
      <c r="H233" t="s">
        <v>337</v>
      </c>
      <c r="I233" t="s">
        <v>338</v>
      </c>
      <c r="J233" t="s">
        <v>63</v>
      </c>
      <c r="K233">
        <v>1923.9067941825499</v>
      </c>
      <c r="L233">
        <v>462</v>
      </c>
      <c r="M233" t="s">
        <v>22</v>
      </c>
      <c r="N233" s="1">
        <v>44853</v>
      </c>
      <c r="O233" t="s">
        <v>87</v>
      </c>
      <c r="P233" t="s">
        <v>45</v>
      </c>
      <c r="Q233">
        <v>4</v>
      </c>
    </row>
    <row r="234" spans="1:17" x14ac:dyDescent="0.35">
      <c r="A234" t="s">
        <v>1191</v>
      </c>
      <c r="B234" t="str">
        <f t="shared" si="14"/>
        <v>56-65</v>
      </c>
      <c r="C234">
        <v>56</v>
      </c>
      <c r="D234" t="s">
        <v>16</v>
      </c>
      <c r="E234" t="s">
        <v>27</v>
      </c>
      <c r="F234" t="s">
        <v>28</v>
      </c>
      <c r="G234" s="1">
        <v>44170</v>
      </c>
      <c r="H234" t="s">
        <v>975</v>
      </c>
      <c r="I234" t="s">
        <v>1192</v>
      </c>
      <c r="J234" t="s">
        <v>63</v>
      </c>
      <c r="K234">
        <v>24181.192758454599</v>
      </c>
      <c r="L234">
        <v>394</v>
      </c>
      <c r="M234" t="s">
        <v>32</v>
      </c>
      <c r="N234" s="1">
        <v>44183</v>
      </c>
      <c r="O234" t="s">
        <v>50</v>
      </c>
      <c r="P234" t="s">
        <v>45</v>
      </c>
      <c r="Q234">
        <v>13</v>
      </c>
    </row>
    <row r="235" spans="1:17" x14ac:dyDescent="0.35">
      <c r="A235" t="s">
        <v>2607</v>
      </c>
      <c r="B235" t="str">
        <f t="shared" si="14"/>
        <v>46-55</v>
      </c>
      <c r="C235">
        <v>53</v>
      </c>
      <c r="D235" t="s">
        <v>26</v>
      </c>
      <c r="E235" t="s">
        <v>65</v>
      </c>
      <c r="F235" t="s">
        <v>28</v>
      </c>
      <c r="G235" s="1">
        <v>44160</v>
      </c>
      <c r="H235" t="s">
        <v>2878</v>
      </c>
      <c r="I235" t="s">
        <v>2879</v>
      </c>
      <c r="J235" t="s">
        <v>59</v>
      </c>
      <c r="K235">
        <v>19218.4785931769</v>
      </c>
      <c r="L235">
        <v>262</v>
      </c>
      <c r="M235" t="s">
        <v>43</v>
      </c>
      <c r="N235" s="1">
        <v>44170</v>
      </c>
      <c r="O235" t="s">
        <v>87</v>
      </c>
      <c r="P235" t="s">
        <v>34</v>
      </c>
      <c r="Q235">
        <v>10</v>
      </c>
    </row>
    <row r="236" spans="1:17" x14ac:dyDescent="0.35">
      <c r="A236" t="s">
        <v>2018</v>
      </c>
      <c r="B236" t="str">
        <f t="shared" si="14"/>
        <v>46-55</v>
      </c>
      <c r="C236">
        <v>48</v>
      </c>
      <c r="D236" t="s">
        <v>16</v>
      </c>
      <c r="E236" t="s">
        <v>65</v>
      </c>
      <c r="F236" t="s">
        <v>28</v>
      </c>
      <c r="G236" s="1">
        <v>43586</v>
      </c>
      <c r="H236" t="s">
        <v>2019</v>
      </c>
      <c r="I236" t="s">
        <v>2020</v>
      </c>
      <c r="J236" t="s">
        <v>21</v>
      </c>
      <c r="K236">
        <v>24341.762471661499</v>
      </c>
      <c r="L236">
        <v>288</v>
      </c>
      <c r="M236" t="s">
        <v>22</v>
      </c>
      <c r="N236" s="1">
        <v>43589</v>
      </c>
      <c r="O236" t="s">
        <v>44</v>
      </c>
      <c r="P236" t="s">
        <v>34</v>
      </c>
      <c r="Q236">
        <v>3</v>
      </c>
    </row>
    <row r="237" spans="1:17" x14ac:dyDescent="0.35">
      <c r="A237" t="s">
        <v>2063</v>
      </c>
      <c r="B237" t="str">
        <f t="shared" si="14"/>
        <v>66-75</v>
      </c>
      <c r="C237">
        <v>69</v>
      </c>
      <c r="D237" t="s">
        <v>16</v>
      </c>
      <c r="E237" t="s">
        <v>27</v>
      </c>
      <c r="F237" t="s">
        <v>28</v>
      </c>
      <c r="G237" s="1">
        <v>44941</v>
      </c>
      <c r="H237" t="s">
        <v>2064</v>
      </c>
      <c r="I237" t="s">
        <v>2065</v>
      </c>
      <c r="J237" t="s">
        <v>21</v>
      </c>
      <c r="K237">
        <v>48488.178087849999</v>
      </c>
      <c r="L237">
        <v>213</v>
      </c>
      <c r="M237" t="s">
        <v>32</v>
      </c>
      <c r="N237" s="1">
        <v>44949</v>
      </c>
      <c r="O237" t="s">
        <v>44</v>
      </c>
      <c r="P237" t="s">
        <v>45</v>
      </c>
      <c r="Q237">
        <v>8</v>
      </c>
    </row>
    <row r="238" spans="1:17" x14ac:dyDescent="0.35">
      <c r="A238" t="s">
        <v>849</v>
      </c>
      <c r="B238" t="str">
        <f t="shared" si="14"/>
        <v>26-35</v>
      </c>
      <c r="C238">
        <v>31</v>
      </c>
      <c r="D238" t="s">
        <v>26</v>
      </c>
      <c r="E238" t="s">
        <v>17</v>
      </c>
      <c r="F238" t="s">
        <v>28</v>
      </c>
      <c r="G238" s="1">
        <v>44781</v>
      </c>
      <c r="H238" t="s">
        <v>850</v>
      </c>
      <c r="I238" t="s">
        <v>851</v>
      </c>
      <c r="J238" t="s">
        <v>59</v>
      </c>
      <c r="K238">
        <v>43882.561949005802</v>
      </c>
      <c r="L238">
        <v>374</v>
      </c>
      <c r="M238" t="s">
        <v>22</v>
      </c>
      <c r="N238" s="1">
        <v>44787</v>
      </c>
      <c r="O238" t="s">
        <v>23</v>
      </c>
      <c r="P238" t="s">
        <v>45</v>
      </c>
      <c r="Q238">
        <v>6</v>
      </c>
    </row>
    <row r="239" spans="1:17" x14ac:dyDescent="0.35">
      <c r="A239" t="s">
        <v>2670</v>
      </c>
      <c r="B239" t="str">
        <f t="shared" si="14"/>
        <v>26-35</v>
      </c>
      <c r="C239">
        <v>28</v>
      </c>
      <c r="D239" t="s">
        <v>16</v>
      </c>
      <c r="E239" t="s">
        <v>17</v>
      </c>
      <c r="F239" t="s">
        <v>28</v>
      </c>
      <c r="G239" s="1">
        <v>44565</v>
      </c>
      <c r="H239" t="s">
        <v>2671</v>
      </c>
      <c r="I239" t="s">
        <v>2672</v>
      </c>
      <c r="J239" t="s">
        <v>54</v>
      </c>
      <c r="K239">
        <v>1897.4554096945701</v>
      </c>
      <c r="L239">
        <v>247</v>
      </c>
      <c r="M239" t="s">
        <v>22</v>
      </c>
      <c r="N239" s="1">
        <v>44582</v>
      </c>
      <c r="O239" t="s">
        <v>23</v>
      </c>
      <c r="P239" t="s">
        <v>34</v>
      </c>
      <c r="Q239">
        <v>17</v>
      </c>
    </row>
    <row r="240" spans="1:17" x14ac:dyDescent="0.35">
      <c r="A240" t="s">
        <v>840</v>
      </c>
      <c r="B240" t="str">
        <f t="shared" si="14"/>
        <v>46-55</v>
      </c>
      <c r="C240">
        <v>48</v>
      </c>
      <c r="D240" t="s">
        <v>26</v>
      </c>
      <c r="E240" t="s">
        <v>17</v>
      </c>
      <c r="F240" t="s">
        <v>28</v>
      </c>
      <c r="G240" s="1">
        <v>44752</v>
      </c>
      <c r="H240" t="s">
        <v>841</v>
      </c>
      <c r="I240" t="s">
        <v>842</v>
      </c>
      <c r="J240" t="s">
        <v>54</v>
      </c>
      <c r="K240">
        <v>42621.4496468406</v>
      </c>
      <c r="L240">
        <v>297</v>
      </c>
      <c r="M240" t="s">
        <v>43</v>
      </c>
      <c r="N240" s="1">
        <v>44770</v>
      </c>
      <c r="O240" t="s">
        <v>44</v>
      </c>
      <c r="P240" t="s">
        <v>24</v>
      </c>
      <c r="Q240">
        <v>18</v>
      </c>
    </row>
    <row r="241" spans="1:17" x14ac:dyDescent="0.35">
      <c r="A241" t="s">
        <v>2901</v>
      </c>
      <c r="B241" t="str">
        <f t="shared" si="14"/>
        <v>36-45</v>
      </c>
      <c r="C241">
        <v>36</v>
      </c>
      <c r="D241" t="s">
        <v>26</v>
      </c>
      <c r="E241" t="s">
        <v>232</v>
      </c>
      <c r="F241" t="s">
        <v>28</v>
      </c>
      <c r="G241" s="1">
        <v>45139</v>
      </c>
      <c r="H241" t="s">
        <v>2902</v>
      </c>
      <c r="I241" t="s">
        <v>2903</v>
      </c>
      <c r="J241" t="s">
        <v>59</v>
      </c>
      <c r="K241">
        <v>49666.605650203499</v>
      </c>
      <c r="L241">
        <v>251</v>
      </c>
      <c r="M241" t="s">
        <v>32</v>
      </c>
      <c r="N241" s="1">
        <v>45149</v>
      </c>
      <c r="O241" t="s">
        <v>33</v>
      </c>
      <c r="P241" t="s">
        <v>45</v>
      </c>
      <c r="Q241">
        <v>10</v>
      </c>
    </row>
    <row r="242" spans="1:17" x14ac:dyDescent="0.35">
      <c r="A242" t="s">
        <v>2652</v>
      </c>
      <c r="B242" t="str">
        <f t="shared" si="14"/>
        <v>56-65</v>
      </c>
      <c r="C242">
        <v>59</v>
      </c>
      <c r="D242" t="s">
        <v>16</v>
      </c>
      <c r="E242" t="s">
        <v>27</v>
      </c>
      <c r="F242" t="s">
        <v>28</v>
      </c>
      <c r="G242" s="1">
        <v>44362</v>
      </c>
      <c r="H242" t="s">
        <v>2653</v>
      </c>
      <c r="I242" t="s">
        <v>2654</v>
      </c>
      <c r="J242" t="s">
        <v>31</v>
      </c>
      <c r="K242">
        <v>23549.230665817198</v>
      </c>
      <c r="L242">
        <v>398</v>
      </c>
      <c r="M242" t="s">
        <v>43</v>
      </c>
      <c r="N242" s="1">
        <v>44383</v>
      </c>
      <c r="O242" t="s">
        <v>23</v>
      </c>
      <c r="P242" t="s">
        <v>45</v>
      </c>
      <c r="Q242">
        <v>21</v>
      </c>
    </row>
    <row r="243" spans="1:17" x14ac:dyDescent="0.35">
      <c r="A243" t="s">
        <v>578</v>
      </c>
      <c r="B243" t="str">
        <f t="shared" si="14"/>
        <v>66-75</v>
      </c>
      <c r="C243">
        <v>75</v>
      </c>
      <c r="D243" t="s">
        <v>16</v>
      </c>
      <c r="E243" t="s">
        <v>65</v>
      </c>
      <c r="F243" t="s">
        <v>28</v>
      </c>
      <c r="G243" s="1">
        <v>43915</v>
      </c>
      <c r="H243" t="s">
        <v>579</v>
      </c>
      <c r="I243" t="s">
        <v>580</v>
      </c>
      <c r="J243" t="s">
        <v>54</v>
      </c>
      <c r="K243">
        <v>7140.7738327770403</v>
      </c>
      <c r="L243">
        <v>290</v>
      </c>
      <c r="M243" t="s">
        <v>43</v>
      </c>
      <c r="N243" s="1">
        <v>43931</v>
      </c>
      <c r="O243" t="s">
        <v>50</v>
      </c>
      <c r="P243" t="s">
        <v>34</v>
      </c>
      <c r="Q243">
        <v>16</v>
      </c>
    </row>
    <row r="244" spans="1:17" x14ac:dyDescent="0.35">
      <c r="A244" t="s">
        <v>1364</v>
      </c>
      <c r="B244" t="str">
        <f t="shared" si="14"/>
        <v>76-85</v>
      </c>
      <c r="C244">
        <v>81</v>
      </c>
      <c r="D244" t="s">
        <v>26</v>
      </c>
      <c r="E244" t="s">
        <v>65</v>
      </c>
      <c r="F244" t="s">
        <v>28</v>
      </c>
      <c r="G244" s="1">
        <v>44748</v>
      </c>
      <c r="H244" t="s">
        <v>1365</v>
      </c>
      <c r="I244" t="s">
        <v>1366</v>
      </c>
      <c r="J244" t="s">
        <v>54</v>
      </c>
      <c r="K244">
        <v>49528.921182529702</v>
      </c>
      <c r="L244">
        <v>382</v>
      </c>
      <c r="M244" t="s">
        <v>22</v>
      </c>
      <c r="N244" s="1">
        <v>44755</v>
      </c>
      <c r="O244" t="s">
        <v>87</v>
      </c>
      <c r="P244" t="s">
        <v>24</v>
      </c>
      <c r="Q244">
        <v>7</v>
      </c>
    </row>
    <row r="245" spans="1:17" x14ac:dyDescent="0.35">
      <c r="A245" t="s">
        <v>837</v>
      </c>
      <c r="B245" t="str">
        <f t="shared" si="14"/>
        <v>26-35</v>
      </c>
      <c r="C245">
        <v>35</v>
      </c>
      <c r="D245" t="s">
        <v>26</v>
      </c>
      <c r="E245" t="s">
        <v>92</v>
      </c>
      <c r="F245" t="s">
        <v>28</v>
      </c>
      <c r="G245" s="1">
        <v>44903</v>
      </c>
      <c r="H245" t="s">
        <v>838</v>
      </c>
      <c r="I245" t="s">
        <v>839</v>
      </c>
      <c r="J245" t="s">
        <v>54</v>
      </c>
      <c r="K245">
        <v>49359.792061706001</v>
      </c>
      <c r="L245">
        <v>462</v>
      </c>
      <c r="M245" t="s">
        <v>32</v>
      </c>
      <c r="N245" s="1">
        <v>44911</v>
      </c>
      <c r="O245" t="s">
        <v>87</v>
      </c>
      <c r="P245" t="s">
        <v>45</v>
      </c>
      <c r="Q245">
        <v>8</v>
      </c>
    </row>
    <row r="246" spans="1:17" x14ac:dyDescent="0.35">
      <c r="A246" t="s">
        <v>150</v>
      </c>
      <c r="B246" t="str">
        <f t="shared" si="14"/>
        <v>76-85</v>
      </c>
      <c r="C246">
        <v>83</v>
      </c>
      <c r="D246" t="s">
        <v>16</v>
      </c>
      <c r="E246" t="s">
        <v>92</v>
      </c>
      <c r="F246" t="s">
        <v>28</v>
      </c>
      <c r="G246" s="1">
        <v>43781</v>
      </c>
      <c r="H246" t="s">
        <v>151</v>
      </c>
      <c r="I246" t="s">
        <v>152</v>
      </c>
      <c r="J246" t="s">
        <v>59</v>
      </c>
      <c r="K246">
        <v>5098.66312754721</v>
      </c>
      <c r="L246">
        <v>192</v>
      </c>
      <c r="M246" t="s">
        <v>32</v>
      </c>
      <c r="N246" s="1">
        <v>43793</v>
      </c>
      <c r="O246" t="s">
        <v>33</v>
      </c>
      <c r="P246" t="s">
        <v>45</v>
      </c>
      <c r="Q246">
        <v>12</v>
      </c>
    </row>
    <row r="247" spans="1:17" x14ac:dyDescent="0.35">
      <c r="A247" t="s">
        <v>2208</v>
      </c>
      <c r="B247" t="str">
        <f t="shared" si="14"/>
        <v>56-65</v>
      </c>
      <c r="C247">
        <v>61</v>
      </c>
      <c r="D247" t="s">
        <v>16</v>
      </c>
      <c r="E247" t="s">
        <v>36</v>
      </c>
      <c r="F247" t="s">
        <v>28</v>
      </c>
      <c r="G247" s="1">
        <v>45064</v>
      </c>
      <c r="H247" t="s">
        <v>2209</v>
      </c>
      <c r="I247" t="s">
        <v>2210</v>
      </c>
      <c r="J247" t="s">
        <v>31</v>
      </c>
      <c r="K247">
        <v>5936.8544278852396</v>
      </c>
      <c r="L247">
        <v>248</v>
      </c>
      <c r="M247" t="s">
        <v>32</v>
      </c>
      <c r="N247" s="1">
        <v>45065</v>
      </c>
      <c r="O247" t="s">
        <v>87</v>
      </c>
      <c r="P247" t="s">
        <v>24</v>
      </c>
      <c r="Q247">
        <v>1</v>
      </c>
    </row>
    <row r="248" spans="1:17" x14ac:dyDescent="0.35">
      <c r="A248" t="s">
        <v>2086</v>
      </c>
      <c r="B248" t="str">
        <f t="shared" si="14"/>
        <v>26-35</v>
      </c>
      <c r="C248">
        <v>30</v>
      </c>
      <c r="D248" t="s">
        <v>26</v>
      </c>
      <c r="E248" t="s">
        <v>232</v>
      </c>
      <c r="F248" t="s">
        <v>28</v>
      </c>
      <c r="G248" s="1">
        <v>44004</v>
      </c>
      <c r="H248" t="s">
        <v>2087</v>
      </c>
      <c r="I248" t="s">
        <v>2088</v>
      </c>
      <c r="J248" t="s">
        <v>63</v>
      </c>
      <c r="K248">
        <v>33563.158863442797</v>
      </c>
      <c r="L248">
        <v>310</v>
      </c>
      <c r="M248" t="s">
        <v>22</v>
      </c>
      <c r="N248" s="1">
        <v>44025</v>
      </c>
      <c r="O248" t="s">
        <v>50</v>
      </c>
      <c r="P248" t="s">
        <v>24</v>
      </c>
      <c r="Q248">
        <v>21</v>
      </c>
    </row>
    <row r="249" spans="1:17" x14ac:dyDescent="0.35">
      <c r="A249" t="s">
        <v>407</v>
      </c>
      <c r="B249" t="str">
        <f t="shared" si="14"/>
        <v>26-35</v>
      </c>
      <c r="C249">
        <v>27</v>
      </c>
      <c r="D249" t="s">
        <v>16</v>
      </c>
      <c r="E249" t="s">
        <v>117</v>
      </c>
      <c r="F249" t="s">
        <v>28</v>
      </c>
      <c r="G249" s="1">
        <v>43844</v>
      </c>
      <c r="H249" t="s">
        <v>408</v>
      </c>
      <c r="I249" t="s">
        <v>409</v>
      </c>
      <c r="J249" t="s">
        <v>59</v>
      </c>
      <c r="K249">
        <v>3345.7034888083399</v>
      </c>
      <c r="L249">
        <v>292</v>
      </c>
      <c r="M249" t="s">
        <v>22</v>
      </c>
      <c r="N249" s="1">
        <v>43866</v>
      </c>
      <c r="O249" t="s">
        <v>44</v>
      </c>
      <c r="P249" t="s">
        <v>24</v>
      </c>
      <c r="Q249">
        <v>22</v>
      </c>
    </row>
    <row r="250" spans="1:17" x14ac:dyDescent="0.35">
      <c r="A250" t="s">
        <v>1414</v>
      </c>
      <c r="B250" t="str">
        <f t="shared" si="14"/>
        <v>76-85</v>
      </c>
      <c r="C250">
        <v>84</v>
      </c>
      <c r="D250" t="s">
        <v>26</v>
      </c>
      <c r="E250" t="s">
        <v>36</v>
      </c>
      <c r="F250" t="s">
        <v>28</v>
      </c>
      <c r="G250" s="1">
        <v>45087</v>
      </c>
      <c r="H250" t="s">
        <v>1415</v>
      </c>
      <c r="I250" t="s">
        <v>1416</v>
      </c>
      <c r="J250" t="s">
        <v>54</v>
      </c>
      <c r="K250">
        <v>34295.819419245898</v>
      </c>
      <c r="L250">
        <v>435</v>
      </c>
      <c r="M250" t="s">
        <v>43</v>
      </c>
      <c r="N250" s="1">
        <v>45117</v>
      </c>
      <c r="O250" t="s">
        <v>87</v>
      </c>
      <c r="P250" t="s">
        <v>34</v>
      </c>
      <c r="Q250">
        <v>30</v>
      </c>
    </row>
    <row r="251" spans="1:17" x14ac:dyDescent="0.35">
      <c r="A251" t="s">
        <v>1841</v>
      </c>
      <c r="B251" t="str">
        <f t="shared" si="14"/>
        <v>26-35</v>
      </c>
      <c r="C251">
        <v>29</v>
      </c>
      <c r="D251" t="s">
        <v>16</v>
      </c>
      <c r="E251" t="s">
        <v>17</v>
      </c>
      <c r="F251" t="s">
        <v>28</v>
      </c>
      <c r="G251" s="1">
        <v>44873</v>
      </c>
      <c r="H251" t="s">
        <v>1842</v>
      </c>
      <c r="I251" t="s">
        <v>1843</v>
      </c>
      <c r="J251" t="s">
        <v>59</v>
      </c>
      <c r="K251">
        <v>41749.141427979703</v>
      </c>
      <c r="L251">
        <v>358</v>
      </c>
      <c r="M251" t="s">
        <v>43</v>
      </c>
      <c r="N251" s="1">
        <v>44882</v>
      </c>
      <c r="O251" t="s">
        <v>33</v>
      </c>
      <c r="P251" t="s">
        <v>45</v>
      </c>
      <c r="Q251">
        <v>9</v>
      </c>
    </row>
    <row r="252" spans="1:17" x14ac:dyDescent="0.35">
      <c r="A252" t="s">
        <v>1286</v>
      </c>
      <c r="B252" t="str">
        <f t="shared" si="14"/>
        <v>66-75</v>
      </c>
      <c r="C252">
        <v>71</v>
      </c>
      <c r="D252" t="s">
        <v>16</v>
      </c>
      <c r="E252" t="s">
        <v>51</v>
      </c>
      <c r="F252" t="s">
        <v>28</v>
      </c>
      <c r="G252" s="1">
        <v>44264</v>
      </c>
      <c r="H252" t="s">
        <v>1287</v>
      </c>
      <c r="I252" t="s">
        <v>1288</v>
      </c>
      <c r="J252" t="s">
        <v>59</v>
      </c>
      <c r="K252">
        <v>33952.609194823002</v>
      </c>
      <c r="L252">
        <v>407</v>
      </c>
      <c r="M252" t="s">
        <v>32</v>
      </c>
      <c r="N252" s="1">
        <v>44294</v>
      </c>
      <c r="O252" t="s">
        <v>23</v>
      </c>
      <c r="P252" t="s">
        <v>24</v>
      </c>
      <c r="Q252">
        <v>30</v>
      </c>
    </row>
    <row r="253" spans="1:17" x14ac:dyDescent="0.35">
      <c r="A253" t="s">
        <v>2308</v>
      </c>
      <c r="B253" t="str">
        <f t="shared" si="14"/>
        <v>66-75</v>
      </c>
      <c r="C253">
        <v>74</v>
      </c>
      <c r="D253" t="s">
        <v>26</v>
      </c>
      <c r="E253" t="s">
        <v>51</v>
      </c>
      <c r="F253" t="s">
        <v>28</v>
      </c>
      <c r="G253" s="1">
        <v>43447</v>
      </c>
      <c r="H253" t="s">
        <v>2309</v>
      </c>
      <c r="I253" t="s">
        <v>2310</v>
      </c>
      <c r="J253" t="s">
        <v>54</v>
      </c>
      <c r="K253">
        <v>1032.2630866161501</v>
      </c>
      <c r="L253">
        <v>377</v>
      </c>
      <c r="M253" t="s">
        <v>43</v>
      </c>
      <c r="N253" s="1">
        <v>43448</v>
      </c>
      <c r="O253" t="s">
        <v>50</v>
      </c>
      <c r="P253" t="s">
        <v>34</v>
      </c>
      <c r="Q253">
        <v>1</v>
      </c>
    </row>
    <row r="254" spans="1:17" x14ac:dyDescent="0.35">
      <c r="A254" t="s">
        <v>2629</v>
      </c>
      <c r="B254" t="str">
        <f t="shared" si="14"/>
        <v>66-75</v>
      </c>
      <c r="C254">
        <v>74</v>
      </c>
      <c r="D254" t="s">
        <v>16</v>
      </c>
      <c r="E254" t="s">
        <v>27</v>
      </c>
      <c r="F254" t="s">
        <v>28</v>
      </c>
      <c r="G254" s="1">
        <v>44897</v>
      </c>
      <c r="H254" t="s">
        <v>2630</v>
      </c>
      <c r="I254" t="s">
        <v>2631</v>
      </c>
      <c r="J254" t="s">
        <v>59</v>
      </c>
      <c r="K254">
        <v>15731.156626312701</v>
      </c>
      <c r="L254">
        <v>340</v>
      </c>
      <c r="M254" t="s">
        <v>32</v>
      </c>
      <c r="N254" s="1">
        <v>44902</v>
      </c>
      <c r="O254" t="s">
        <v>33</v>
      </c>
      <c r="P254" t="s">
        <v>34</v>
      </c>
      <c r="Q254">
        <v>5</v>
      </c>
    </row>
    <row r="255" spans="1:17" x14ac:dyDescent="0.35">
      <c r="A255" t="s">
        <v>1023</v>
      </c>
      <c r="B255" t="str">
        <f t="shared" si="14"/>
        <v>76-85</v>
      </c>
      <c r="C255">
        <v>79</v>
      </c>
      <c r="D255" t="s">
        <v>16</v>
      </c>
      <c r="E255" t="s">
        <v>117</v>
      </c>
      <c r="F255" t="s">
        <v>28</v>
      </c>
      <c r="G255" s="1">
        <v>44512</v>
      </c>
      <c r="H255" t="s">
        <v>1024</v>
      </c>
      <c r="I255" t="s">
        <v>1025</v>
      </c>
      <c r="J255" t="s">
        <v>31</v>
      </c>
      <c r="K255">
        <v>14230.466490795699</v>
      </c>
      <c r="L255">
        <v>357</v>
      </c>
      <c r="M255" t="s">
        <v>22</v>
      </c>
      <c r="N255" s="1">
        <v>44528</v>
      </c>
      <c r="O255" t="s">
        <v>23</v>
      </c>
      <c r="P255" t="s">
        <v>34</v>
      </c>
      <c r="Q255">
        <v>16</v>
      </c>
    </row>
    <row r="256" spans="1:17" x14ac:dyDescent="0.35">
      <c r="A256" t="s">
        <v>1504</v>
      </c>
      <c r="B256" t="str">
        <f t="shared" si="14"/>
        <v>36-45</v>
      </c>
      <c r="C256">
        <v>38</v>
      </c>
      <c r="D256" t="s">
        <v>16</v>
      </c>
      <c r="E256" t="s">
        <v>27</v>
      </c>
      <c r="F256" t="s">
        <v>28</v>
      </c>
      <c r="G256" s="1">
        <v>44717</v>
      </c>
      <c r="H256" t="s">
        <v>1505</v>
      </c>
      <c r="I256" t="s">
        <v>1506</v>
      </c>
      <c r="J256" t="s">
        <v>31</v>
      </c>
      <c r="K256">
        <v>25768.149233251101</v>
      </c>
      <c r="L256">
        <v>105</v>
      </c>
      <c r="M256" t="s">
        <v>32</v>
      </c>
      <c r="N256" s="1">
        <v>44737</v>
      </c>
      <c r="O256" t="s">
        <v>50</v>
      </c>
      <c r="P256" t="s">
        <v>34</v>
      </c>
      <c r="Q256">
        <v>20</v>
      </c>
    </row>
    <row r="257" spans="1:17" x14ac:dyDescent="0.35">
      <c r="A257" t="s">
        <v>2236</v>
      </c>
      <c r="B257" t="str">
        <f t="shared" si="14"/>
        <v>56-65</v>
      </c>
      <c r="C257">
        <v>56</v>
      </c>
      <c r="D257" t="s">
        <v>26</v>
      </c>
      <c r="E257" t="s">
        <v>65</v>
      </c>
      <c r="F257" t="s">
        <v>28</v>
      </c>
      <c r="G257" s="1">
        <v>44180</v>
      </c>
      <c r="H257" t="s">
        <v>2237</v>
      </c>
      <c r="I257" t="s">
        <v>2238</v>
      </c>
      <c r="J257" t="s">
        <v>59</v>
      </c>
      <c r="K257">
        <v>16043.1491710517</v>
      </c>
      <c r="L257">
        <v>231</v>
      </c>
      <c r="M257" t="s">
        <v>43</v>
      </c>
      <c r="N257" s="1">
        <v>44196</v>
      </c>
      <c r="O257" t="s">
        <v>23</v>
      </c>
      <c r="P257" t="s">
        <v>34</v>
      </c>
      <c r="Q257">
        <v>16</v>
      </c>
    </row>
    <row r="258" spans="1:17" x14ac:dyDescent="0.35">
      <c r="A258" t="s">
        <v>978</v>
      </c>
      <c r="B258" t="str">
        <f t="shared" si="14"/>
        <v>46-55</v>
      </c>
      <c r="C258">
        <v>52</v>
      </c>
      <c r="D258" t="s">
        <v>16</v>
      </c>
      <c r="E258" t="s">
        <v>92</v>
      </c>
      <c r="F258" t="s">
        <v>28</v>
      </c>
      <c r="G258" s="1">
        <v>43905</v>
      </c>
      <c r="H258" t="s">
        <v>979</v>
      </c>
      <c r="I258" t="s">
        <v>980</v>
      </c>
      <c r="J258" t="s">
        <v>59</v>
      </c>
      <c r="K258">
        <v>25429.8307772794</v>
      </c>
      <c r="L258">
        <v>104</v>
      </c>
      <c r="M258" t="s">
        <v>22</v>
      </c>
      <c r="N258" s="1">
        <v>43932</v>
      </c>
      <c r="O258" t="s">
        <v>50</v>
      </c>
      <c r="P258" t="s">
        <v>45</v>
      </c>
      <c r="Q258">
        <v>27</v>
      </c>
    </row>
    <row r="259" spans="1:17" x14ac:dyDescent="0.35">
      <c r="A259" t="s">
        <v>1477</v>
      </c>
      <c r="B259" t="str">
        <f t="shared" si="14"/>
        <v>76-85</v>
      </c>
      <c r="C259">
        <v>79</v>
      </c>
      <c r="D259" t="s">
        <v>26</v>
      </c>
      <c r="E259" t="s">
        <v>27</v>
      </c>
      <c r="F259" t="s">
        <v>28</v>
      </c>
      <c r="G259" s="1">
        <v>44435</v>
      </c>
      <c r="H259" t="s">
        <v>1478</v>
      </c>
      <c r="I259" t="s">
        <v>1479</v>
      </c>
      <c r="J259" t="s">
        <v>59</v>
      </c>
      <c r="K259">
        <v>26642.918529735602</v>
      </c>
      <c r="L259">
        <v>265</v>
      </c>
      <c r="M259" t="s">
        <v>32</v>
      </c>
      <c r="N259" s="1">
        <v>44445</v>
      </c>
      <c r="O259" t="s">
        <v>44</v>
      </c>
      <c r="P259" t="s">
        <v>24</v>
      </c>
      <c r="Q259">
        <v>10</v>
      </c>
    </row>
    <row r="260" spans="1:17" x14ac:dyDescent="0.35">
      <c r="A260" t="s">
        <v>1064</v>
      </c>
      <c r="B260" t="str">
        <f t="shared" si="14"/>
        <v>26-35</v>
      </c>
      <c r="C260">
        <v>29</v>
      </c>
      <c r="D260" t="s">
        <v>26</v>
      </c>
      <c r="E260" t="s">
        <v>17</v>
      </c>
      <c r="F260" t="s">
        <v>28</v>
      </c>
      <c r="G260" s="1">
        <v>43810</v>
      </c>
      <c r="H260" t="s">
        <v>1065</v>
      </c>
      <c r="I260" t="s">
        <v>1066</v>
      </c>
      <c r="J260" t="s">
        <v>54</v>
      </c>
      <c r="K260">
        <v>43475.285098582797</v>
      </c>
      <c r="L260">
        <v>404</v>
      </c>
      <c r="M260" t="s">
        <v>22</v>
      </c>
      <c r="N260" s="1">
        <v>43812</v>
      </c>
      <c r="O260" t="s">
        <v>44</v>
      </c>
      <c r="P260" t="s">
        <v>45</v>
      </c>
      <c r="Q260">
        <v>2</v>
      </c>
    </row>
    <row r="261" spans="1:17" x14ac:dyDescent="0.35">
      <c r="A261" t="s">
        <v>628</v>
      </c>
      <c r="B261" t="str">
        <f t="shared" si="14"/>
        <v>36-45</v>
      </c>
      <c r="C261">
        <v>42</v>
      </c>
      <c r="D261" t="s">
        <v>16</v>
      </c>
      <c r="E261" t="s">
        <v>65</v>
      </c>
      <c r="F261" t="s">
        <v>28</v>
      </c>
      <c r="G261" s="1">
        <v>43829</v>
      </c>
      <c r="H261" t="s">
        <v>629</v>
      </c>
      <c r="I261" t="s">
        <v>630</v>
      </c>
      <c r="J261" t="s">
        <v>54</v>
      </c>
      <c r="K261">
        <v>7942.8532858935896</v>
      </c>
      <c r="L261">
        <v>155</v>
      </c>
      <c r="M261" t="s">
        <v>32</v>
      </c>
      <c r="N261" s="1">
        <v>43856</v>
      </c>
      <c r="O261" t="s">
        <v>44</v>
      </c>
      <c r="P261" t="s">
        <v>45</v>
      </c>
      <c r="Q261">
        <v>27</v>
      </c>
    </row>
    <row r="262" spans="1:17" x14ac:dyDescent="0.35">
      <c r="A262" t="s">
        <v>1732</v>
      </c>
      <c r="B262" t="str">
        <f t="shared" si="14"/>
        <v>56-65</v>
      </c>
      <c r="C262">
        <v>62</v>
      </c>
      <c r="D262" t="s">
        <v>26</v>
      </c>
      <c r="E262" t="s">
        <v>17</v>
      </c>
      <c r="F262" t="s">
        <v>28</v>
      </c>
      <c r="G262" s="1">
        <v>43565</v>
      </c>
      <c r="H262" t="s">
        <v>1733</v>
      </c>
      <c r="I262" t="s">
        <v>1734</v>
      </c>
      <c r="J262" t="s">
        <v>21</v>
      </c>
      <c r="K262">
        <v>29057.337887835201</v>
      </c>
      <c r="L262">
        <v>292</v>
      </c>
      <c r="M262" t="s">
        <v>43</v>
      </c>
      <c r="N262" s="1">
        <v>43571</v>
      </c>
      <c r="O262" t="s">
        <v>33</v>
      </c>
      <c r="P262" t="s">
        <v>24</v>
      </c>
      <c r="Q262">
        <v>6</v>
      </c>
    </row>
    <row r="263" spans="1:17" x14ac:dyDescent="0.35">
      <c r="A263" t="s">
        <v>482</v>
      </c>
      <c r="B263" t="str">
        <f t="shared" si="14"/>
        <v>56-65</v>
      </c>
      <c r="C263">
        <v>56</v>
      </c>
      <c r="D263" t="s">
        <v>26</v>
      </c>
      <c r="E263" t="s">
        <v>36</v>
      </c>
      <c r="F263" t="s">
        <v>28</v>
      </c>
      <c r="G263" s="1">
        <v>44428</v>
      </c>
      <c r="H263" t="s">
        <v>483</v>
      </c>
      <c r="I263" t="s">
        <v>484</v>
      </c>
      <c r="J263" t="s">
        <v>21</v>
      </c>
      <c r="K263">
        <v>29289.652600969199</v>
      </c>
      <c r="L263">
        <v>295</v>
      </c>
      <c r="M263" t="s">
        <v>22</v>
      </c>
      <c r="N263" s="1">
        <v>44436</v>
      </c>
      <c r="O263" t="s">
        <v>23</v>
      </c>
      <c r="P263" t="s">
        <v>45</v>
      </c>
      <c r="Q263">
        <v>8</v>
      </c>
    </row>
    <row r="264" spans="1:17" x14ac:dyDescent="0.35">
      <c r="A264" t="s">
        <v>2494</v>
      </c>
      <c r="B264" t="str">
        <f t="shared" si="14"/>
        <v>76-85</v>
      </c>
      <c r="C264">
        <v>82</v>
      </c>
      <c r="D264" t="s">
        <v>26</v>
      </c>
      <c r="E264" t="s">
        <v>17</v>
      </c>
      <c r="F264" t="s">
        <v>28</v>
      </c>
      <c r="G264" s="1">
        <v>43867</v>
      </c>
      <c r="H264" t="s">
        <v>2495</v>
      </c>
      <c r="I264" t="s">
        <v>2496</v>
      </c>
      <c r="J264" t="s">
        <v>59</v>
      </c>
      <c r="K264">
        <v>1606.28519137338</v>
      </c>
      <c r="L264">
        <v>491</v>
      </c>
      <c r="M264" t="s">
        <v>22</v>
      </c>
      <c r="N264" s="1">
        <v>43877</v>
      </c>
      <c r="O264" t="s">
        <v>23</v>
      </c>
      <c r="P264" t="s">
        <v>24</v>
      </c>
      <c r="Q264">
        <v>10</v>
      </c>
    </row>
    <row r="265" spans="1:17" x14ac:dyDescent="0.35">
      <c r="A265" t="s">
        <v>479</v>
      </c>
      <c r="B265" t="str">
        <f t="shared" si="14"/>
        <v>36-45</v>
      </c>
      <c r="C265">
        <v>40</v>
      </c>
      <c r="D265" t="s">
        <v>16</v>
      </c>
      <c r="E265" t="s">
        <v>65</v>
      </c>
      <c r="F265" t="s">
        <v>28</v>
      </c>
      <c r="G265" s="1">
        <v>45043</v>
      </c>
      <c r="H265" t="s">
        <v>480</v>
      </c>
      <c r="I265" t="s">
        <v>481</v>
      </c>
      <c r="J265" t="s">
        <v>54</v>
      </c>
      <c r="K265">
        <v>31583.552791260099</v>
      </c>
      <c r="L265">
        <v>214</v>
      </c>
      <c r="M265" t="s">
        <v>32</v>
      </c>
      <c r="N265" s="1">
        <v>45044</v>
      </c>
      <c r="O265" t="s">
        <v>23</v>
      </c>
      <c r="P265" t="s">
        <v>45</v>
      </c>
      <c r="Q265">
        <v>1</v>
      </c>
    </row>
    <row r="266" spans="1:17" x14ac:dyDescent="0.35">
      <c r="A266" t="s">
        <v>2202</v>
      </c>
      <c r="B266" t="str">
        <f t="shared" si="14"/>
        <v>26-35</v>
      </c>
      <c r="C266">
        <v>28</v>
      </c>
      <c r="D266" t="s">
        <v>16</v>
      </c>
      <c r="E266" t="s">
        <v>65</v>
      </c>
      <c r="F266" t="s">
        <v>28</v>
      </c>
      <c r="G266" s="1">
        <v>43899</v>
      </c>
      <c r="H266" t="s">
        <v>2203</v>
      </c>
      <c r="I266" t="s">
        <v>2204</v>
      </c>
      <c r="J266" t="s">
        <v>59</v>
      </c>
      <c r="K266">
        <v>22780.1269681538</v>
      </c>
      <c r="L266">
        <v>155</v>
      </c>
      <c r="M266" t="s">
        <v>43</v>
      </c>
      <c r="N266" s="1">
        <v>43916</v>
      </c>
      <c r="O266" t="s">
        <v>23</v>
      </c>
      <c r="P266" t="s">
        <v>45</v>
      </c>
      <c r="Q266">
        <v>17</v>
      </c>
    </row>
    <row r="267" spans="1:17" x14ac:dyDescent="0.35">
      <c r="A267" t="s">
        <v>1880</v>
      </c>
      <c r="B267" t="str">
        <f t="shared" si="14"/>
        <v>46-55</v>
      </c>
      <c r="C267">
        <v>48</v>
      </c>
      <c r="D267" t="s">
        <v>16</v>
      </c>
      <c r="E267" t="s">
        <v>27</v>
      </c>
      <c r="F267" t="s">
        <v>28</v>
      </c>
      <c r="G267" s="1">
        <v>44744</v>
      </c>
      <c r="H267" t="s">
        <v>1881</v>
      </c>
      <c r="I267" t="s">
        <v>1882</v>
      </c>
      <c r="J267" t="s">
        <v>59</v>
      </c>
      <c r="K267">
        <v>2754.2413838719699</v>
      </c>
      <c r="L267">
        <v>496</v>
      </c>
      <c r="M267" t="s">
        <v>43</v>
      </c>
      <c r="N267" s="1">
        <v>44767</v>
      </c>
      <c r="O267" t="s">
        <v>44</v>
      </c>
      <c r="P267" t="s">
        <v>45</v>
      </c>
      <c r="Q267">
        <v>23</v>
      </c>
    </row>
    <row r="268" spans="1:17" x14ac:dyDescent="0.35">
      <c r="A268" t="s">
        <v>141</v>
      </c>
      <c r="B268" t="str">
        <f t="shared" si="14"/>
        <v>76-85</v>
      </c>
      <c r="C268">
        <v>78</v>
      </c>
      <c r="D268" t="s">
        <v>26</v>
      </c>
      <c r="E268" t="s">
        <v>17</v>
      </c>
      <c r="F268" t="s">
        <v>28</v>
      </c>
      <c r="G268" s="1">
        <v>44233</v>
      </c>
      <c r="H268" t="s">
        <v>142</v>
      </c>
      <c r="I268" t="s">
        <v>143</v>
      </c>
      <c r="J268" t="s">
        <v>21</v>
      </c>
      <c r="K268">
        <v>9007.9678662207698</v>
      </c>
      <c r="L268">
        <v>247</v>
      </c>
      <c r="M268" t="s">
        <v>43</v>
      </c>
      <c r="N268" s="1">
        <v>44258</v>
      </c>
      <c r="O268" t="s">
        <v>33</v>
      </c>
      <c r="P268" t="s">
        <v>45</v>
      </c>
      <c r="Q268">
        <v>25</v>
      </c>
    </row>
    <row r="269" spans="1:17" x14ac:dyDescent="0.35">
      <c r="A269" t="s">
        <v>2456</v>
      </c>
      <c r="B269" t="str">
        <f t="shared" si="14"/>
        <v>66-75</v>
      </c>
      <c r="C269">
        <v>69</v>
      </c>
      <c r="D269" t="s">
        <v>16</v>
      </c>
      <c r="E269" t="s">
        <v>51</v>
      </c>
      <c r="F269" t="s">
        <v>28</v>
      </c>
      <c r="G269" s="1">
        <v>44001</v>
      </c>
      <c r="H269" t="s">
        <v>2457</v>
      </c>
      <c r="I269" t="s">
        <v>2017</v>
      </c>
      <c r="J269" t="s">
        <v>54</v>
      </c>
      <c r="K269">
        <v>9100.1868535414796</v>
      </c>
      <c r="L269">
        <v>303</v>
      </c>
      <c r="M269" t="s">
        <v>22</v>
      </c>
      <c r="N269" s="1">
        <v>44017</v>
      </c>
      <c r="O269" t="s">
        <v>44</v>
      </c>
      <c r="P269" t="s">
        <v>24</v>
      </c>
      <c r="Q269">
        <v>16</v>
      </c>
    </row>
    <row r="270" spans="1:17" x14ac:dyDescent="0.35">
      <c r="A270" t="s">
        <v>610</v>
      </c>
      <c r="B270" t="str">
        <f t="shared" si="14"/>
        <v>46-55</v>
      </c>
      <c r="C270">
        <v>55</v>
      </c>
      <c r="D270" t="s">
        <v>26</v>
      </c>
      <c r="E270" t="s">
        <v>232</v>
      </c>
      <c r="F270" t="s">
        <v>28</v>
      </c>
      <c r="G270" s="1">
        <v>43488</v>
      </c>
      <c r="H270" t="s">
        <v>611</v>
      </c>
      <c r="I270" t="s">
        <v>612</v>
      </c>
      <c r="J270" t="s">
        <v>59</v>
      </c>
      <c r="K270">
        <v>21198.6547266212</v>
      </c>
      <c r="L270">
        <v>259</v>
      </c>
      <c r="M270" t="s">
        <v>43</v>
      </c>
      <c r="N270" s="1">
        <v>43498</v>
      </c>
      <c r="O270" t="s">
        <v>33</v>
      </c>
      <c r="P270" t="s">
        <v>45</v>
      </c>
      <c r="Q270">
        <v>10</v>
      </c>
    </row>
    <row r="271" spans="1:17" x14ac:dyDescent="0.35">
      <c r="A271" t="s">
        <v>1765</v>
      </c>
      <c r="B271" t="str">
        <f t="shared" si="14"/>
        <v>56-65</v>
      </c>
      <c r="C271">
        <v>60</v>
      </c>
      <c r="D271" t="s">
        <v>26</v>
      </c>
      <c r="E271" t="s">
        <v>27</v>
      </c>
      <c r="F271" t="s">
        <v>28</v>
      </c>
      <c r="G271" s="1">
        <v>45152</v>
      </c>
      <c r="H271" t="s">
        <v>1766</v>
      </c>
      <c r="I271" t="s">
        <v>1767</v>
      </c>
      <c r="J271" t="s">
        <v>59</v>
      </c>
      <c r="K271">
        <v>29736.48579821</v>
      </c>
      <c r="L271">
        <v>333</v>
      </c>
      <c r="M271" t="s">
        <v>43</v>
      </c>
      <c r="N271" s="1">
        <v>45171</v>
      </c>
      <c r="O271" t="s">
        <v>23</v>
      </c>
      <c r="P271" t="s">
        <v>34</v>
      </c>
      <c r="Q271">
        <v>19</v>
      </c>
    </row>
    <row r="272" spans="1:17" x14ac:dyDescent="0.35">
      <c r="A272" t="s">
        <v>2667</v>
      </c>
      <c r="B272" t="str">
        <f t="shared" si="14"/>
        <v>56-65</v>
      </c>
      <c r="C272">
        <v>60</v>
      </c>
      <c r="D272" t="s">
        <v>16</v>
      </c>
      <c r="E272" t="s">
        <v>27</v>
      </c>
      <c r="F272" t="s">
        <v>28</v>
      </c>
      <c r="G272" s="1">
        <v>45209</v>
      </c>
      <c r="H272" t="s">
        <v>2668</v>
      </c>
      <c r="I272" t="s">
        <v>2669</v>
      </c>
      <c r="J272" t="s">
        <v>54</v>
      </c>
      <c r="K272">
        <v>8381.3283568794595</v>
      </c>
      <c r="L272">
        <v>175</v>
      </c>
      <c r="M272" t="s">
        <v>43</v>
      </c>
      <c r="N272" s="1">
        <v>45225</v>
      </c>
      <c r="O272" t="s">
        <v>33</v>
      </c>
      <c r="P272" t="s">
        <v>34</v>
      </c>
      <c r="Q272">
        <v>16</v>
      </c>
    </row>
    <row r="273" spans="1:17" x14ac:dyDescent="0.35">
      <c r="A273" t="s">
        <v>2196</v>
      </c>
      <c r="B273" t="str">
        <f t="shared" si="14"/>
        <v>46-55</v>
      </c>
      <c r="C273">
        <v>48</v>
      </c>
      <c r="D273" t="s">
        <v>26</v>
      </c>
      <c r="E273" t="s">
        <v>92</v>
      </c>
      <c r="F273" t="s">
        <v>28</v>
      </c>
      <c r="G273" s="1">
        <v>45185</v>
      </c>
      <c r="H273" t="s">
        <v>2197</v>
      </c>
      <c r="I273" t="s">
        <v>2198</v>
      </c>
      <c r="J273" t="s">
        <v>21</v>
      </c>
      <c r="K273">
        <v>26642.367639766198</v>
      </c>
      <c r="L273">
        <v>402</v>
      </c>
      <c r="M273" t="s">
        <v>32</v>
      </c>
      <c r="N273" s="1">
        <v>45213</v>
      </c>
      <c r="O273" t="s">
        <v>44</v>
      </c>
      <c r="P273" t="s">
        <v>45</v>
      </c>
      <c r="Q273">
        <v>28</v>
      </c>
    </row>
    <row r="274" spans="1:17" x14ac:dyDescent="0.35">
      <c r="A274" t="s">
        <v>241</v>
      </c>
      <c r="B274" t="str">
        <f t="shared" si="14"/>
        <v>36-45</v>
      </c>
      <c r="C274">
        <v>42</v>
      </c>
      <c r="D274" t="s">
        <v>26</v>
      </c>
      <c r="E274" t="s">
        <v>65</v>
      </c>
      <c r="F274" t="s">
        <v>28</v>
      </c>
      <c r="G274" s="1">
        <v>45116</v>
      </c>
      <c r="H274" t="s">
        <v>242</v>
      </c>
      <c r="I274" t="s">
        <v>243</v>
      </c>
      <c r="J274" t="s">
        <v>21</v>
      </c>
      <c r="K274">
        <v>22749.284138765299</v>
      </c>
      <c r="L274">
        <v>223</v>
      </c>
      <c r="M274" t="s">
        <v>22</v>
      </c>
      <c r="N274" s="1">
        <v>45137</v>
      </c>
      <c r="O274" t="s">
        <v>50</v>
      </c>
      <c r="P274" t="s">
        <v>24</v>
      </c>
      <c r="Q274">
        <v>21</v>
      </c>
    </row>
    <row r="275" spans="1:17" x14ac:dyDescent="0.35">
      <c r="A275" t="s">
        <v>987</v>
      </c>
      <c r="B275" t="str">
        <f t="shared" si="14"/>
        <v>46-55</v>
      </c>
      <c r="C275">
        <v>52</v>
      </c>
      <c r="D275" t="s">
        <v>16</v>
      </c>
      <c r="E275" t="s">
        <v>27</v>
      </c>
      <c r="F275" t="s">
        <v>28</v>
      </c>
      <c r="G275" s="1">
        <v>44920</v>
      </c>
      <c r="H275" t="s">
        <v>988</v>
      </c>
      <c r="I275" t="s">
        <v>989</v>
      </c>
      <c r="J275" t="s">
        <v>54</v>
      </c>
      <c r="K275">
        <v>46868.408184011001</v>
      </c>
      <c r="L275">
        <v>244</v>
      </c>
      <c r="M275" t="s">
        <v>43</v>
      </c>
      <c r="N275" s="1">
        <v>44926</v>
      </c>
      <c r="O275" t="s">
        <v>50</v>
      </c>
      <c r="P275" t="s">
        <v>34</v>
      </c>
      <c r="Q275">
        <v>6</v>
      </c>
    </row>
    <row r="276" spans="1:17" x14ac:dyDescent="0.35">
      <c r="A276" t="s">
        <v>2857</v>
      </c>
      <c r="B276" t="str">
        <f t="shared" ref="B276:B339" si="15">VLOOKUP(C276,$T$3:$U$9,2,TRUE)</f>
        <v>56-65</v>
      </c>
      <c r="C276">
        <v>63</v>
      </c>
      <c r="D276" t="s">
        <v>16</v>
      </c>
      <c r="E276" t="s">
        <v>117</v>
      </c>
      <c r="F276" t="s">
        <v>28</v>
      </c>
      <c r="G276" s="1">
        <v>44525</v>
      </c>
      <c r="H276" t="s">
        <v>2858</v>
      </c>
      <c r="I276" t="s">
        <v>2859</v>
      </c>
      <c r="J276" t="s">
        <v>63</v>
      </c>
      <c r="K276">
        <v>12617.4853012448</v>
      </c>
      <c r="L276">
        <v>408</v>
      </c>
      <c r="M276" t="s">
        <v>32</v>
      </c>
      <c r="N276" s="1">
        <v>44548</v>
      </c>
      <c r="O276" t="s">
        <v>87</v>
      </c>
      <c r="P276" t="s">
        <v>45</v>
      </c>
      <c r="Q276">
        <v>23</v>
      </c>
    </row>
    <row r="277" spans="1:17" x14ac:dyDescent="0.35">
      <c r="A277" t="s">
        <v>476</v>
      </c>
      <c r="B277" t="str">
        <f t="shared" si="15"/>
        <v>76-85</v>
      </c>
      <c r="C277">
        <v>81</v>
      </c>
      <c r="D277" t="s">
        <v>26</v>
      </c>
      <c r="E277" t="s">
        <v>51</v>
      </c>
      <c r="F277" t="s">
        <v>28</v>
      </c>
      <c r="G277" s="1">
        <v>44287</v>
      </c>
      <c r="H277" t="s">
        <v>477</v>
      </c>
      <c r="I277" t="s">
        <v>478</v>
      </c>
      <c r="J277" t="s">
        <v>31</v>
      </c>
      <c r="K277">
        <v>16487.676785652198</v>
      </c>
      <c r="L277">
        <v>406</v>
      </c>
      <c r="M277" t="s">
        <v>22</v>
      </c>
      <c r="N277" s="1">
        <v>44317</v>
      </c>
      <c r="O277" t="s">
        <v>87</v>
      </c>
      <c r="P277" t="s">
        <v>45</v>
      </c>
      <c r="Q277">
        <v>30</v>
      </c>
    </row>
    <row r="278" spans="1:17" x14ac:dyDescent="0.35">
      <c r="A278" t="s">
        <v>2524</v>
      </c>
      <c r="B278" t="str">
        <f t="shared" si="15"/>
        <v>46-55</v>
      </c>
      <c r="C278">
        <v>46</v>
      </c>
      <c r="D278" t="s">
        <v>16</v>
      </c>
      <c r="E278" t="s">
        <v>51</v>
      </c>
      <c r="F278" t="s">
        <v>28</v>
      </c>
      <c r="G278" s="1">
        <v>44955</v>
      </c>
      <c r="H278" t="s">
        <v>2525</v>
      </c>
      <c r="I278" t="s">
        <v>2526</v>
      </c>
      <c r="J278" t="s">
        <v>63</v>
      </c>
      <c r="K278">
        <v>18696.998297113201</v>
      </c>
      <c r="L278">
        <v>266</v>
      </c>
      <c r="M278" t="s">
        <v>32</v>
      </c>
      <c r="N278" s="1">
        <v>44970</v>
      </c>
      <c r="O278" t="s">
        <v>44</v>
      </c>
      <c r="P278" t="s">
        <v>34</v>
      </c>
      <c r="Q278">
        <v>15</v>
      </c>
    </row>
    <row r="279" spans="1:17" x14ac:dyDescent="0.35">
      <c r="A279" t="s">
        <v>1441</v>
      </c>
      <c r="B279" t="str">
        <f t="shared" si="15"/>
        <v>18-25</v>
      </c>
      <c r="C279">
        <v>18</v>
      </c>
      <c r="D279" t="s">
        <v>16</v>
      </c>
      <c r="E279" t="s">
        <v>232</v>
      </c>
      <c r="F279" t="s">
        <v>28</v>
      </c>
      <c r="G279" s="1">
        <v>44049</v>
      </c>
      <c r="H279" t="s">
        <v>1442</v>
      </c>
      <c r="I279" t="s">
        <v>1443</v>
      </c>
      <c r="J279" t="s">
        <v>54</v>
      </c>
      <c r="K279">
        <v>28414.392830500499</v>
      </c>
      <c r="L279">
        <v>136</v>
      </c>
      <c r="M279" t="s">
        <v>22</v>
      </c>
      <c r="N279" s="1">
        <v>44073</v>
      </c>
      <c r="O279" t="s">
        <v>87</v>
      </c>
      <c r="P279" t="s">
        <v>34</v>
      </c>
      <c r="Q279">
        <v>24</v>
      </c>
    </row>
    <row r="280" spans="1:17" x14ac:dyDescent="0.35">
      <c r="A280" t="s">
        <v>1501</v>
      </c>
      <c r="B280" t="str">
        <f t="shared" si="15"/>
        <v>76-85</v>
      </c>
      <c r="C280">
        <v>82</v>
      </c>
      <c r="D280" t="s">
        <v>26</v>
      </c>
      <c r="E280" t="s">
        <v>36</v>
      </c>
      <c r="F280" t="s">
        <v>28</v>
      </c>
      <c r="G280" s="1">
        <v>43523</v>
      </c>
      <c r="H280" t="s">
        <v>1502</v>
      </c>
      <c r="I280" t="s">
        <v>1503</v>
      </c>
      <c r="J280" t="s">
        <v>59</v>
      </c>
      <c r="K280">
        <v>29401.013622756</v>
      </c>
      <c r="L280">
        <v>450</v>
      </c>
      <c r="M280" t="s">
        <v>22</v>
      </c>
      <c r="N280" s="1">
        <v>43546</v>
      </c>
      <c r="O280" t="s">
        <v>33</v>
      </c>
      <c r="P280" t="s">
        <v>34</v>
      </c>
      <c r="Q280">
        <v>23</v>
      </c>
    </row>
    <row r="281" spans="1:17" x14ac:dyDescent="0.35">
      <c r="A281" t="s">
        <v>2735</v>
      </c>
      <c r="B281" t="str">
        <f t="shared" si="15"/>
        <v>26-35</v>
      </c>
      <c r="C281">
        <v>35</v>
      </c>
      <c r="D281" t="s">
        <v>26</v>
      </c>
      <c r="E281" t="s">
        <v>36</v>
      </c>
      <c r="F281" t="s">
        <v>28</v>
      </c>
      <c r="G281" s="1">
        <v>44492</v>
      </c>
      <c r="H281" t="s">
        <v>2736</v>
      </c>
      <c r="I281" t="s">
        <v>2737</v>
      </c>
      <c r="J281" t="s">
        <v>54</v>
      </c>
      <c r="K281">
        <v>35830.270020977201</v>
      </c>
      <c r="L281">
        <v>383</v>
      </c>
      <c r="M281" t="s">
        <v>32</v>
      </c>
      <c r="N281" s="1">
        <v>44496</v>
      </c>
      <c r="O281" t="s">
        <v>50</v>
      </c>
      <c r="P281" t="s">
        <v>45</v>
      </c>
      <c r="Q281">
        <v>4</v>
      </c>
    </row>
    <row r="282" spans="1:17" x14ac:dyDescent="0.35">
      <c r="A282" t="s">
        <v>2072</v>
      </c>
      <c r="B282" t="str">
        <f t="shared" si="15"/>
        <v>76-85</v>
      </c>
      <c r="C282">
        <v>79</v>
      </c>
      <c r="D282" t="s">
        <v>16</v>
      </c>
      <c r="E282" t="s">
        <v>65</v>
      </c>
      <c r="F282" t="s">
        <v>28</v>
      </c>
      <c r="G282" s="1">
        <v>43803</v>
      </c>
      <c r="H282" t="s">
        <v>2073</v>
      </c>
      <c r="I282" t="s">
        <v>2074</v>
      </c>
      <c r="J282" t="s">
        <v>59</v>
      </c>
      <c r="K282">
        <v>34573.602126393002</v>
      </c>
      <c r="L282">
        <v>366</v>
      </c>
      <c r="M282" t="s">
        <v>22</v>
      </c>
      <c r="N282" s="1">
        <v>43811</v>
      </c>
      <c r="O282" t="s">
        <v>44</v>
      </c>
      <c r="P282" t="s">
        <v>45</v>
      </c>
      <c r="Q282">
        <v>8</v>
      </c>
    </row>
    <row r="283" spans="1:17" x14ac:dyDescent="0.35">
      <c r="A283" t="s">
        <v>1862</v>
      </c>
      <c r="B283" t="str">
        <f t="shared" si="15"/>
        <v>76-85</v>
      </c>
      <c r="C283">
        <v>81</v>
      </c>
      <c r="D283" t="s">
        <v>16</v>
      </c>
      <c r="E283" t="s">
        <v>51</v>
      </c>
      <c r="F283" t="s">
        <v>28</v>
      </c>
      <c r="G283" s="1">
        <v>44099</v>
      </c>
      <c r="H283" t="s">
        <v>1863</v>
      </c>
      <c r="I283" t="s">
        <v>1864</v>
      </c>
      <c r="J283" t="s">
        <v>59</v>
      </c>
      <c r="K283">
        <v>45847.1214542573</v>
      </c>
      <c r="L283">
        <v>303</v>
      </c>
      <c r="M283" t="s">
        <v>22</v>
      </c>
      <c r="N283" s="1">
        <v>44108</v>
      </c>
      <c r="O283" t="s">
        <v>50</v>
      </c>
      <c r="P283" t="s">
        <v>45</v>
      </c>
      <c r="Q283">
        <v>9</v>
      </c>
    </row>
    <row r="284" spans="1:17" x14ac:dyDescent="0.35">
      <c r="A284" t="s">
        <v>536</v>
      </c>
      <c r="B284" t="str">
        <f t="shared" si="15"/>
        <v>46-55</v>
      </c>
      <c r="C284">
        <v>48</v>
      </c>
      <c r="D284" t="s">
        <v>26</v>
      </c>
      <c r="E284" t="s">
        <v>51</v>
      </c>
      <c r="F284" t="s">
        <v>28</v>
      </c>
      <c r="G284" s="1">
        <v>44998</v>
      </c>
      <c r="H284" t="s">
        <v>602</v>
      </c>
      <c r="I284" t="s">
        <v>603</v>
      </c>
      <c r="J284" t="s">
        <v>21</v>
      </c>
      <c r="K284">
        <v>37318.522530848197</v>
      </c>
      <c r="L284">
        <v>372</v>
      </c>
      <c r="M284" t="s">
        <v>43</v>
      </c>
      <c r="N284" s="1">
        <v>45004</v>
      </c>
      <c r="O284" t="s">
        <v>33</v>
      </c>
      <c r="P284" t="s">
        <v>34</v>
      </c>
      <c r="Q284">
        <v>6</v>
      </c>
    </row>
    <row r="285" spans="1:17" x14ac:dyDescent="0.35">
      <c r="A285" t="s">
        <v>1695</v>
      </c>
      <c r="B285" t="str">
        <f t="shared" si="15"/>
        <v>46-55</v>
      </c>
      <c r="C285">
        <v>48</v>
      </c>
      <c r="D285" t="s">
        <v>16</v>
      </c>
      <c r="E285" t="s">
        <v>36</v>
      </c>
      <c r="F285" t="s">
        <v>28</v>
      </c>
      <c r="G285" s="1">
        <v>44671</v>
      </c>
      <c r="H285" t="s">
        <v>1696</v>
      </c>
      <c r="I285" t="s">
        <v>1697</v>
      </c>
      <c r="J285" t="s">
        <v>21</v>
      </c>
      <c r="K285">
        <v>46859.3008095025</v>
      </c>
      <c r="L285">
        <v>101</v>
      </c>
      <c r="M285" t="s">
        <v>43</v>
      </c>
      <c r="N285" s="1">
        <v>44686</v>
      </c>
      <c r="O285" t="s">
        <v>33</v>
      </c>
      <c r="P285" t="s">
        <v>34</v>
      </c>
      <c r="Q285">
        <v>15</v>
      </c>
    </row>
    <row r="286" spans="1:17" x14ac:dyDescent="0.35">
      <c r="A286" t="s">
        <v>899</v>
      </c>
      <c r="B286" t="str">
        <f t="shared" si="15"/>
        <v>66-75</v>
      </c>
      <c r="C286">
        <v>74</v>
      </c>
      <c r="D286" t="s">
        <v>16</v>
      </c>
      <c r="E286" t="s">
        <v>51</v>
      </c>
      <c r="F286" t="s">
        <v>28</v>
      </c>
      <c r="G286" s="1">
        <v>44506</v>
      </c>
      <c r="H286" t="s">
        <v>900</v>
      </c>
      <c r="I286" t="s">
        <v>901</v>
      </c>
      <c r="J286" t="s">
        <v>59</v>
      </c>
      <c r="K286">
        <v>7164.8861716619103</v>
      </c>
      <c r="L286">
        <v>130</v>
      </c>
      <c r="M286" t="s">
        <v>43</v>
      </c>
      <c r="N286" s="1">
        <v>44525</v>
      </c>
      <c r="O286" t="s">
        <v>87</v>
      </c>
      <c r="P286" t="s">
        <v>34</v>
      </c>
      <c r="Q286">
        <v>19</v>
      </c>
    </row>
    <row r="287" spans="1:17" x14ac:dyDescent="0.35">
      <c r="A287" t="s">
        <v>807</v>
      </c>
      <c r="B287" t="str">
        <f t="shared" si="15"/>
        <v>56-65</v>
      </c>
      <c r="C287">
        <v>61</v>
      </c>
      <c r="D287" t="s">
        <v>26</v>
      </c>
      <c r="E287" t="s">
        <v>92</v>
      </c>
      <c r="F287" t="s">
        <v>28</v>
      </c>
      <c r="G287" s="1">
        <v>44679</v>
      </c>
      <c r="H287" t="s">
        <v>808</v>
      </c>
      <c r="I287" t="s">
        <v>809</v>
      </c>
      <c r="J287" t="s">
        <v>54</v>
      </c>
      <c r="K287">
        <v>16085.7375091101</v>
      </c>
      <c r="L287">
        <v>465</v>
      </c>
      <c r="M287" t="s">
        <v>22</v>
      </c>
      <c r="N287" s="1">
        <v>44706</v>
      </c>
      <c r="O287" t="s">
        <v>23</v>
      </c>
      <c r="P287" t="s">
        <v>34</v>
      </c>
      <c r="Q287">
        <v>27</v>
      </c>
    </row>
    <row r="288" spans="1:17" x14ac:dyDescent="0.35">
      <c r="A288" t="s">
        <v>2586</v>
      </c>
      <c r="B288" t="str">
        <f t="shared" si="15"/>
        <v>76-85</v>
      </c>
      <c r="C288">
        <v>78</v>
      </c>
      <c r="D288" t="s">
        <v>26</v>
      </c>
      <c r="E288" t="s">
        <v>36</v>
      </c>
      <c r="F288" t="s">
        <v>28</v>
      </c>
      <c r="G288" s="1">
        <v>44267</v>
      </c>
      <c r="H288" t="s">
        <v>2587</v>
      </c>
      <c r="I288" t="s">
        <v>2588</v>
      </c>
      <c r="J288" t="s">
        <v>59</v>
      </c>
      <c r="K288">
        <v>22223.7458220634</v>
      </c>
      <c r="L288">
        <v>118</v>
      </c>
      <c r="M288" t="s">
        <v>32</v>
      </c>
      <c r="N288" s="1">
        <v>44284</v>
      </c>
      <c r="O288" t="s">
        <v>33</v>
      </c>
      <c r="P288" t="s">
        <v>24</v>
      </c>
      <c r="Q288">
        <v>17</v>
      </c>
    </row>
    <row r="289" spans="1:17" x14ac:dyDescent="0.35">
      <c r="A289" t="s">
        <v>2564</v>
      </c>
      <c r="B289" t="str">
        <f t="shared" si="15"/>
        <v>66-75</v>
      </c>
      <c r="C289">
        <v>72</v>
      </c>
      <c r="D289" t="s">
        <v>16</v>
      </c>
      <c r="E289" t="s">
        <v>117</v>
      </c>
      <c r="F289" t="s">
        <v>28</v>
      </c>
      <c r="G289" s="1">
        <v>43603</v>
      </c>
      <c r="H289" t="s">
        <v>2565</v>
      </c>
      <c r="I289" t="s">
        <v>2566</v>
      </c>
      <c r="J289" t="s">
        <v>63</v>
      </c>
      <c r="K289">
        <v>36594.910736133097</v>
      </c>
      <c r="L289">
        <v>453</v>
      </c>
      <c r="M289" t="s">
        <v>22</v>
      </c>
      <c r="N289" s="1">
        <v>43612</v>
      </c>
      <c r="O289" t="s">
        <v>44</v>
      </c>
      <c r="P289" t="s">
        <v>34</v>
      </c>
      <c r="Q289">
        <v>9</v>
      </c>
    </row>
    <row r="290" spans="1:17" x14ac:dyDescent="0.35">
      <c r="A290" t="s">
        <v>360</v>
      </c>
      <c r="B290" t="str">
        <f t="shared" si="15"/>
        <v>56-65</v>
      </c>
      <c r="C290">
        <v>64</v>
      </c>
      <c r="D290" t="s">
        <v>16</v>
      </c>
      <c r="E290" t="s">
        <v>65</v>
      </c>
      <c r="F290" t="s">
        <v>28</v>
      </c>
      <c r="G290" s="1">
        <v>43877</v>
      </c>
      <c r="H290" t="s">
        <v>361</v>
      </c>
      <c r="I290" t="s">
        <v>362</v>
      </c>
      <c r="J290" t="s">
        <v>63</v>
      </c>
      <c r="K290">
        <v>8895.1372878217207</v>
      </c>
      <c r="L290">
        <v>137</v>
      </c>
      <c r="M290" t="s">
        <v>22</v>
      </c>
      <c r="N290" s="1">
        <v>43888</v>
      </c>
      <c r="O290" t="s">
        <v>23</v>
      </c>
      <c r="P290" t="s">
        <v>45</v>
      </c>
      <c r="Q290">
        <v>11</v>
      </c>
    </row>
    <row r="291" spans="1:17" x14ac:dyDescent="0.35">
      <c r="A291" t="s">
        <v>1170</v>
      </c>
      <c r="B291" t="str">
        <f t="shared" si="15"/>
        <v>36-45</v>
      </c>
      <c r="C291">
        <v>45</v>
      </c>
      <c r="D291" t="s">
        <v>26</v>
      </c>
      <c r="E291" t="s">
        <v>117</v>
      </c>
      <c r="F291" t="s">
        <v>28</v>
      </c>
      <c r="G291" s="1">
        <v>44668</v>
      </c>
      <c r="H291" t="s">
        <v>1171</v>
      </c>
      <c r="I291" t="s">
        <v>1172</v>
      </c>
      <c r="J291" t="s">
        <v>63</v>
      </c>
      <c r="K291">
        <v>26172.079063597601</v>
      </c>
      <c r="L291">
        <v>155</v>
      </c>
      <c r="M291" t="s">
        <v>32</v>
      </c>
      <c r="N291" s="1">
        <v>44685</v>
      </c>
      <c r="O291" t="s">
        <v>44</v>
      </c>
      <c r="P291" t="s">
        <v>24</v>
      </c>
      <c r="Q291">
        <v>17</v>
      </c>
    </row>
    <row r="292" spans="1:17" x14ac:dyDescent="0.35">
      <c r="A292" t="s">
        <v>1750</v>
      </c>
      <c r="B292" t="str">
        <f t="shared" si="15"/>
        <v>76-85</v>
      </c>
      <c r="C292">
        <v>77</v>
      </c>
      <c r="D292" t="s">
        <v>26</v>
      </c>
      <c r="E292" t="s">
        <v>117</v>
      </c>
      <c r="F292" t="s">
        <v>28</v>
      </c>
      <c r="G292" s="1">
        <v>43865</v>
      </c>
      <c r="H292" t="s">
        <v>1751</v>
      </c>
      <c r="I292" t="s">
        <v>1752</v>
      </c>
      <c r="J292" t="s">
        <v>54</v>
      </c>
      <c r="K292">
        <v>2169.8000252912502</v>
      </c>
      <c r="L292">
        <v>250</v>
      </c>
      <c r="M292" t="s">
        <v>32</v>
      </c>
      <c r="N292" s="1">
        <v>43878</v>
      </c>
      <c r="O292" t="s">
        <v>33</v>
      </c>
      <c r="P292" t="s">
        <v>45</v>
      </c>
      <c r="Q292">
        <v>13</v>
      </c>
    </row>
    <row r="293" spans="1:17" x14ac:dyDescent="0.35">
      <c r="A293" t="s">
        <v>1518</v>
      </c>
      <c r="B293" t="str">
        <f t="shared" si="15"/>
        <v>18-25</v>
      </c>
      <c r="C293">
        <v>21</v>
      </c>
      <c r="D293" t="s">
        <v>16</v>
      </c>
      <c r="E293" t="s">
        <v>232</v>
      </c>
      <c r="F293" t="s">
        <v>28</v>
      </c>
      <c r="G293" s="1">
        <v>43677</v>
      </c>
      <c r="H293" t="s">
        <v>1519</v>
      </c>
      <c r="I293" t="s">
        <v>1520</v>
      </c>
      <c r="J293" t="s">
        <v>59</v>
      </c>
      <c r="K293">
        <v>36267.530045910098</v>
      </c>
      <c r="L293">
        <v>359</v>
      </c>
      <c r="M293" t="s">
        <v>22</v>
      </c>
      <c r="N293" s="1">
        <v>43685</v>
      </c>
      <c r="O293" t="s">
        <v>33</v>
      </c>
      <c r="P293" t="s">
        <v>24</v>
      </c>
      <c r="Q293">
        <v>8</v>
      </c>
    </row>
    <row r="294" spans="1:17" x14ac:dyDescent="0.35">
      <c r="A294" t="s">
        <v>631</v>
      </c>
      <c r="B294" t="str">
        <f t="shared" si="15"/>
        <v>46-55</v>
      </c>
      <c r="C294">
        <v>54</v>
      </c>
      <c r="D294" t="s">
        <v>16</v>
      </c>
      <c r="E294" t="s">
        <v>117</v>
      </c>
      <c r="F294" t="s">
        <v>28</v>
      </c>
      <c r="G294" s="1">
        <v>43413</v>
      </c>
      <c r="H294" t="s">
        <v>632</v>
      </c>
      <c r="I294" t="s">
        <v>633</v>
      </c>
      <c r="J294" t="s">
        <v>31</v>
      </c>
      <c r="K294">
        <v>3623.4082314146499</v>
      </c>
      <c r="L294">
        <v>361</v>
      </c>
      <c r="M294" t="s">
        <v>43</v>
      </c>
      <c r="N294" s="1">
        <v>43423</v>
      </c>
      <c r="O294" t="s">
        <v>50</v>
      </c>
      <c r="P294" t="s">
        <v>45</v>
      </c>
      <c r="Q294">
        <v>10</v>
      </c>
    </row>
    <row r="295" spans="1:17" x14ac:dyDescent="0.35">
      <c r="A295" t="s">
        <v>1152</v>
      </c>
      <c r="B295" t="str">
        <f t="shared" si="15"/>
        <v>76-85</v>
      </c>
      <c r="C295">
        <v>81</v>
      </c>
      <c r="D295" t="s">
        <v>16</v>
      </c>
      <c r="E295" t="s">
        <v>27</v>
      </c>
      <c r="F295" t="s">
        <v>28</v>
      </c>
      <c r="G295" s="1">
        <v>43750</v>
      </c>
      <c r="H295" t="s">
        <v>1153</v>
      </c>
      <c r="I295" t="s">
        <v>1154</v>
      </c>
      <c r="J295" t="s">
        <v>63</v>
      </c>
      <c r="K295">
        <v>20649.3872071603</v>
      </c>
      <c r="L295">
        <v>246</v>
      </c>
      <c r="M295" t="s">
        <v>43</v>
      </c>
      <c r="N295" s="1">
        <v>43755</v>
      </c>
      <c r="O295" t="s">
        <v>50</v>
      </c>
      <c r="P295" t="s">
        <v>45</v>
      </c>
      <c r="Q295">
        <v>5</v>
      </c>
    </row>
    <row r="296" spans="1:17" x14ac:dyDescent="0.35">
      <c r="A296" t="s">
        <v>1453</v>
      </c>
      <c r="B296" t="str">
        <f t="shared" si="15"/>
        <v>36-45</v>
      </c>
      <c r="C296">
        <v>45</v>
      </c>
      <c r="D296" t="s">
        <v>26</v>
      </c>
      <c r="E296" t="s">
        <v>92</v>
      </c>
      <c r="F296" t="s">
        <v>28</v>
      </c>
      <c r="G296" s="1">
        <v>44758</v>
      </c>
      <c r="H296" t="s">
        <v>1454</v>
      </c>
      <c r="I296" t="s">
        <v>1455</v>
      </c>
      <c r="J296" t="s">
        <v>31</v>
      </c>
      <c r="K296">
        <v>11169.2994795705</v>
      </c>
      <c r="L296">
        <v>269</v>
      </c>
      <c r="M296" t="s">
        <v>43</v>
      </c>
      <c r="N296" s="1">
        <v>44775</v>
      </c>
      <c r="O296" t="s">
        <v>23</v>
      </c>
      <c r="P296" t="s">
        <v>45</v>
      </c>
      <c r="Q296">
        <v>17</v>
      </c>
    </row>
    <row r="297" spans="1:17" x14ac:dyDescent="0.35">
      <c r="A297" t="s">
        <v>2509</v>
      </c>
      <c r="B297" t="str">
        <f t="shared" si="15"/>
        <v>66-75</v>
      </c>
      <c r="C297">
        <v>74</v>
      </c>
      <c r="D297" t="s">
        <v>16</v>
      </c>
      <c r="E297" t="s">
        <v>92</v>
      </c>
      <c r="F297" t="s">
        <v>28</v>
      </c>
      <c r="G297" s="1">
        <v>44491</v>
      </c>
      <c r="H297" t="s">
        <v>2510</v>
      </c>
      <c r="I297" t="s">
        <v>2511</v>
      </c>
      <c r="J297" t="s">
        <v>59</v>
      </c>
      <c r="K297">
        <v>47469.0831666714</v>
      </c>
      <c r="L297">
        <v>355</v>
      </c>
      <c r="M297" t="s">
        <v>22</v>
      </c>
      <c r="N297" s="1">
        <v>44518</v>
      </c>
      <c r="O297" t="s">
        <v>33</v>
      </c>
      <c r="P297" t="s">
        <v>24</v>
      </c>
      <c r="Q297">
        <v>27</v>
      </c>
    </row>
    <row r="298" spans="1:17" x14ac:dyDescent="0.35">
      <c r="A298" t="s">
        <v>491</v>
      </c>
      <c r="B298" t="str">
        <f t="shared" si="15"/>
        <v>56-65</v>
      </c>
      <c r="C298">
        <v>65</v>
      </c>
      <c r="D298" t="s">
        <v>16</v>
      </c>
      <c r="E298" t="s">
        <v>27</v>
      </c>
      <c r="F298" t="s">
        <v>28</v>
      </c>
      <c r="G298" s="1">
        <v>44546</v>
      </c>
      <c r="H298" t="s">
        <v>492</v>
      </c>
      <c r="I298" t="s">
        <v>493</v>
      </c>
      <c r="J298" t="s">
        <v>31</v>
      </c>
      <c r="K298">
        <v>18991.0732225217</v>
      </c>
      <c r="L298">
        <v>424</v>
      </c>
      <c r="M298" t="s">
        <v>32</v>
      </c>
      <c r="N298" s="1">
        <v>44556</v>
      </c>
      <c r="O298" t="s">
        <v>87</v>
      </c>
      <c r="P298" t="s">
        <v>34</v>
      </c>
      <c r="Q298">
        <v>10</v>
      </c>
    </row>
    <row r="299" spans="1:17" x14ac:dyDescent="0.35">
      <c r="A299" t="s">
        <v>548</v>
      </c>
      <c r="B299" t="str">
        <f t="shared" si="15"/>
        <v>76-85</v>
      </c>
      <c r="C299">
        <v>85</v>
      </c>
      <c r="D299" t="s">
        <v>16</v>
      </c>
      <c r="E299" t="s">
        <v>232</v>
      </c>
      <c r="F299" t="s">
        <v>28</v>
      </c>
      <c r="G299" s="1">
        <v>45070</v>
      </c>
      <c r="H299" t="s">
        <v>549</v>
      </c>
      <c r="I299" t="s">
        <v>550</v>
      </c>
      <c r="J299" t="s">
        <v>31</v>
      </c>
      <c r="K299">
        <v>21470.4177381972</v>
      </c>
      <c r="L299">
        <v>264</v>
      </c>
      <c r="M299" t="s">
        <v>22</v>
      </c>
      <c r="N299" s="1">
        <v>45073</v>
      </c>
      <c r="O299" t="s">
        <v>23</v>
      </c>
      <c r="P299" t="s">
        <v>24</v>
      </c>
      <c r="Q299">
        <v>3</v>
      </c>
    </row>
    <row r="300" spans="1:17" x14ac:dyDescent="0.35">
      <c r="A300" t="s">
        <v>2688</v>
      </c>
      <c r="B300" t="str">
        <f t="shared" si="15"/>
        <v>66-75</v>
      </c>
      <c r="C300">
        <v>71</v>
      </c>
      <c r="D300" t="s">
        <v>16</v>
      </c>
      <c r="E300" t="s">
        <v>232</v>
      </c>
      <c r="F300" t="s">
        <v>28</v>
      </c>
      <c r="G300" s="1">
        <v>44436</v>
      </c>
      <c r="H300" t="s">
        <v>2689</v>
      </c>
      <c r="I300" t="s">
        <v>2690</v>
      </c>
      <c r="J300" t="s">
        <v>59</v>
      </c>
      <c r="K300">
        <v>31040.1811841337</v>
      </c>
      <c r="L300">
        <v>291</v>
      </c>
      <c r="M300" t="s">
        <v>43</v>
      </c>
      <c r="N300" s="1">
        <v>44440</v>
      </c>
      <c r="O300" t="s">
        <v>23</v>
      </c>
      <c r="P300" t="s">
        <v>34</v>
      </c>
      <c r="Q300">
        <v>4</v>
      </c>
    </row>
    <row r="301" spans="1:17" x14ac:dyDescent="0.35">
      <c r="A301" t="s">
        <v>144</v>
      </c>
      <c r="B301" t="str">
        <f t="shared" si="15"/>
        <v>46-55</v>
      </c>
      <c r="C301">
        <v>51</v>
      </c>
      <c r="D301" t="s">
        <v>26</v>
      </c>
      <c r="E301" t="s">
        <v>36</v>
      </c>
      <c r="F301" t="s">
        <v>28</v>
      </c>
      <c r="G301" s="1">
        <v>44225</v>
      </c>
      <c r="H301" t="s">
        <v>145</v>
      </c>
      <c r="I301" t="s">
        <v>146</v>
      </c>
      <c r="J301" t="s">
        <v>63</v>
      </c>
      <c r="K301">
        <v>39031.362644016801</v>
      </c>
      <c r="L301">
        <v>228</v>
      </c>
      <c r="M301" t="s">
        <v>22</v>
      </c>
      <c r="N301" s="1">
        <v>44250</v>
      </c>
      <c r="O301" t="s">
        <v>50</v>
      </c>
      <c r="P301" t="s">
        <v>45</v>
      </c>
      <c r="Q301">
        <v>25</v>
      </c>
    </row>
    <row r="302" spans="1:17" x14ac:dyDescent="0.35">
      <c r="A302" t="s">
        <v>2580</v>
      </c>
      <c r="B302" t="str">
        <f t="shared" si="15"/>
        <v>36-45</v>
      </c>
      <c r="C302">
        <v>45</v>
      </c>
      <c r="D302" t="s">
        <v>16</v>
      </c>
      <c r="E302" t="s">
        <v>92</v>
      </c>
      <c r="F302" t="s">
        <v>28</v>
      </c>
      <c r="G302" s="1">
        <v>45178</v>
      </c>
      <c r="H302" t="s">
        <v>2581</v>
      </c>
      <c r="I302" t="s">
        <v>2582</v>
      </c>
      <c r="J302" t="s">
        <v>63</v>
      </c>
      <c r="K302">
        <v>43128.452163460403</v>
      </c>
      <c r="L302">
        <v>495</v>
      </c>
      <c r="M302" t="s">
        <v>32</v>
      </c>
      <c r="N302" s="1">
        <v>45200</v>
      </c>
      <c r="O302" t="s">
        <v>23</v>
      </c>
      <c r="P302" t="s">
        <v>34</v>
      </c>
      <c r="Q302">
        <v>22</v>
      </c>
    </row>
    <row r="303" spans="1:17" x14ac:dyDescent="0.35">
      <c r="A303" t="s">
        <v>1137</v>
      </c>
      <c r="B303" t="str">
        <f t="shared" si="15"/>
        <v>56-65</v>
      </c>
      <c r="C303">
        <v>57</v>
      </c>
      <c r="D303" t="s">
        <v>26</v>
      </c>
      <c r="E303" t="s">
        <v>65</v>
      </c>
      <c r="F303" t="s">
        <v>28</v>
      </c>
      <c r="G303" s="1">
        <v>44343</v>
      </c>
      <c r="H303" t="s">
        <v>1138</v>
      </c>
      <c r="I303" t="s">
        <v>1139</v>
      </c>
      <c r="J303" t="s">
        <v>21</v>
      </c>
      <c r="K303">
        <v>17061.046663657198</v>
      </c>
      <c r="L303">
        <v>357</v>
      </c>
      <c r="M303" t="s">
        <v>43</v>
      </c>
      <c r="N303" s="1">
        <v>44359</v>
      </c>
      <c r="O303" t="s">
        <v>50</v>
      </c>
      <c r="P303" t="s">
        <v>45</v>
      </c>
      <c r="Q303">
        <v>16</v>
      </c>
    </row>
    <row r="304" spans="1:17" x14ac:dyDescent="0.35">
      <c r="A304" t="s">
        <v>1367</v>
      </c>
      <c r="B304" t="str">
        <f t="shared" si="15"/>
        <v>46-55</v>
      </c>
      <c r="C304">
        <v>50</v>
      </c>
      <c r="D304" t="s">
        <v>26</v>
      </c>
      <c r="E304" t="s">
        <v>36</v>
      </c>
      <c r="F304" t="s">
        <v>28</v>
      </c>
      <c r="G304" s="1">
        <v>44321</v>
      </c>
      <c r="H304" t="s">
        <v>1368</v>
      </c>
      <c r="I304" t="s">
        <v>1369</v>
      </c>
      <c r="J304" t="s">
        <v>21</v>
      </c>
      <c r="K304">
        <v>39734.995117091101</v>
      </c>
      <c r="L304">
        <v>496</v>
      </c>
      <c r="M304" t="s">
        <v>32</v>
      </c>
      <c r="N304" s="1">
        <v>44330</v>
      </c>
      <c r="O304" t="s">
        <v>87</v>
      </c>
      <c r="P304" t="s">
        <v>45</v>
      </c>
      <c r="Q304">
        <v>9</v>
      </c>
    </row>
    <row r="305" spans="1:17" x14ac:dyDescent="0.35">
      <c r="A305" t="s">
        <v>996</v>
      </c>
      <c r="B305" t="str">
        <f t="shared" si="15"/>
        <v>18-25</v>
      </c>
      <c r="C305">
        <v>19</v>
      </c>
      <c r="D305" t="s">
        <v>26</v>
      </c>
      <c r="E305" t="s">
        <v>232</v>
      </c>
      <c r="F305" t="s">
        <v>28</v>
      </c>
      <c r="G305" s="1">
        <v>44206</v>
      </c>
      <c r="H305" t="s">
        <v>997</v>
      </c>
      <c r="I305" t="s">
        <v>998</v>
      </c>
      <c r="J305" t="s">
        <v>54</v>
      </c>
      <c r="K305">
        <v>6850.97280044338</v>
      </c>
      <c r="L305">
        <v>270</v>
      </c>
      <c r="M305" t="s">
        <v>22</v>
      </c>
      <c r="N305" s="1">
        <v>44216</v>
      </c>
      <c r="O305" t="s">
        <v>87</v>
      </c>
      <c r="P305" t="s">
        <v>24</v>
      </c>
      <c r="Q305">
        <v>10</v>
      </c>
    </row>
    <row r="306" spans="1:17" x14ac:dyDescent="0.35">
      <c r="A306" t="s">
        <v>2655</v>
      </c>
      <c r="B306" t="str">
        <f t="shared" si="15"/>
        <v>18-25</v>
      </c>
      <c r="C306">
        <v>18</v>
      </c>
      <c r="D306" t="s">
        <v>26</v>
      </c>
      <c r="E306" t="s">
        <v>232</v>
      </c>
      <c r="F306" t="s">
        <v>28</v>
      </c>
      <c r="G306" s="1">
        <v>45156</v>
      </c>
      <c r="H306" t="s">
        <v>2656</v>
      </c>
      <c r="I306" t="s">
        <v>2657</v>
      </c>
      <c r="J306" t="s">
        <v>54</v>
      </c>
      <c r="K306">
        <v>17745.867166260799</v>
      </c>
      <c r="L306">
        <v>312</v>
      </c>
      <c r="M306" t="s">
        <v>32</v>
      </c>
      <c r="N306" s="1">
        <v>45158</v>
      </c>
      <c r="O306" t="s">
        <v>44</v>
      </c>
      <c r="P306" t="s">
        <v>24</v>
      </c>
      <c r="Q306">
        <v>2</v>
      </c>
    </row>
    <row r="307" spans="1:17" x14ac:dyDescent="0.35">
      <c r="A307" t="s">
        <v>1026</v>
      </c>
      <c r="B307" t="str">
        <f t="shared" si="15"/>
        <v>66-75</v>
      </c>
      <c r="C307">
        <v>73</v>
      </c>
      <c r="D307" t="s">
        <v>26</v>
      </c>
      <c r="E307" t="s">
        <v>232</v>
      </c>
      <c r="F307" t="s">
        <v>28</v>
      </c>
      <c r="G307" s="1">
        <v>44800</v>
      </c>
      <c r="H307" t="s">
        <v>1027</v>
      </c>
      <c r="I307" t="s">
        <v>1028</v>
      </c>
      <c r="J307" t="s">
        <v>31</v>
      </c>
      <c r="K307">
        <v>3380.7723809302502</v>
      </c>
      <c r="L307">
        <v>153</v>
      </c>
      <c r="M307" t="s">
        <v>22</v>
      </c>
      <c r="N307" s="1">
        <v>44817</v>
      </c>
      <c r="O307" t="s">
        <v>23</v>
      </c>
      <c r="P307" t="s">
        <v>24</v>
      </c>
      <c r="Q307">
        <v>17</v>
      </c>
    </row>
    <row r="308" spans="1:17" x14ac:dyDescent="0.35">
      <c r="A308" t="s">
        <v>25</v>
      </c>
      <c r="B308" t="str">
        <f t="shared" si="15"/>
        <v>26-35</v>
      </c>
      <c r="C308">
        <v>35</v>
      </c>
      <c r="D308" t="s">
        <v>26</v>
      </c>
      <c r="E308" t="s">
        <v>27</v>
      </c>
      <c r="F308" t="s">
        <v>28</v>
      </c>
      <c r="G308" s="1">
        <v>45078</v>
      </c>
      <c r="H308" t="s">
        <v>29</v>
      </c>
      <c r="I308" t="s">
        <v>30</v>
      </c>
      <c r="J308" t="s">
        <v>31</v>
      </c>
      <c r="K308">
        <v>47304.064845475099</v>
      </c>
      <c r="L308">
        <v>404</v>
      </c>
      <c r="M308" t="s">
        <v>32</v>
      </c>
      <c r="N308" s="1">
        <v>45092</v>
      </c>
      <c r="O308" t="s">
        <v>33</v>
      </c>
      <c r="P308" t="s">
        <v>34</v>
      </c>
      <c r="Q308">
        <v>14</v>
      </c>
    </row>
    <row r="309" spans="1:17" x14ac:dyDescent="0.35">
      <c r="A309" t="s">
        <v>1325</v>
      </c>
      <c r="B309" t="str">
        <f t="shared" si="15"/>
        <v>66-75</v>
      </c>
      <c r="C309">
        <v>66</v>
      </c>
      <c r="D309" t="s">
        <v>26</v>
      </c>
      <c r="E309" t="s">
        <v>92</v>
      </c>
      <c r="F309" t="s">
        <v>28</v>
      </c>
      <c r="G309" s="1">
        <v>45045</v>
      </c>
      <c r="H309" t="s">
        <v>1326</v>
      </c>
      <c r="I309" t="s">
        <v>1327</v>
      </c>
      <c r="J309" t="s">
        <v>54</v>
      </c>
      <c r="K309">
        <v>3991.7558288253899</v>
      </c>
      <c r="L309">
        <v>252</v>
      </c>
      <c r="M309" t="s">
        <v>22</v>
      </c>
      <c r="N309" s="1">
        <v>45064</v>
      </c>
      <c r="O309" t="s">
        <v>50</v>
      </c>
      <c r="P309" t="s">
        <v>45</v>
      </c>
      <c r="Q309">
        <v>19</v>
      </c>
    </row>
    <row r="310" spans="1:17" x14ac:dyDescent="0.35">
      <c r="A310" t="s">
        <v>2959</v>
      </c>
      <c r="B310" t="str">
        <f t="shared" si="15"/>
        <v>26-35</v>
      </c>
      <c r="C310">
        <v>33</v>
      </c>
      <c r="D310" t="s">
        <v>26</v>
      </c>
      <c r="E310" t="s">
        <v>117</v>
      </c>
      <c r="F310" t="s">
        <v>28</v>
      </c>
      <c r="G310" s="1">
        <v>43751</v>
      </c>
      <c r="H310" t="s">
        <v>1536</v>
      </c>
      <c r="I310" t="s">
        <v>2960</v>
      </c>
      <c r="J310" t="s">
        <v>63</v>
      </c>
      <c r="K310">
        <v>49910.077615104601</v>
      </c>
      <c r="L310">
        <v>152</v>
      </c>
      <c r="M310" t="s">
        <v>22</v>
      </c>
      <c r="N310" s="1">
        <v>43762</v>
      </c>
      <c r="O310" t="s">
        <v>87</v>
      </c>
      <c r="P310" t="s">
        <v>24</v>
      </c>
      <c r="Q310">
        <v>11</v>
      </c>
    </row>
    <row r="311" spans="1:17" x14ac:dyDescent="0.35">
      <c r="A311" t="s">
        <v>1510</v>
      </c>
      <c r="B311" t="str">
        <f t="shared" si="15"/>
        <v>66-75</v>
      </c>
      <c r="C311">
        <v>73</v>
      </c>
      <c r="D311" t="s">
        <v>26</v>
      </c>
      <c r="E311" t="s">
        <v>36</v>
      </c>
      <c r="F311" t="s">
        <v>28</v>
      </c>
      <c r="G311" s="1">
        <v>44552</v>
      </c>
      <c r="H311" t="s">
        <v>1511</v>
      </c>
      <c r="I311" t="s">
        <v>1512</v>
      </c>
      <c r="J311" t="s">
        <v>59</v>
      </c>
      <c r="K311">
        <v>25403.265432304499</v>
      </c>
      <c r="L311">
        <v>436</v>
      </c>
      <c r="M311" t="s">
        <v>43</v>
      </c>
      <c r="N311" s="1">
        <v>44576</v>
      </c>
      <c r="O311" t="s">
        <v>87</v>
      </c>
      <c r="P311" t="s">
        <v>34</v>
      </c>
      <c r="Q311">
        <v>24</v>
      </c>
    </row>
    <row r="312" spans="1:17" x14ac:dyDescent="0.35">
      <c r="A312" t="s">
        <v>2880</v>
      </c>
      <c r="B312" t="str">
        <f t="shared" si="15"/>
        <v>76-85</v>
      </c>
      <c r="C312">
        <v>81</v>
      </c>
      <c r="D312" t="s">
        <v>26</v>
      </c>
      <c r="E312" t="s">
        <v>232</v>
      </c>
      <c r="F312" t="s">
        <v>28</v>
      </c>
      <c r="G312" s="1">
        <v>43631</v>
      </c>
      <c r="H312" t="s">
        <v>2881</v>
      </c>
      <c r="I312" t="s">
        <v>2882</v>
      </c>
      <c r="J312" t="s">
        <v>31</v>
      </c>
      <c r="K312">
        <v>14267.909879475001</v>
      </c>
      <c r="L312">
        <v>159</v>
      </c>
      <c r="M312" t="s">
        <v>43</v>
      </c>
      <c r="N312" s="1">
        <v>43650</v>
      </c>
      <c r="O312" t="s">
        <v>87</v>
      </c>
      <c r="P312" t="s">
        <v>34</v>
      </c>
      <c r="Q312">
        <v>19</v>
      </c>
    </row>
    <row r="313" spans="1:17" x14ac:dyDescent="0.35">
      <c r="A313" t="s">
        <v>2429</v>
      </c>
      <c r="B313" t="str">
        <f t="shared" si="15"/>
        <v>46-55</v>
      </c>
      <c r="C313">
        <v>54</v>
      </c>
      <c r="D313" t="s">
        <v>16</v>
      </c>
      <c r="E313" t="s">
        <v>117</v>
      </c>
      <c r="F313" t="s">
        <v>28</v>
      </c>
      <c r="G313" s="1">
        <v>43963</v>
      </c>
      <c r="H313" t="s">
        <v>2430</v>
      </c>
      <c r="I313" t="s">
        <v>2431</v>
      </c>
      <c r="J313" t="s">
        <v>59</v>
      </c>
      <c r="K313">
        <v>11167.184062665699</v>
      </c>
      <c r="L313">
        <v>395</v>
      </c>
      <c r="M313" t="s">
        <v>32</v>
      </c>
      <c r="N313" s="1">
        <v>43989</v>
      </c>
      <c r="O313" t="s">
        <v>87</v>
      </c>
      <c r="P313" t="s">
        <v>24</v>
      </c>
      <c r="Q313">
        <v>26</v>
      </c>
    </row>
    <row r="314" spans="1:17" x14ac:dyDescent="0.35">
      <c r="A314" t="s">
        <v>2470</v>
      </c>
      <c r="B314" t="str">
        <f t="shared" si="15"/>
        <v>26-35</v>
      </c>
      <c r="C314">
        <v>29</v>
      </c>
      <c r="D314" t="s">
        <v>26</v>
      </c>
      <c r="E314" t="s">
        <v>92</v>
      </c>
      <c r="F314" t="s">
        <v>28</v>
      </c>
      <c r="G314" s="1">
        <v>44267</v>
      </c>
      <c r="H314" t="s">
        <v>2471</v>
      </c>
      <c r="I314" t="s">
        <v>2472</v>
      </c>
      <c r="J314" t="s">
        <v>31</v>
      </c>
      <c r="K314">
        <v>17245.167346985501</v>
      </c>
      <c r="L314">
        <v>290</v>
      </c>
      <c r="M314" t="s">
        <v>32</v>
      </c>
      <c r="N314" s="1">
        <v>44273</v>
      </c>
      <c r="O314" t="s">
        <v>23</v>
      </c>
      <c r="P314" t="s">
        <v>45</v>
      </c>
      <c r="Q314">
        <v>6</v>
      </c>
    </row>
    <row r="315" spans="1:17" x14ac:dyDescent="0.35">
      <c r="A315" t="s">
        <v>2618</v>
      </c>
      <c r="B315" t="str">
        <f t="shared" si="15"/>
        <v>66-75</v>
      </c>
      <c r="C315">
        <v>72</v>
      </c>
      <c r="D315" t="s">
        <v>26</v>
      </c>
      <c r="E315" t="s">
        <v>232</v>
      </c>
      <c r="F315" t="s">
        <v>28</v>
      </c>
      <c r="G315" s="1">
        <v>44381</v>
      </c>
      <c r="H315" t="s">
        <v>2619</v>
      </c>
      <c r="I315" t="s">
        <v>2620</v>
      </c>
      <c r="J315" t="s">
        <v>59</v>
      </c>
      <c r="K315">
        <v>24982.0468727966</v>
      </c>
      <c r="L315">
        <v>475</v>
      </c>
      <c r="M315" t="s">
        <v>43</v>
      </c>
      <c r="N315" s="1">
        <v>44387</v>
      </c>
      <c r="O315" t="s">
        <v>23</v>
      </c>
      <c r="P315" t="s">
        <v>34</v>
      </c>
      <c r="Q315">
        <v>6</v>
      </c>
    </row>
    <row r="316" spans="1:17" x14ac:dyDescent="0.35">
      <c r="A316" t="s">
        <v>68</v>
      </c>
      <c r="B316" t="str">
        <f t="shared" si="15"/>
        <v>36-45</v>
      </c>
      <c r="C316">
        <v>39</v>
      </c>
      <c r="D316" t="s">
        <v>16</v>
      </c>
      <c r="E316" t="s">
        <v>17</v>
      </c>
      <c r="F316" t="s">
        <v>28</v>
      </c>
      <c r="G316" s="1">
        <v>44910</v>
      </c>
      <c r="H316" t="s">
        <v>69</v>
      </c>
      <c r="I316" t="s">
        <v>70</v>
      </c>
      <c r="J316" t="s">
        <v>63</v>
      </c>
      <c r="K316">
        <v>22788.2360263767</v>
      </c>
      <c r="L316">
        <v>310</v>
      </c>
      <c r="M316" t="s">
        <v>43</v>
      </c>
      <c r="N316" s="1">
        <v>44911</v>
      </c>
      <c r="O316" t="s">
        <v>23</v>
      </c>
      <c r="P316" t="s">
        <v>34</v>
      </c>
      <c r="Q316">
        <v>1</v>
      </c>
    </row>
    <row r="317" spans="1:17" x14ac:dyDescent="0.35">
      <c r="A317" t="s">
        <v>2616</v>
      </c>
      <c r="B317" t="str">
        <f t="shared" si="15"/>
        <v>26-35</v>
      </c>
      <c r="C317">
        <v>31</v>
      </c>
      <c r="D317" t="s">
        <v>16</v>
      </c>
      <c r="E317" t="s">
        <v>27</v>
      </c>
      <c r="F317" t="s">
        <v>28</v>
      </c>
      <c r="G317" s="1">
        <v>45016</v>
      </c>
      <c r="H317" t="s">
        <v>1738</v>
      </c>
      <c r="I317" t="s">
        <v>2617</v>
      </c>
      <c r="J317" t="s">
        <v>31</v>
      </c>
      <c r="K317">
        <v>49401.132727330703</v>
      </c>
      <c r="L317">
        <v>263</v>
      </c>
      <c r="M317" t="s">
        <v>32</v>
      </c>
      <c r="N317" s="1">
        <v>45018</v>
      </c>
      <c r="O317" t="s">
        <v>44</v>
      </c>
      <c r="P317" t="s">
        <v>24</v>
      </c>
      <c r="Q317">
        <v>2</v>
      </c>
    </row>
    <row r="318" spans="1:17" x14ac:dyDescent="0.35">
      <c r="A318" t="s">
        <v>1889</v>
      </c>
      <c r="B318" t="str">
        <f t="shared" si="15"/>
        <v>18-25</v>
      </c>
      <c r="C318">
        <v>21</v>
      </c>
      <c r="D318" t="s">
        <v>16</v>
      </c>
      <c r="E318" t="s">
        <v>65</v>
      </c>
      <c r="F318" t="s">
        <v>28</v>
      </c>
      <c r="G318" s="1">
        <v>44713</v>
      </c>
      <c r="H318" t="s">
        <v>1890</v>
      </c>
      <c r="I318" t="s">
        <v>1891</v>
      </c>
      <c r="J318" t="s">
        <v>21</v>
      </c>
      <c r="K318">
        <v>37817.354738951697</v>
      </c>
      <c r="L318">
        <v>245</v>
      </c>
      <c r="M318" t="s">
        <v>43</v>
      </c>
      <c r="N318" s="1">
        <v>44741</v>
      </c>
      <c r="O318" t="s">
        <v>87</v>
      </c>
      <c r="P318" t="s">
        <v>45</v>
      </c>
      <c r="Q318">
        <v>28</v>
      </c>
    </row>
    <row r="319" spans="1:17" x14ac:dyDescent="0.35">
      <c r="A319" t="s">
        <v>816</v>
      </c>
      <c r="B319" t="str">
        <f t="shared" si="15"/>
        <v>56-65</v>
      </c>
      <c r="C319">
        <v>57</v>
      </c>
      <c r="D319" t="s">
        <v>16</v>
      </c>
      <c r="E319" t="s">
        <v>65</v>
      </c>
      <c r="F319" t="s">
        <v>28</v>
      </c>
      <c r="G319" s="1">
        <v>44887</v>
      </c>
      <c r="H319" t="s">
        <v>817</v>
      </c>
      <c r="I319" t="s">
        <v>818</v>
      </c>
      <c r="J319" t="s">
        <v>21</v>
      </c>
      <c r="K319">
        <v>31911.129134091199</v>
      </c>
      <c r="L319">
        <v>458</v>
      </c>
      <c r="M319" t="s">
        <v>43</v>
      </c>
      <c r="N319" s="1">
        <v>44904</v>
      </c>
      <c r="O319" t="s">
        <v>50</v>
      </c>
      <c r="P319" t="s">
        <v>34</v>
      </c>
      <c r="Q319">
        <v>17</v>
      </c>
    </row>
    <row r="320" spans="1:17" x14ac:dyDescent="0.35">
      <c r="A320" t="s">
        <v>1624</v>
      </c>
      <c r="B320" t="str">
        <f t="shared" si="15"/>
        <v>36-45</v>
      </c>
      <c r="C320">
        <v>39</v>
      </c>
      <c r="D320" t="s">
        <v>26</v>
      </c>
      <c r="E320" t="s">
        <v>117</v>
      </c>
      <c r="F320" t="s">
        <v>28</v>
      </c>
      <c r="G320" s="1">
        <v>43887</v>
      </c>
      <c r="H320" t="s">
        <v>1625</v>
      </c>
      <c r="I320" t="s">
        <v>1626</v>
      </c>
      <c r="J320" t="s">
        <v>31</v>
      </c>
      <c r="K320">
        <v>4327.0071764370896</v>
      </c>
      <c r="L320">
        <v>443</v>
      </c>
      <c r="M320" t="s">
        <v>43</v>
      </c>
      <c r="N320" s="1">
        <v>43897</v>
      </c>
      <c r="O320" t="s">
        <v>23</v>
      </c>
      <c r="P320" t="s">
        <v>45</v>
      </c>
      <c r="Q320">
        <v>10</v>
      </c>
    </row>
    <row r="321" spans="1:17" x14ac:dyDescent="0.35">
      <c r="A321" t="s">
        <v>2803</v>
      </c>
      <c r="B321" t="str">
        <f t="shared" si="15"/>
        <v>18-25</v>
      </c>
      <c r="C321">
        <v>22</v>
      </c>
      <c r="D321" t="s">
        <v>16</v>
      </c>
      <c r="E321" t="s">
        <v>117</v>
      </c>
      <c r="F321" t="s">
        <v>28</v>
      </c>
      <c r="G321" s="1">
        <v>44962</v>
      </c>
      <c r="H321" t="s">
        <v>2804</v>
      </c>
      <c r="I321" t="s">
        <v>2805</v>
      </c>
      <c r="J321" t="s">
        <v>63</v>
      </c>
      <c r="K321">
        <v>11876.3022877529</v>
      </c>
      <c r="L321">
        <v>399</v>
      </c>
      <c r="M321" t="s">
        <v>43</v>
      </c>
      <c r="N321" s="1">
        <v>44968</v>
      </c>
      <c r="O321" t="s">
        <v>87</v>
      </c>
      <c r="P321" t="s">
        <v>45</v>
      </c>
      <c r="Q321">
        <v>6</v>
      </c>
    </row>
    <row r="322" spans="1:17" x14ac:dyDescent="0.35">
      <c r="A322" t="s">
        <v>107</v>
      </c>
      <c r="B322" t="str">
        <f t="shared" si="15"/>
        <v>76-85</v>
      </c>
      <c r="C322">
        <v>79</v>
      </c>
      <c r="D322" t="s">
        <v>26</v>
      </c>
      <c r="E322" t="s">
        <v>17</v>
      </c>
      <c r="F322" t="s">
        <v>28</v>
      </c>
      <c r="G322" s="1">
        <v>44907</v>
      </c>
      <c r="H322" t="s">
        <v>108</v>
      </c>
      <c r="I322" t="s">
        <v>109</v>
      </c>
      <c r="J322" t="s">
        <v>63</v>
      </c>
      <c r="K322">
        <v>42610.704562629297</v>
      </c>
      <c r="L322">
        <v>364</v>
      </c>
      <c r="M322" t="s">
        <v>43</v>
      </c>
      <c r="N322" s="1">
        <v>44921</v>
      </c>
      <c r="O322" t="s">
        <v>44</v>
      </c>
      <c r="P322" t="s">
        <v>45</v>
      </c>
      <c r="Q322">
        <v>14</v>
      </c>
    </row>
    <row r="323" spans="1:17" x14ac:dyDescent="0.35">
      <c r="A323" t="s">
        <v>2083</v>
      </c>
      <c r="B323" t="str">
        <f t="shared" si="15"/>
        <v>56-65</v>
      </c>
      <c r="C323">
        <v>63</v>
      </c>
      <c r="D323" t="s">
        <v>26</v>
      </c>
      <c r="E323" t="s">
        <v>65</v>
      </c>
      <c r="F323" t="s">
        <v>28</v>
      </c>
      <c r="G323" s="1">
        <v>43679</v>
      </c>
      <c r="H323" t="s">
        <v>2084</v>
      </c>
      <c r="I323" t="s">
        <v>2085</v>
      </c>
      <c r="J323" t="s">
        <v>21</v>
      </c>
      <c r="K323">
        <v>34730.2311812142</v>
      </c>
      <c r="L323">
        <v>441</v>
      </c>
      <c r="M323" t="s">
        <v>32</v>
      </c>
      <c r="N323" s="1">
        <v>43702</v>
      </c>
      <c r="O323" t="s">
        <v>87</v>
      </c>
      <c r="P323" t="s">
        <v>24</v>
      </c>
      <c r="Q323">
        <v>23</v>
      </c>
    </row>
    <row r="324" spans="1:17" x14ac:dyDescent="0.35">
      <c r="A324" t="s">
        <v>1352</v>
      </c>
      <c r="B324" t="str">
        <f t="shared" si="15"/>
        <v>26-35</v>
      </c>
      <c r="C324">
        <v>26</v>
      </c>
      <c r="D324" t="s">
        <v>16</v>
      </c>
      <c r="E324" t="s">
        <v>117</v>
      </c>
      <c r="F324" t="s">
        <v>28</v>
      </c>
      <c r="G324" s="1">
        <v>44962</v>
      </c>
      <c r="H324" t="s">
        <v>1353</v>
      </c>
      <c r="I324" t="s">
        <v>1354</v>
      </c>
      <c r="J324" t="s">
        <v>59</v>
      </c>
      <c r="K324">
        <v>4433.9509563254896</v>
      </c>
      <c r="L324">
        <v>445</v>
      </c>
      <c r="M324" t="s">
        <v>32</v>
      </c>
      <c r="N324" s="1">
        <v>44975</v>
      </c>
      <c r="O324" t="s">
        <v>87</v>
      </c>
      <c r="P324" t="s">
        <v>45</v>
      </c>
      <c r="Q324">
        <v>13</v>
      </c>
    </row>
    <row r="325" spans="1:17" x14ac:dyDescent="0.35">
      <c r="A325" t="s">
        <v>649</v>
      </c>
      <c r="B325" t="str">
        <f t="shared" si="15"/>
        <v>76-85</v>
      </c>
      <c r="C325">
        <v>80</v>
      </c>
      <c r="D325" t="s">
        <v>26</v>
      </c>
      <c r="E325" t="s">
        <v>36</v>
      </c>
      <c r="F325" t="s">
        <v>28</v>
      </c>
      <c r="G325" s="1">
        <v>44240</v>
      </c>
      <c r="H325" t="s">
        <v>650</v>
      </c>
      <c r="I325" t="s">
        <v>651</v>
      </c>
      <c r="J325" t="s">
        <v>54</v>
      </c>
      <c r="K325">
        <v>4357.9280469576397</v>
      </c>
      <c r="L325">
        <v>361</v>
      </c>
      <c r="M325" t="s">
        <v>32</v>
      </c>
      <c r="N325" s="1">
        <v>44257</v>
      </c>
      <c r="O325" t="s">
        <v>87</v>
      </c>
      <c r="P325" t="s">
        <v>45</v>
      </c>
      <c r="Q325">
        <v>17</v>
      </c>
    </row>
    <row r="326" spans="1:17" x14ac:dyDescent="0.35">
      <c r="A326" t="s">
        <v>2199</v>
      </c>
      <c r="B326" t="str">
        <f t="shared" si="15"/>
        <v>26-35</v>
      </c>
      <c r="C326">
        <v>31</v>
      </c>
      <c r="D326" t="s">
        <v>16</v>
      </c>
      <c r="E326" t="s">
        <v>27</v>
      </c>
      <c r="F326" t="s">
        <v>28</v>
      </c>
      <c r="G326" s="1">
        <v>43653</v>
      </c>
      <c r="H326" t="s">
        <v>2200</v>
      </c>
      <c r="I326" t="s">
        <v>2201</v>
      </c>
      <c r="J326" t="s">
        <v>63</v>
      </c>
      <c r="K326">
        <v>9976.2357320533902</v>
      </c>
      <c r="L326">
        <v>272</v>
      </c>
      <c r="M326" t="s">
        <v>22</v>
      </c>
      <c r="N326" s="1">
        <v>43669</v>
      </c>
      <c r="O326" t="s">
        <v>33</v>
      </c>
      <c r="P326" t="s">
        <v>34</v>
      </c>
      <c r="Q326">
        <v>16</v>
      </c>
    </row>
    <row r="327" spans="1:17" x14ac:dyDescent="0.35">
      <c r="A327" t="s">
        <v>1544</v>
      </c>
      <c r="B327" t="str">
        <f t="shared" si="15"/>
        <v>56-65</v>
      </c>
      <c r="C327">
        <v>65</v>
      </c>
      <c r="D327" t="s">
        <v>26</v>
      </c>
      <c r="E327" t="s">
        <v>65</v>
      </c>
      <c r="F327" t="s">
        <v>28</v>
      </c>
      <c r="G327" s="1">
        <v>44712</v>
      </c>
      <c r="H327" t="s">
        <v>1545</v>
      </c>
      <c r="I327" t="s">
        <v>1546</v>
      </c>
      <c r="J327" t="s">
        <v>59</v>
      </c>
      <c r="K327">
        <v>7971.3156463714304</v>
      </c>
      <c r="L327">
        <v>227</v>
      </c>
      <c r="M327" t="s">
        <v>22</v>
      </c>
      <c r="N327" s="1">
        <v>44736</v>
      </c>
      <c r="O327" t="s">
        <v>44</v>
      </c>
      <c r="P327" t="s">
        <v>24</v>
      </c>
      <c r="Q327">
        <v>24</v>
      </c>
    </row>
    <row r="328" spans="1:17" x14ac:dyDescent="0.35">
      <c r="A328" t="s">
        <v>171</v>
      </c>
      <c r="B328" t="str">
        <f t="shared" si="15"/>
        <v>46-55</v>
      </c>
      <c r="C328">
        <v>46</v>
      </c>
      <c r="D328" t="s">
        <v>16</v>
      </c>
      <c r="E328" t="s">
        <v>65</v>
      </c>
      <c r="F328" t="s">
        <v>28</v>
      </c>
      <c r="G328" s="1">
        <v>44988</v>
      </c>
      <c r="H328" t="s">
        <v>172</v>
      </c>
      <c r="I328" t="s">
        <v>173</v>
      </c>
      <c r="J328" t="s">
        <v>54</v>
      </c>
      <c r="K328">
        <v>1996.3107212810501</v>
      </c>
      <c r="L328">
        <v>469</v>
      </c>
      <c r="M328" t="s">
        <v>43</v>
      </c>
      <c r="N328" s="1">
        <v>44990</v>
      </c>
      <c r="O328" t="s">
        <v>44</v>
      </c>
      <c r="P328" t="s">
        <v>24</v>
      </c>
      <c r="Q328">
        <v>2</v>
      </c>
    </row>
    <row r="329" spans="1:17" x14ac:dyDescent="0.35">
      <c r="A329" t="s">
        <v>2113</v>
      </c>
      <c r="B329" t="str">
        <f t="shared" si="15"/>
        <v>76-85</v>
      </c>
      <c r="C329">
        <v>84</v>
      </c>
      <c r="D329" t="s">
        <v>16</v>
      </c>
      <c r="E329" t="s">
        <v>27</v>
      </c>
      <c r="F329" t="s">
        <v>28</v>
      </c>
      <c r="G329" s="1">
        <v>44831</v>
      </c>
      <c r="H329" t="s">
        <v>2114</v>
      </c>
      <c r="I329" t="s">
        <v>2115</v>
      </c>
      <c r="J329" t="s">
        <v>63</v>
      </c>
      <c r="K329">
        <v>32934.472752273403</v>
      </c>
      <c r="L329">
        <v>357</v>
      </c>
      <c r="M329" t="s">
        <v>22</v>
      </c>
      <c r="N329" s="1">
        <v>44860</v>
      </c>
      <c r="O329" t="s">
        <v>87</v>
      </c>
      <c r="P329" t="s">
        <v>45</v>
      </c>
      <c r="Q329">
        <v>29</v>
      </c>
    </row>
    <row r="330" spans="1:17" x14ac:dyDescent="0.35">
      <c r="A330" t="s">
        <v>2738</v>
      </c>
      <c r="B330" t="str">
        <f t="shared" si="15"/>
        <v>56-65</v>
      </c>
      <c r="C330">
        <v>64</v>
      </c>
      <c r="D330" t="s">
        <v>16</v>
      </c>
      <c r="E330" t="s">
        <v>51</v>
      </c>
      <c r="F330" t="s">
        <v>28</v>
      </c>
      <c r="G330" s="1">
        <v>43405</v>
      </c>
      <c r="H330" t="s">
        <v>2739</v>
      </c>
      <c r="I330" t="s">
        <v>2740</v>
      </c>
      <c r="J330" t="s">
        <v>21</v>
      </c>
      <c r="K330">
        <v>29563.971418990299</v>
      </c>
      <c r="L330">
        <v>232</v>
      </c>
      <c r="M330" t="s">
        <v>43</v>
      </c>
      <c r="N330" s="1">
        <v>43409</v>
      </c>
      <c r="O330" t="s">
        <v>33</v>
      </c>
      <c r="P330" t="s">
        <v>34</v>
      </c>
      <c r="Q330">
        <v>4</v>
      </c>
    </row>
    <row r="331" spans="1:17" x14ac:dyDescent="0.35">
      <c r="A331" t="s">
        <v>1729</v>
      </c>
      <c r="B331" t="str">
        <f t="shared" si="15"/>
        <v>36-45</v>
      </c>
      <c r="C331">
        <v>39</v>
      </c>
      <c r="D331" t="s">
        <v>16</v>
      </c>
      <c r="E331" t="s">
        <v>17</v>
      </c>
      <c r="F331" t="s">
        <v>28</v>
      </c>
      <c r="G331" s="1">
        <v>44329</v>
      </c>
      <c r="H331" t="s">
        <v>1730</v>
      </c>
      <c r="I331" t="s">
        <v>1731</v>
      </c>
      <c r="J331" t="s">
        <v>21</v>
      </c>
      <c r="K331">
        <v>35921.2499751328</v>
      </c>
      <c r="L331">
        <v>312</v>
      </c>
      <c r="M331" t="s">
        <v>22</v>
      </c>
      <c r="N331" s="1">
        <v>44336</v>
      </c>
      <c r="O331" t="s">
        <v>44</v>
      </c>
      <c r="P331" t="s">
        <v>34</v>
      </c>
      <c r="Q331">
        <v>7</v>
      </c>
    </row>
    <row r="332" spans="1:17" x14ac:dyDescent="0.35">
      <c r="A332" t="s">
        <v>676</v>
      </c>
      <c r="B332" t="str">
        <f t="shared" si="15"/>
        <v>56-65</v>
      </c>
      <c r="C332">
        <v>60</v>
      </c>
      <c r="D332" t="s">
        <v>26</v>
      </c>
      <c r="E332" t="s">
        <v>65</v>
      </c>
      <c r="F332" t="s">
        <v>28</v>
      </c>
      <c r="G332" s="1">
        <v>44340</v>
      </c>
      <c r="H332" t="s">
        <v>677</v>
      </c>
      <c r="I332" t="s">
        <v>678</v>
      </c>
      <c r="J332" t="s">
        <v>21</v>
      </c>
      <c r="K332">
        <v>19286.4818152915</v>
      </c>
      <c r="L332">
        <v>456</v>
      </c>
      <c r="M332" t="s">
        <v>22</v>
      </c>
      <c r="N332" s="1">
        <v>44368</v>
      </c>
      <c r="O332" t="s">
        <v>87</v>
      </c>
      <c r="P332" t="s">
        <v>34</v>
      </c>
      <c r="Q332">
        <v>28</v>
      </c>
    </row>
    <row r="333" spans="1:17" x14ac:dyDescent="0.35">
      <c r="A333" t="s">
        <v>941</v>
      </c>
      <c r="B333" t="str">
        <f t="shared" si="15"/>
        <v>18-25</v>
      </c>
      <c r="C333">
        <v>22</v>
      </c>
      <c r="D333" t="s">
        <v>26</v>
      </c>
      <c r="E333" t="s">
        <v>117</v>
      </c>
      <c r="F333" t="s">
        <v>28</v>
      </c>
      <c r="G333" s="1">
        <v>44471</v>
      </c>
      <c r="H333" t="s">
        <v>942</v>
      </c>
      <c r="I333" t="s">
        <v>282</v>
      </c>
      <c r="J333" t="s">
        <v>63</v>
      </c>
      <c r="K333">
        <v>8487.4387121098098</v>
      </c>
      <c r="L333">
        <v>497</v>
      </c>
      <c r="M333" t="s">
        <v>22</v>
      </c>
      <c r="N333" s="1">
        <v>44484</v>
      </c>
      <c r="O333" t="s">
        <v>87</v>
      </c>
      <c r="P333" t="s">
        <v>24</v>
      </c>
      <c r="Q333">
        <v>13</v>
      </c>
    </row>
    <row r="334" spans="1:17" x14ac:dyDescent="0.35">
      <c r="A334" t="s">
        <v>2441</v>
      </c>
      <c r="B334" t="str">
        <f t="shared" si="15"/>
        <v>66-75</v>
      </c>
      <c r="C334">
        <v>68</v>
      </c>
      <c r="D334" t="s">
        <v>16</v>
      </c>
      <c r="E334" t="s">
        <v>36</v>
      </c>
      <c r="F334" t="s">
        <v>28</v>
      </c>
      <c r="G334" s="1">
        <v>43892</v>
      </c>
      <c r="H334" t="s">
        <v>2442</v>
      </c>
      <c r="I334" t="s">
        <v>2443</v>
      </c>
      <c r="J334" t="s">
        <v>63</v>
      </c>
      <c r="K334">
        <v>16887.3025338394</v>
      </c>
      <c r="L334">
        <v>340</v>
      </c>
      <c r="M334" t="s">
        <v>43</v>
      </c>
      <c r="N334" s="1">
        <v>43910</v>
      </c>
      <c r="O334" t="s">
        <v>44</v>
      </c>
      <c r="P334" t="s">
        <v>24</v>
      </c>
      <c r="Q334">
        <v>18</v>
      </c>
    </row>
    <row r="335" spans="1:17" x14ac:dyDescent="0.35">
      <c r="A335" t="s">
        <v>2145</v>
      </c>
      <c r="B335" t="str">
        <f t="shared" si="15"/>
        <v>18-25</v>
      </c>
      <c r="C335">
        <v>24</v>
      </c>
      <c r="D335" t="s">
        <v>26</v>
      </c>
      <c r="E335" t="s">
        <v>92</v>
      </c>
      <c r="F335" t="s">
        <v>28</v>
      </c>
      <c r="G335" s="1">
        <v>44868</v>
      </c>
      <c r="H335" t="s">
        <v>2146</v>
      </c>
      <c r="I335" t="s">
        <v>2147</v>
      </c>
      <c r="J335" t="s">
        <v>63</v>
      </c>
      <c r="K335">
        <v>19760.568704282799</v>
      </c>
      <c r="L335">
        <v>347</v>
      </c>
      <c r="M335" t="s">
        <v>22</v>
      </c>
      <c r="N335" s="1">
        <v>44874</v>
      </c>
      <c r="O335" t="s">
        <v>23</v>
      </c>
      <c r="P335" t="s">
        <v>45</v>
      </c>
      <c r="Q335">
        <v>6</v>
      </c>
    </row>
    <row r="336" spans="1:17" x14ac:dyDescent="0.35">
      <c r="A336" t="s">
        <v>551</v>
      </c>
      <c r="B336" t="str">
        <f t="shared" si="15"/>
        <v>26-35</v>
      </c>
      <c r="C336">
        <v>34</v>
      </c>
      <c r="D336" t="s">
        <v>16</v>
      </c>
      <c r="E336" t="s">
        <v>51</v>
      </c>
      <c r="F336" t="s">
        <v>28</v>
      </c>
      <c r="G336" s="1">
        <v>43457</v>
      </c>
      <c r="H336" t="s">
        <v>552</v>
      </c>
      <c r="I336" t="s">
        <v>553</v>
      </c>
      <c r="J336" t="s">
        <v>59</v>
      </c>
      <c r="K336">
        <v>45391.284642001199</v>
      </c>
      <c r="L336">
        <v>398</v>
      </c>
      <c r="M336" t="s">
        <v>43</v>
      </c>
      <c r="N336" s="1">
        <v>43478</v>
      </c>
      <c r="O336" t="s">
        <v>33</v>
      </c>
      <c r="P336" t="s">
        <v>34</v>
      </c>
      <c r="Q336">
        <v>21</v>
      </c>
    </row>
    <row r="337" spans="1:17" x14ac:dyDescent="0.35">
      <c r="A337" t="s">
        <v>2060</v>
      </c>
      <c r="B337" t="str">
        <f t="shared" si="15"/>
        <v>36-45</v>
      </c>
      <c r="C337">
        <v>39</v>
      </c>
      <c r="D337" t="s">
        <v>16</v>
      </c>
      <c r="E337" t="s">
        <v>17</v>
      </c>
      <c r="F337" t="s">
        <v>72</v>
      </c>
      <c r="G337" s="1">
        <v>44107</v>
      </c>
      <c r="H337" t="s">
        <v>2061</v>
      </c>
      <c r="I337" t="s">
        <v>2062</v>
      </c>
      <c r="J337" t="s">
        <v>63</v>
      </c>
      <c r="K337">
        <v>23327.642713751</v>
      </c>
      <c r="L337">
        <v>121</v>
      </c>
      <c r="M337" t="s">
        <v>32</v>
      </c>
      <c r="N337" s="1">
        <v>44122</v>
      </c>
      <c r="O337" t="s">
        <v>23</v>
      </c>
      <c r="P337" t="s">
        <v>34</v>
      </c>
      <c r="Q337">
        <v>15</v>
      </c>
    </row>
    <row r="338" spans="1:17" x14ac:dyDescent="0.35">
      <c r="A338" t="s">
        <v>1853</v>
      </c>
      <c r="B338" t="str">
        <f t="shared" si="15"/>
        <v>18-25</v>
      </c>
      <c r="C338">
        <v>18</v>
      </c>
      <c r="D338" t="s">
        <v>26</v>
      </c>
      <c r="E338" t="s">
        <v>17</v>
      </c>
      <c r="F338" t="s">
        <v>72</v>
      </c>
      <c r="G338" s="1">
        <v>43424</v>
      </c>
      <c r="H338" t="s">
        <v>1854</v>
      </c>
      <c r="I338" t="s">
        <v>1855</v>
      </c>
      <c r="J338" t="s">
        <v>59</v>
      </c>
      <c r="K338">
        <v>22964.5130258465</v>
      </c>
      <c r="L338">
        <v>142</v>
      </c>
      <c r="M338" t="s">
        <v>43</v>
      </c>
      <c r="N338" s="1">
        <v>43441</v>
      </c>
      <c r="O338" t="s">
        <v>50</v>
      </c>
      <c r="P338" t="s">
        <v>34</v>
      </c>
      <c r="Q338">
        <v>17</v>
      </c>
    </row>
    <row r="339" spans="1:17" x14ac:dyDescent="0.35">
      <c r="A339" t="s">
        <v>1980</v>
      </c>
      <c r="B339" t="str">
        <f t="shared" si="15"/>
        <v>46-55</v>
      </c>
      <c r="C339">
        <v>50</v>
      </c>
      <c r="D339" t="s">
        <v>16</v>
      </c>
      <c r="E339" t="s">
        <v>117</v>
      </c>
      <c r="F339" t="s">
        <v>72</v>
      </c>
      <c r="G339" s="1">
        <v>43439</v>
      </c>
      <c r="H339" t="s">
        <v>1981</v>
      </c>
      <c r="I339" t="s">
        <v>1982</v>
      </c>
      <c r="J339" t="s">
        <v>63</v>
      </c>
      <c r="K339">
        <v>3240.3099231891301</v>
      </c>
      <c r="L339">
        <v>310</v>
      </c>
      <c r="M339" t="s">
        <v>43</v>
      </c>
      <c r="N339" s="1">
        <v>43446</v>
      </c>
      <c r="O339" t="s">
        <v>44</v>
      </c>
      <c r="P339" t="s">
        <v>24</v>
      </c>
      <c r="Q339">
        <v>7</v>
      </c>
    </row>
    <row r="340" spans="1:17" x14ac:dyDescent="0.35">
      <c r="A340" t="s">
        <v>301</v>
      </c>
      <c r="B340" t="str">
        <f t="shared" ref="B340:B403" si="16">VLOOKUP(C340,$T$3:$U$9,2,TRUE)</f>
        <v>26-35</v>
      </c>
      <c r="C340">
        <v>35</v>
      </c>
      <c r="D340" t="s">
        <v>26</v>
      </c>
      <c r="E340" t="s">
        <v>65</v>
      </c>
      <c r="F340" t="s">
        <v>72</v>
      </c>
      <c r="G340" s="1">
        <v>43646</v>
      </c>
      <c r="H340" t="s">
        <v>302</v>
      </c>
      <c r="I340" t="s">
        <v>282</v>
      </c>
      <c r="J340" t="s">
        <v>54</v>
      </c>
      <c r="K340">
        <v>47452.4418761653</v>
      </c>
      <c r="L340">
        <v>141</v>
      </c>
      <c r="M340" t="s">
        <v>43</v>
      </c>
      <c r="N340" s="1">
        <v>43666</v>
      </c>
      <c r="O340" t="s">
        <v>33</v>
      </c>
      <c r="P340" t="s">
        <v>45</v>
      </c>
      <c r="Q340">
        <v>20</v>
      </c>
    </row>
    <row r="341" spans="1:17" x14ac:dyDescent="0.35">
      <c r="A341" t="s">
        <v>1098</v>
      </c>
      <c r="B341" t="str">
        <f t="shared" si="16"/>
        <v>18-25</v>
      </c>
      <c r="C341">
        <v>19</v>
      </c>
      <c r="D341" t="s">
        <v>26</v>
      </c>
      <c r="E341" t="s">
        <v>17</v>
      </c>
      <c r="F341" t="s">
        <v>72</v>
      </c>
      <c r="G341" s="1">
        <v>43498</v>
      </c>
      <c r="H341" t="s">
        <v>1099</v>
      </c>
      <c r="I341" t="s">
        <v>1100</v>
      </c>
      <c r="J341" t="s">
        <v>63</v>
      </c>
      <c r="K341">
        <v>36439.078449532302</v>
      </c>
      <c r="L341">
        <v>303</v>
      </c>
      <c r="M341" t="s">
        <v>32</v>
      </c>
      <c r="N341" s="1">
        <v>43501</v>
      </c>
      <c r="O341" t="s">
        <v>33</v>
      </c>
      <c r="P341" t="s">
        <v>45</v>
      </c>
      <c r="Q341">
        <v>3</v>
      </c>
    </row>
    <row r="342" spans="1:17" x14ac:dyDescent="0.35">
      <c r="A342" t="s">
        <v>685</v>
      </c>
      <c r="B342" t="str">
        <f t="shared" si="16"/>
        <v>36-45</v>
      </c>
      <c r="C342">
        <v>42</v>
      </c>
      <c r="D342" t="s">
        <v>16</v>
      </c>
      <c r="E342" t="s">
        <v>27</v>
      </c>
      <c r="F342" t="s">
        <v>72</v>
      </c>
      <c r="G342" s="1">
        <v>44010</v>
      </c>
      <c r="H342" t="s">
        <v>686</v>
      </c>
      <c r="I342" t="s">
        <v>687</v>
      </c>
      <c r="J342" t="s">
        <v>21</v>
      </c>
      <c r="K342">
        <v>33771.617147745201</v>
      </c>
      <c r="L342">
        <v>292</v>
      </c>
      <c r="M342" t="s">
        <v>22</v>
      </c>
      <c r="N342" s="1">
        <v>44035</v>
      </c>
      <c r="O342" t="s">
        <v>44</v>
      </c>
      <c r="P342" t="s">
        <v>34</v>
      </c>
      <c r="Q342">
        <v>25</v>
      </c>
    </row>
    <row r="343" spans="1:17" x14ac:dyDescent="0.35">
      <c r="A343" t="s">
        <v>2395</v>
      </c>
      <c r="B343" t="str">
        <f t="shared" si="16"/>
        <v>76-85</v>
      </c>
      <c r="C343">
        <v>79</v>
      </c>
      <c r="D343" t="s">
        <v>16</v>
      </c>
      <c r="E343" t="s">
        <v>232</v>
      </c>
      <c r="F343" t="s">
        <v>72</v>
      </c>
      <c r="G343" s="1">
        <v>43466</v>
      </c>
      <c r="H343" t="s">
        <v>2396</v>
      </c>
      <c r="I343" t="s">
        <v>2397</v>
      </c>
      <c r="J343" t="s">
        <v>59</v>
      </c>
      <c r="K343">
        <v>8476.7408719127907</v>
      </c>
      <c r="L343">
        <v>262</v>
      </c>
      <c r="M343" t="s">
        <v>43</v>
      </c>
      <c r="N343" s="1">
        <v>43489</v>
      </c>
      <c r="O343" t="s">
        <v>23</v>
      </c>
      <c r="P343" t="s">
        <v>34</v>
      </c>
      <c r="Q343">
        <v>23</v>
      </c>
    </row>
    <row r="344" spans="1:17" x14ac:dyDescent="0.35">
      <c r="A344" t="s">
        <v>1940</v>
      </c>
      <c r="B344" t="str">
        <f t="shared" si="16"/>
        <v>76-85</v>
      </c>
      <c r="C344">
        <v>77</v>
      </c>
      <c r="D344" t="s">
        <v>16</v>
      </c>
      <c r="E344" t="s">
        <v>17</v>
      </c>
      <c r="F344" t="s">
        <v>72</v>
      </c>
      <c r="G344" s="1">
        <v>44619</v>
      </c>
      <c r="H344" t="s">
        <v>1941</v>
      </c>
      <c r="I344" t="s">
        <v>1942</v>
      </c>
      <c r="J344" t="s">
        <v>59</v>
      </c>
      <c r="K344">
        <v>39008.290881766799</v>
      </c>
      <c r="L344">
        <v>231</v>
      </c>
      <c r="M344" t="s">
        <v>32</v>
      </c>
      <c r="N344" s="1">
        <v>44643</v>
      </c>
      <c r="O344" t="s">
        <v>87</v>
      </c>
      <c r="P344" t="s">
        <v>45</v>
      </c>
      <c r="Q344">
        <v>24</v>
      </c>
    </row>
    <row r="345" spans="1:17" x14ac:dyDescent="0.35">
      <c r="A345" t="s">
        <v>71</v>
      </c>
      <c r="B345" t="str">
        <f t="shared" si="16"/>
        <v>36-45</v>
      </c>
      <c r="C345">
        <v>45</v>
      </c>
      <c r="D345" t="s">
        <v>26</v>
      </c>
      <c r="E345" t="s">
        <v>36</v>
      </c>
      <c r="F345" t="s">
        <v>72</v>
      </c>
      <c r="G345" s="1">
        <v>44299</v>
      </c>
      <c r="H345" t="s">
        <v>73</v>
      </c>
      <c r="I345" t="s">
        <v>74</v>
      </c>
      <c r="J345" t="s">
        <v>54</v>
      </c>
      <c r="K345">
        <v>40325.071393983002</v>
      </c>
      <c r="L345">
        <v>306</v>
      </c>
      <c r="M345" t="s">
        <v>32</v>
      </c>
      <c r="N345" s="1">
        <v>44327</v>
      </c>
      <c r="O345" t="s">
        <v>44</v>
      </c>
      <c r="P345" t="s">
        <v>45</v>
      </c>
      <c r="Q345">
        <v>28</v>
      </c>
    </row>
    <row r="346" spans="1:17" x14ac:dyDescent="0.35">
      <c r="A346" t="s">
        <v>664</v>
      </c>
      <c r="B346" t="str">
        <f t="shared" si="16"/>
        <v>36-45</v>
      </c>
      <c r="C346">
        <v>37</v>
      </c>
      <c r="D346" t="s">
        <v>26</v>
      </c>
      <c r="E346" t="s">
        <v>51</v>
      </c>
      <c r="F346" t="s">
        <v>72</v>
      </c>
      <c r="G346" s="1">
        <v>44283</v>
      </c>
      <c r="H346" t="s">
        <v>665</v>
      </c>
      <c r="I346" t="s">
        <v>666</v>
      </c>
      <c r="J346" t="s">
        <v>21</v>
      </c>
      <c r="K346">
        <v>25146.9666533932</v>
      </c>
      <c r="L346">
        <v>148</v>
      </c>
      <c r="M346" t="s">
        <v>32</v>
      </c>
      <c r="N346" s="1">
        <v>44290</v>
      </c>
      <c r="O346" t="s">
        <v>33</v>
      </c>
      <c r="P346" t="s">
        <v>34</v>
      </c>
      <c r="Q346">
        <v>7</v>
      </c>
    </row>
    <row r="347" spans="1:17" x14ac:dyDescent="0.35">
      <c r="A347" t="s">
        <v>975</v>
      </c>
      <c r="B347" t="str">
        <f t="shared" si="16"/>
        <v>18-25</v>
      </c>
      <c r="C347">
        <v>23</v>
      </c>
      <c r="D347" t="s">
        <v>26</v>
      </c>
      <c r="E347" t="s">
        <v>232</v>
      </c>
      <c r="F347" t="s">
        <v>72</v>
      </c>
      <c r="G347" s="1">
        <v>43719</v>
      </c>
      <c r="H347" t="s">
        <v>976</v>
      </c>
      <c r="I347" t="s">
        <v>977</v>
      </c>
      <c r="J347" t="s">
        <v>63</v>
      </c>
      <c r="K347">
        <v>31600.772077491099</v>
      </c>
      <c r="L347">
        <v>237</v>
      </c>
      <c r="M347" t="s">
        <v>32</v>
      </c>
      <c r="N347" s="1">
        <v>43729</v>
      </c>
      <c r="O347" t="s">
        <v>33</v>
      </c>
      <c r="P347" t="s">
        <v>34</v>
      </c>
      <c r="Q347">
        <v>10</v>
      </c>
    </row>
    <row r="348" spans="1:17" x14ac:dyDescent="0.35">
      <c r="A348" t="s">
        <v>2078</v>
      </c>
      <c r="B348" t="str">
        <f t="shared" si="16"/>
        <v>76-85</v>
      </c>
      <c r="C348">
        <v>81</v>
      </c>
      <c r="D348" t="s">
        <v>26</v>
      </c>
      <c r="E348" t="s">
        <v>27</v>
      </c>
      <c r="F348" t="s">
        <v>72</v>
      </c>
      <c r="G348" s="1">
        <v>45008</v>
      </c>
      <c r="H348" t="s">
        <v>2079</v>
      </c>
      <c r="I348" t="s">
        <v>2080</v>
      </c>
      <c r="J348" t="s">
        <v>59</v>
      </c>
      <c r="K348">
        <v>28751.332434017</v>
      </c>
      <c r="L348">
        <v>326</v>
      </c>
      <c r="M348" t="s">
        <v>32</v>
      </c>
      <c r="N348" s="1">
        <v>45034</v>
      </c>
      <c r="O348" t="s">
        <v>87</v>
      </c>
      <c r="P348" t="s">
        <v>34</v>
      </c>
      <c r="Q348">
        <v>26</v>
      </c>
    </row>
    <row r="349" spans="1:17" x14ac:dyDescent="0.35">
      <c r="A349" t="s">
        <v>2718</v>
      </c>
      <c r="B349" t="str">
        <f t="shared" si="16"/>
        <v>56-65</v>
      </c>
      <c r="C349">
        <v>62</v>
      </c>
      <c r="D349" t="s">
        <v>26</v>
      </c>
      <c r="E349" t="s">
        <v>36</v>
      </c>
      <c r="F349" t="s">
        <v>72</v>
      </c>
      <c r="G349" s="1">
        <v>43829</v>
      </c>
      <c r="H349" t="s">
        <v>2719</v>
      </c>
      <c r="I349" t="s">
        <v>2720</v>
      </c>
      <c r="J349" t="s">
        <v>63</v>
      </c>
      <c r="K349">
        <v>33571.516571357999</v>
      </c>
      <c r="L349">
        <v>178</v>
      </c>
      <c r="M349" t="s">
        <v>43</v>
      </c>
      <c r="N349" s="1">
        <v>43837</v>
      </c>
      <c r="O349" t="s">
        <v>33</v>
      </c>
      <c r="P349" t="s">
        <v>24</v>
      </c>
      <c r="Q349">
        <v>8</v>
      </c>
    </row>
    <row r="350" spans="1:17" x14ac:dyDescent="0.35">
      <c r="A350" t="s">
        <v>2854</v>
      </c>
      <c r="B350" t="str">
        <f t="shared" si="16"/>
        <v>18-25</v>
      </c>
      <c r="C350">
        <v>20</v>
      </c>
      <c r="D350" t="s">
        <v>16</v>
      </c>
      <c r="E350" t="s">
        <v>65</v>
      </c>
      <c r="F350" t="s">
        <v>72</v>
      </c>
      <c r="G350" s="1">
        <v>44356</v>
      </c>
      <c r="H350" t="s">
        <v>2855</v>
      </c>
      <c r="I350" t="s">
        <v>2856</v>
      </c>
      <c r="J350" t="s">
        <v>31</v>
      </c>
      <c r="K350">
        <v>30217.251132772199</v>
      </c>
      <c r="L350">
        <v>295</v>
      </c>
      <c r="M350" t="s">
        <v>32</v>
      </c>
      <c r="N350" s="1">
        <v>44375</v>
      </c>
      <c r="O350" t="s">
        <v>50</v>
      </c>
      <c r="P350" t="s">
        <v>34</v>
      </c>
      <c r="Q350">
        <v>19</v>
      </c>
    </row>
    <row r="351" spans="1:17" x14ac:dyDescent="0.35">
      <c r="A351" t="s">
        <v>1107</v>
      </c>
      <c r="B351" t="str">
        <f t="shared" si="16"/>
        <v>56-65</v>
      </c>
      <c r="C351">
        <v>59</v>
      </c>
      <c r="D351" t="s">
        <v>16</v>
      </c>
      <c r="E351" t="s">
        <v>51</v>
      </c>
      <c r="F351" t="s">
        <v>72</v>
      </c>
      <c r="G351" s="1">
        <v>44766</v>
      </c>
      <c r="H351" t="s">
        <v>1108</v>
      </c>
      <c r="I351" t="s">
        <v>1109</v>
      </c>
      <c r="J351" t="s">
        <v>59</v>
      </c>
      <c r="K351">
        <v>5061.5932847128397</v>
      </c>
      <c r="L351">
        <v>249</v>
      </c>
      <c r="M351" t="s">
        <v>32</v>
      </c>
      <c r="N351" s="1">
        <v>44770</v>
      </c>
      <c r="O351" t="s">
        <v>87</v>
      </c>
      <c r="P351" t="s">
        <v>34</v>
      </c>
      <c r="Q351">
        <v>4</v>
      </c>
    </row>
    <row r="352" spans="1:17" x14ac:dyDescent="0.35">
      <c r="A352" t="s">
        <v>1011</v>
      </c>
      <c r="B352" t="str">
        <f t="shared" si="16"/>
        <v>46-55</v>
      </c>
      <c r="C352">
        <v>55</v>
      </c>
      <c r="D352" t="s">
        <v>26</v>
      </c>
      <c r="E352" t="s">
        <v>117</v>
      </c>
      <c r="F352" t="s">
        <v>72</v>
      </c>
      <c r="G352" s="1">
        <v>44093</v>
      </c>
      <c r="H352" t="s">
        <v>1012</v>
      </c>
      <c r="I352" t="s">
        <v>1013</v>
      </c>
      <c r="J352" t="s">
        <v>63</v>
      </c>
      <c r="K352">
        <v>26442.3587502392</v>
      </c>
      <c r="L352">
        <v>442</v>
      </c>
      <c r="M352" t="s">
        <v>32</v>
      </c>
      <c r="N352" s="1">
        <v>44122</v>
      </c>
      <c r="O352" t="s">
        <v>33</v>
      </c>
      <c r="P352" t="s">
        <v>45</v>
      </c>
      <c r="Q352">
        <v>29</v>
      </c>
    </row>
    <row r="353" spans="1:17" x14ac:dyDescent="0.35">
      <c r="A353" t="s">
        <v>1235</v>
      </c>
      <c r="B353" t="str">
        <f t="shared" si="16"/>
        <v>56-65</v>
      </c>
      <c r="C353">
        <v>57</v>
      </c>
      <c r="D353" t="s">
        <v>26</v>
      </c>
      <c r="E353" t="s">
        <v>36</v>
      </c>
      <c r="F353" t="s">
        <v>72</v>
      </c>
      <c r="G353" s="1">
        <v>43839</v>
      </c>
      <c r="H353" t="s">
        <v>1236</v>
      </c>
      <c r="I353" t="s">
        <v>1237</v>
      </c>
      <c r="J353" t="s">
        <v>31</v>
      </c>
      <c r="K353">
        <v>6098.4602764132096</v>
      </c>
      <c r="L353">
        <v>372</v>
      </c>
      <c r="M353" t="s">
        <v>43</v>
      </c>
      <c r="N353" s="1">
        <v>43847</v>
      </c>
      <c r="O353" t="s">
        <v>33</v>
      </c>
      <c r="P353" t="s">
        <v>34</v>
      </c>
      <c r="Q353">
        <v>8</v>
      </c>
    </row>
    <row r="354" spans="1:17" x14ac:dyDescent="0.35">
      <c r="A354" t="s">
        <v>1101</v>
      </c>
      <c r="B354" t="str">
        <f t="shared" si="16"/>
        <v>56-65</v>
      </c>
      <c r="C354">
        <v>57</v>
      </c>
      <c r="D354" t="s">
        <v>16</v>
      </c>
      <c r="E354" t="s">
        <v>51</v>
      </c>
      <c r="F354" t="s">
        <v>72</v>
      </c>
      <c r="G354" s="1">
        <v>45065</v>
      </c>
      <c r="H354" t="s">
        <v>1102</v>
      </c>
      <c r="I354" t="s">
        <v>1103</v>
      </c>
      <c r="J354" t="s">
        <v>54</v>
      </c>
      <c r="K354">
        <v>46161.707930600001</v>
      </c>
      <c r="L354">
        <v>278</v>
      </c>
      <c r="M354" t="s">
        <v>22</v>
      </c>
      <c r="N354" s="1">
        <v>45090</v>
      </c>
      <c r="O354" t="s">
        <v>44</v>
      </c>
      <c r="P354" t="s">
        <v>45</v>
      </c>
      <c r="Q354">
        <v>25</v>
      </c>
    </row>
    <row r="355" spans="1:17" x14ac:dyDescent="0.35">
      <c r="A355" t="s">
        <v>736</v>
      </c>
      <c r="B355" t="str">
        <f t="shared" si="16"/>
        <v>56-65</v>
      </c>
      <c r="C355">
        <v>61</v>
      </c>
      <c r="D355" t="s">
        <v>16</v>
      </c>
      <c r="E355" t="s">
        <v>92</v>
      </c>
      <c r="F355" t="s">
        <v>72</v>
      </c>
      <c r="G355" s="1">
        <v>43833</v>
      </c>
      <c r="H355" t="s">
        <v>737</v>
      </c>
      <c r="I355" t="s">
        <v>738</v>
      </c>
      <c r="J355" t="s">
        <v>63</v>
      </c>
      <c r="K355">
        <v>45434.409732783599</v>
      </c>
      <c r="L355">
        <v>230</v>
      </c>
      <c r="M355" t="s">
        <v>43</v>
      </c>
      <c r="N355" s="1">
        <v>43860</v>
      </c>
      <c r="O355" t="s">
        <v>33</v>
      </c>
      <c r="P355" t="s">
        <v>45</v>
      </c>
      <c r="Q355">
        <v>27</v>
      </c>
    </row>
    <row r="356" spans="1:17" x14ac:dyDescent="0.35">
      <c r="A356" t="s">
        <v>1387</v>
      </c>
      <c r="B356" t="str">
        <f t="shared" si="16"/>
        <v>26-35</v>
      </c>
      <c r="C356">
        <v>33</v>
      </c>
      <c r="D356" t="s">
        <v>26</v>
      </c>
      <c r="E356" t="s">
        <v>17</v>
      </c>
      <c r="F356" t="s">
        <v>72</v>
      </c>
      <c r="G356" s="1">
        <v>45223</v>
      </c>
      <c r="H356" t="s">
        <v>1388</v>
      </c>
      <c r="I356" t="s">
        <v>1389</v>
      </c>
      <c r="J356" t="s">
        <v>31</v>
      </c>
      <c r="K356">
        <v>41787.188127198096</v>
      </c>
      <c r="L356">
        <v>474</v>
      </c>
      <c r="M356" t="s">
        <v>43</v>
      </c>
      <c r="N356" s="1">
        <v>45226</v>
      </c>
      <c r="O356" t="s">
        <v>23</v>
      </c>
      <c r="P356" t="s">
        <v>45</v>
      </c>
      <c r="Q356">
        <v>3</v>
      </c>
    </row>
    <row r="357" spans="1:17" x14ac:dyDescent="0.35">
      <c r="A357" t="s">
        <v>2792</v>
      </c>
      <c r="B357" t="str">
        <f t="shared" si="16"/>
        <v>36-45</v>
      </c>
      <c r="C357">
        <v>44</v>
      </c>
      <c r="D357" t="s">
        <v>26</v>
      </c>
      <c r="E357" t="s">
        <v>17</v>
      </c>
      <c r="F357" t="s">
        <v>72</v>
      </c>
      <c r="G357" s="1">
        <v>43722</v>
      </c>
      <c r="H357" t="s">
        <v>2793</v>
      </c>
      <c r="I357" t="s">
        <v>2794</v>
      </c>
      <c r="J357" t="s">
        <v>31</v>
      </c>
      <c r="K357">
        <v>46304.035954818697</v>
      </c>
      <c r="L357">
        <v>230</v>
      </c>
      <c r="M357" t="s">
        <v>22</v>
      </c>
      <c r="N357" s="1">
        <v>43733</v>
      </c>
      <c r="O357" t="s">
        <v>44</v>
      </c>
      <c r="P357" t="s">
        <v>34</v>
      </c>
      <c r="Q357">
        <v>11</v>
      </c>
    </row>
    <row r="358" spans="1:17" x14ac:dyDescent="0.35">
      <c r="A358" t="s">
        <v>1188</v>
      </c>
      <c r="B358" t="str">
        <f t="shared" si="16"/>
        <v>76-85</v>
      </c>
      <c r="C358">
        <v>78</v>
      </c>
      <c r="D358" t="s">
        <v>26</v>
      </c>
      <c r="E358" t="s">
        <v>232</v>
      </c>
      <c r="F358" t="s">
        <v>72</v>
      </c>
      <c r="G358" s="1">
        <v>44323</v>
      </c>
      <c r="H358" t="s">
        <v>1189</v>
      </c>
      <c r="I358" t="s">
        <v>1190</v>
      </c>
      <c r="J358" t="s">
        <v>59</v>
      </c>
      <c r="K358">
        <v>29272.274469788201</v>
      </c>
      <c r="L358">
        <v>153</v>
      </c>
      <c r="M358" t="s">
        <v>32</v>
      </c>
      <c r="N358" s="1">
        <v>44335</v>
      </c>
      <c r="O358" t="s">
        <v>44</v>
      </c>
      <c r="P358" t="s">
        <v>24</v>
      </c>
      <c r="Q358">
        <v>12</v>
      </c>
    </row>
    <row r="359" spans="1:17" x14ac:dyDescent="0.35">
      <c r="A359" t="s">
        <v>1934</v>
      </c>
      <c r="B359" t="str">
        <f t="shared" si="16"/>
        <v>66-75</v>
      </c>
      <c r="C359">
        <v>68</v>
      </c>
      <c r="D359" t="s">
        <v>26</v>
      </c>
      <c r="E359" t="s">
        <v>92</v>
      </c>
      <c r="F359" t="s">
        <v>72</v>
      </c>
      <c r="G359" s="1">
        <v>45014</v>
      </c>
      <c r="H359" t="s">
        <v>1935</v>
      </c>
      <c r="I359" t="s">
        <v>1936</v>
      </c>
      <c r="J359" t="s">
        <v>21</v>
      </c>
      <c r="K359">
        <v>46231.7325101553</v>
      </c>
      <c r="L359">
        <v>153</v>
      </c>
      <c r="M359" t="s">
        <v>32</v>
      </c>
      <c r="N359" s="1">
        <v>45042</v>
      </c>
      <c r="O359" t="s">
        <v>50</v>
      </c>
      <c r="P359" t="s">
        <v>34</v>
      </c>
      <c r="Q359">
        <v>28</v>
      </c>
    </row>
    <row r="360" spans="1:17" x14ac:dyDescent="0.35">
      <c r="A360" t="s">
        <v>339</v>
      </c>
      <c r="B360" t="str">
        <f t="shared" si="16"/>
        <v>18-25</v>
      </c>
      <c r="C360">
        <v>20</v>
      </c>
      <c r="D360" t="s">
        <v>26</v>
      </c>
      <c r="E360" t="s">
        <v>232</v>
      </c>
      <c r="F360" t="s">
        <v>72</v>
      </c>
      <c r="G360" s="1">
        <v>45110</v>
      </c>
      <c r="H360" t="s">
        <v>340</v>
      </c>
      <c r="I360" t="s">
        <v>341</v>
      </c>
      <c r="J360" t="s">
        <v>63</v>
      </c>
      <c r="K360">
        <v>33776.799588303998</v>
      </c>
      <c r="L360">
        <v>484</v>
      </c>
      <c r="M360" t="s">
        <v>43</v>
      </c>
      <c r="N360" s="1">
        <v>45126</v>
      </c>
      <c r="O360" t="s">
        <v>23</v>
      </c>
      <c r="P360" t="s">
        <v>24</v>
      </c>
      <c r="Q360">
        <v>16</v>
      </c>
    </row>
    <row r="361" spans="1:17" x14ac:dyDescent="0.35">
      <c r="A361" t="s">
        <v>2845</v>
      </c>
      <c r="B361" t="str">
        <f t="shared" si="16"/>
        <v>36-45</v>
      </c>
      <c r="C361">
        <v>41</v>
      </c>
      <c r="D361" t="s">
        <v>26</v>
      </c>
      <c r="E361" t="s">
        <v>17</v>
      </c>
      <c r="F361" t="s">
        <v>72</v>
      </c>
      <c r="G361" s="1">
        <v>44525</v>
      </c>
      <c r="H361" t="s">
        <v>2846</v>
      </c>
      <c r="I361" t="s">
        <v>2847</v>
      </c>
      <c r="J361" t="s">
        <v>54</v>
      </c>
      <c r="K361">
        <v>11272.0877660565</v>
      </c>
      <c r="L361">
        <v>349</v>
      </c>
      <c r="M361" t="s">
        <v>43</v>
      </c>
      <c r="N361" s="1">
        <v>44534</v>
      </c>
      <c r="O361" t="s">
        <v>23</v>
      </c>
      <c r="P361" t="s">
        <v>34</v>
      </c>
      <c r="Q361">
        <v>9</v>
      </c>
    </row>
    <row r="362" spans="1:17" x14ac:dyDescent="0.35">
      <c r="A362" t="s">
        <v>488</v>
      </c>
      <c r="B362" t="str">
        <f t="shared" si="16"/>
        <v>18-25</v>
      </c>
      <c r="C362">
        <v>20</v>
      </c>
      <c r="D362" t="s">
        <v>26</v>
      </c>
      <c r="E362" t="s">
        <v>51</v>
      </c>
      <c r="F362" t="s">
        <v>72</v>
      </c>
      <c r="G362" s="1">
        <v>44063</v>
      </c>
      <c r="H362" t="s">
        <v>489</v>
      </c>
      <c r="I362" t="s">
        <v>490</v>
      </c>
      <c r="J362" t="s">
        <v>31</v>
      </c>
      <c r="K362">
        <v>13962.4277750975</v>
      </c>
      <c r="L362">
        <v>409</v>
      </c>
      <c r="M362" t="s">
        <v>43</v>
      </c>
      <c r="N362" s="1">
        <v>44088</v>
      </c>
      <c r="O362" t="s">
        <v>33</v>
      </c>
      <c r="P362" t="s">
        <v>24</v>
      </c>
      <c r="Q362">
        <v>25</v>
      </c>
    </row>
    <row r="363" spans="1:17" x14ac:dyDescent="0.35">
      <c r="A363" t="s">
        <v>875</v>
      </c>
      <c r="B363" t="str">
        <f t="shared" si="16"/>
        <v>76-85</v>
      </c>
      <c r="C363">
        <v>81</v>
      </c>
      <c r="D363" t="s">
        <v>16</v>
      </c>
      <c r="E363" t="s">
        <v>232</v>
      </c>
      <c r="F363" t="s">
        <v>72</v>
      </c>
      <c r="G363" s="1">
        <v>43860</v>
      </c>
      <c r="H363" t="s">
        <v>876</v>
      </c>
      <c r="I363" t="s">
        <v>877</v>
      </c>
      <c r="J363" t="s">
        <v>59</v>
      </c>
      <c r="K363">
        <v>4002.8241565255998</v>
      </c>
      <c r="L363">
        <v>425</v>
      </c>
      <c r="M363" t="s">
        <v>43</v>
      </c>
      <c r="N363" s="1">
        <v>43862</v>
      </c>
      <c r="O363" t="s">
        <v>23</v>
      </c>
      <c r="P363" t="s">
        <v>24</v>
      </c>
      <c r="Q363">
        <v>2</v>
      </c>
    </row>
    <row r="364" spans="1:17" x14ac:dyDescent="0.35">
      <c r="A364" t="s">
        <v>2556</v>
      </c>
      <c r="B364" t="str">
        <f t="shared" si="16"/>
        <v>46-55</v>
      </c>
      <c r="C364">
        <v>55</v>
      </c>
      <c r="D364" t="s">
        <v>26</v>
      </c>
      <c r="E364" t="s">
        <v>65</v>
      </c>
      <c r="F364" t="s">
        <v>72</v>
      </c>
      <c r="G364" s="1">
        <v>43686</v>
      </c>
      <c r="H364" t="s">
        <v>2557</v>
      </c>
      <c r="I364" t="s">
        <v>2558</v>
      </c>
      <c r="J364" t="s">
        <v>31</v>
      </c>
      <c r="K364">
        <v>36906.240483643101</v>
      </c>
      <c r="L364">
        <v>417</v>
      </c>
      <c r="M364" t="s">
        <v>43</v>
      </c>
      <c r="N364" s="1">
        <v>43705</v>
      </c>
      <c r="O364" t="s">
        <v>44</v>
      </c>
      <c r="P364" t="s">
        <v>45</v>
      </c>
      <c r="Q364">
        <v>19</v>
      </c>
    </row>
    <row r="365" spans="1:17" x14ac:dyDescent="0.35">
      <c r="A365" t="s">
        <v>1292</v>
      </c>
      <c r="B365" t="str">
        <f t="shared" si="16"/>
        <v>36-45</v>
      </c>
      <c r="C365">
        <v>40</v>
      </c>
      <c r="D365" t="s">
        <v>16</v>
      </c>
      <c r="E365" t="s">
        <v>92</v>
      </c>
      <c r="F365" t="s">
        <v>72</v>
      </c>
      <c r="G365" s="1">
        <v>44133</v>
      </c>
      <c r="H365" t="s">
        <v>1293</v>
      </c>
      <c r="I365" t="s">
        <v>1294</v>
      </c>
      <c r="J365" t="s">
        <v>59</v>
      </c>
      <c r="K365">
        <v>46133.541648337399</v>
      </c>
      <c r="L365">
        <v>325</v>
      </c>
      <c r="M365" t="s">
        <v>22</v>
      </c>
      <c r="N365" s="1">
        <v>44143</v>
      </c>
      <c r="O365" t="s">
        <v>87</v>
      </c>
      <c r="P365" t="s">
        <v>24</v>
      </c>
      <c r="Q365">
        <v>10</v>
      </c>
    </row>
    <row r="366" spans="1:17" x14ac:dyDescent="0.35">
      <c r="A366" t="s">
        <v>2461</v>
      </c>
      <c r="B366" t="str">
        <f t="shared" si="16"/>
        <v>76-85</v>
      </c>
      <c r="C366">
        <v>77</v>
      </c>
      <c r="D366" t="s">
        <v>16</v>
      </c>
      <c r="E366" t="s">
        <v>36</v>
      </c>
      <c r="F366" t="s">
        <v>72</v>
      </c>
      <c r="G366" s="1">
        <v>45055</v>
      </c>
      <c r="H366" t="s">
        <v>2462</v>
      </c>
      <c r="I366" t="s">
        <v>2463</v>
      </c>
      <c r="J366" t="s">
        <v>59</v>
      </c>
      <c r="K366">
        <v>28265.168342965098</v>
      </c>
      <c r="L366">
        <v>119</v>
      </c>
      <c r="M366" t="s">
        <v>43</v>
      </c>
      <c r="N366" s="1">
        <v>45083</v>
      </c>
      <c r="O366" t="s">
        <v>87</v>
      </c>
      <c r="P366" t="s">
        <v>34</v>
      </c>
      <c r="Q366">
        <v>28</v>
      </c>
    </row>
    <row r="367" spans="1:17" x14ac:dyDescent="0.35">
      <c r="A367" t="s">
        <v>1928</v>
      </c>
      <c r="B367" t="str">
        <f t="shared" si="16"/>
        <v>66-75</v>
      </c>
      <c r="C367">
        <v>72</v>
      </c>
      <c r="D367" t="s">
        <v>26</v>
      </c>
      <c r="E367" t="s">
        <v>92</v>
      </c>
      <c r="F367" t="s">
        <v>72</v>
      </c>
      <c r="G367" s="1">
        <v>43533</v>
      </c>
      <c r="H367" t="s">
        <v>1929</v>
      </c>
      <c r="I367" t="s">
        <v>1930</v>
      </c>
      <c r="J367" t="s">
        <v>31</v>
      </c>
      <c r="K367">
        <v>9221.5702656110097</v>
      </c>
      <c r="L367">
        <v>415</v>
      </c>
      <c r="M367" t="s">
        <v>22</v>
      </c>
      <c r="N367" s="1">
        <v>43540</v>
      </c>
      <c r="O367" t="s">
        <v>44</v>
      </c>
      <c r="P367" t="s">
        <v>45</v>
      </c>
      <c r="Q367">
        <v>7</v>
      </c>
    </row>
    <row r="368" spans="1:17" x14ac:dyDescent="0.35">
      <c r="A368" t="s">
        <v>902</v>
      </c>
      <c r="B368" t="str">
        <f t="shared" si="16"/>
        <v>46-55</v>
      </c>
      <c r="C368">
        <v>53</v>
      </c>
      <c r="D368" t="s">
        <v>26</v>
      </c>
      <c r="E368" t="s">
        <v>51</v>
      </c>
      <c r="F368" t="s">
        <v>72</v>
      </c>
      <c r="G368" s="1">
        <v>44030</v>
      </c>
      <c r="H368" t="s">
        <v>903</v>
      </c>
      <c r="I368" t="s">
        <v>904</v>
      </c>
      <c r="J368" t="s">
        <v>63</v>
      </c>
      <c r="K368">
        <v>15622.6936871907</v>
      </c>
      <c r="L368">
        <v>485</v>
      </c>
      <c r="M368" t="s">
        <v>22</v>
      </c>
      <c r="N368" s="1">
        <v>44034</v>
      </c>
      <c r="O368" t="s">
        <v>87</v>
      </c>
      <c r="P368" t="s">
        <v>45</v>
      </c>
      <c r="Q368">
        <v>4</v>
      </c>
    </row>
    <row r="369" spans="1:17" x14ac:dyDescent="0.35">
      <c r="A369" t="s">
        <v>949</v>
      </c>
      <c r="B369" t="str">
        <f t="shared" si="16"/>
        <v>36-45</v>
      </c>
      <c r="C369">
        <v>42</v>
      </c>
      <c r="D369" t="s">
        <v>16</v>
      </c>
      <c r="E369" t="s">
        <v>36</v>
      </c>
      <c r="F369" t="s">
        <v>72</v>
      </c>
      <c r="G369" s="1">
        <v>43832</v>
      </c>
      <c r="H369" t="s">
        <v>950</v>
      </c>
      <c r="I369" t="s">
        <v>951</v>
      </c>
      <c r="J369" t="s">
        <v>21</v>
      </c>
      <c r="K369">
        <v>26419.324812573901</v>
      </c>
      <c r="L369">
        <v>483</v>
      </c>
      <c r="M369" t="s">
        <v>32</v>
      </c>
      <c r="N369" s="1">
        <v>43860</v>
      </c>
      <c r="O369" t="s">
        <v>87</v>
      </c>
      <c r="P369" t="s">
        <v>24</v>
      </c>
      <c r="Q369">
        <v>28</v>
      </c>
    </row>
    <row r="370" spans="1:17" x14ac:dyDescent="0.35">
      <c r="A370" t="s">
        <v>213</v>
      </c>
      <c r="B370" t="str">
        <f t="shared" si="16"/>
        <v>18-25</v>
      </c>
      <c r="C370">
        <v>21</v>
      </c>
      <c r="D370" t="s">
        <v>26</v>
      </c>
      <c r="E370" t="s">
        <v>65</v>
      </c>
      <c r="F370" t="s">
        <v>72</v>
      </c>
      <c r="G370" s="1">
        <v>44558</v>
      </c>
      <c r="H370" t="s">
        <v>214</v>
      </c>
      <c r="I370" t="s">
        <v>215</v>
      </c>
      <c r="J370" t="s">
        <v>59</v>
      </c>
      <c r="K370">
        <v>44935.269696984702</v>
      </c>
      <c r="L370">
        <v>439</v>
      </c>
      <c r="M370" t="s">
        <v>32</v>
      </c>
      <c r="N370" s="1">
        <v>44570</v>
      </c>
      <c r="O370" t="s">
        <v>33</v>
      </c>
      <c r="P370" t="s">
        <v>45</v>
      </c>
      <c r="Q370">
        <v>12</v>
      </c>
    </row>
    <row r="371" spans="1:17" x14ac:dyDescent="0.35">
      <c r="A371" t="s">
        <v>1892</v>
      </c>
      <c r="B371" t="str">
        <f t="shared" si="16"/>
        <v>46-55</v>
      </c>
      <c r="C371">
        <v>52</v>
      </c>
      <c r="D371" t="s">
        <v>26</v>
      </c>
      <c r="E371" t="s">
        <v>51</v>
      </c>
      <c r="F371" t="s">
        <v>72</v>
      </c>
      <c r="G371" s="1">
        <v>44863</v>
      </c>
      <c r="H371" t="s">
        <v>1893</v>
      </c>
      <c r="I371" t="s">
        <v>1894</v>
      </c>
      <c r="J371" t="s">
        <v>54</v>
      </c>
      <c r="K371">
        <v>35327.496805934599</v>
      </c>
      <c r="L371">
        <v>187</v>
      </c>
      <c r="M371" t="s">
        <v>22</v>
      </c>
      <c r="N371" s="1">
        <v>44870</v>
      </c>
      <c r="O371" t="s">
        <v>44</v>
      </c>
      <c r="P371" t="s">
        <v>45</v>
      </c>
      <c r="Q371">
        <v>7</v>
      </c>
    </row>
    <row r="372" spans="1:17" x14ac:dyDescent="0.35">
      <c r="A372" t="s">
        <v>1355</v>
      </c>
      <c r="B372" t="str">
        <f t="shared" si="16"/>
        <v>18-25</v>
      </c>
      <c r="C372">
        <v>23</v>
      </c>
      <c r="D372" t="s">
        <v>26</v>
      </c>
      <c r="E372" t="s">
        <v>51</v>
      </c>
      <c r="F372" t="s">
        <v>72</v>
      </c>
      <c r="G372" s="1">
        <v>43737</v>
      </c>
      <c r="H372" t="s">
        <v>1356</v>
      </c>
      <c r="I372" t="s">
        <v>1357</v>
      </c>
      <c r="J372" t="s">
        <v>31</v>
      </c>
      <c r="K372">
        <v>6849.0152740529902</v>
      </c>
      <c r="L372">
        <v>110</v>
      </c>
      <c r="M372" t="s">
        <v>43</v>
      </c>
      <c r="N372" s="1">
        <v>43762</v>
      </c>
      <c r="O372" t="s">
        <v>23</v>
      </c>
      <c r="P372" t="s">
        <v>24</v>
      </c>
      <c r="Q372">
        <v>25</v>
      </c>
    </row>
    <row r="373" spans="1:17" x14ac:dyDescent="0.35">
      <c r="A373" t="s">
        <v>1527</v>
      </c>
      <c r="B373" t="str">
        <f t="shared" si="16"/>
        <v>46-55</v>
      </c>
      <c r="C373">
        <v>52</v>
      </c>
      <c r="D373" t="s">
        <v>26</v>
      </c>
      <c r="E373" t="s">
        <v>17</v>
      </c>
      <c r="F373" t="s">
        <v>72</v>
      </c>
      <c r="G373" s="1">
        <v>43641</v>
      </c>
      <c r="H373" t="s">
        <v>740</v>
      </c>
      <c r="I373" t="s">
        <v>1528</v>
      </c>
      <c r="J373" t="s">
        <v>63</v>
      </c>
      <c r="K373">
        <v>16520.401042826099</v>
      </c>
      <c r="L373">
        <v>454</v>
      </c>
      <c r="M373" t="s">
        <v>32</v>
      </c>
      <c r="N373" s="1">
        <v>43652</v>
      </c>
      <c r="O373" t="s">
        <v>50</v>
      </c>
      <c r="P373" t="s">
        <v>45</v>
      </c>
      <c r="Q373">
        <v>11</v>
      </c>
    </row>
    <row r="374" spans="1:17" x14ac:dyDescent="0.35">
      <c r="A374" t="s">
        <v>443</v>
      </c>
      <c r="B374" t="str">
        <f t="shared" si="16"/>
        <v>46-55</v>
      </c>
      <c r="C374">
        <v>55</v>
      </c>
      <c r="D374" t="s">
        <v>26</v>
      </c>
      <c r="E374" t="s">
        <v>92</v>
      </c>
      <c r="F374" t="s">
        <v>72</v>
      </c>
      <c r="G374" s="1">
        <v>43528</v>
      </c>
      <c r="H374" t="s">
        <v>444</v>
      </c>
      <c r="I374" t="s">
        <v>445</v>
      </c>
      <c r="J374" t="s">
        <v>31</v>
      </c>
      <c r="K374">
        <v>23907.335315170301</v>
      </c>
      <c r="L374">
        <v>247</v>
      </c>
      <c r="M374" t="s">
        <v>22</v>
      </c>
      <c r="N374" s="1">
        <v>43548</v>
      </c>
      <c r="O374" t="s">
        <v>44</v>
      </c>
      <c r="P374" t="s">
        <v>24</v>
      </c>
      <c r="Q374">
        <v>20</v>
      </c>
    </row>
    <row r="375" spans="1:17" x14ac:dyDescent="0.35">
      <c r="A375" t="s">
        <v>1874</v>
      </c>
      <c r="B375" t="str">
        <f t="shared" si="16"/>
        <v>36-45</v>
      </c>
      <c r="C375">
        <v>41</v>
      </c>
      <c r="D375" t="s">
        <v>16</v>
      </c>
      <c r="E375" t="s">
        <v>92</v>
      </c>
      <c r="F375" t="s">
        <v>72</v>
      </c>
      <c r="G375" s="1">
        <v>44262</v>
      </c>
      <c r="H375" t="s">
        <v>1875</v>
      </c>
      <c r="I375" t="s">
        <v>1876</v>
      </c>
      <c r="J375" t="s">
        <v>21</v>
      </c>
      <c r="K375">
        <v>4890.9526970876605</v>
      </c>
      <c r="L375">
        <v>355</v>
      </c>
      <c r="M375" t="s">
        <v>32</v>
      </c>
      <c r="N375" s="1">
        <v>44291</v>
      </c>
      <c r="O375" t="s">
        <v>44</v>
      </c>
      <c r="P375" t="s">
        <v>45</v>
      </c>
      <c r="Q375">
        <v>29</v>
      </c>
    </row>
    <row r="376" spans="1:17" x14ac:dyDescent="0.35">
      <c r="A376" t="s">
        <v>542</v>
      </c>
      <c r="B376" t="str">
        <f t="shared" si="16"/>
        <v>18-25</v>
      </c>
      <c r="C376">
        <v>24</v>
      </c>
      <c r="D376" t="s">
        <v>26</v>
      </c>
      <c r="E376" t="s">
        <v>36</v>
      </c>
      <c r="F376" t="s">
        <v>72</v>
      </c>
      <c r="G376" s="1">
        <v>44593</v>
      </c>
      <c r="H376" t="s">
        <v>543</v>
      </c>
      <c r="I376" t="s">
        <v>544</v>
      </c>
      <c r="J376" t="s">
        <v>54</v>
      </c>
      <c r="K376">
        <v>25926.948542070601</v>
      </c>
      <c r="L376">
        <v>394</v>
      </c>
      <c r="M376" t="s">
        <v>22</v>
      </c>
      <c r="N376" s="1">
        <v>44607</v>
      </c>
      <c r="O376" t="s">
        <v>23</v>
      </c>
      <c r="P376" t="s">
        <v>34</v>
      </c>
      <c r="Q376">
        <v>14</v>
      </c>
    </row>
    <row r="377" spans="1:17" x14ac:dyDescent="0.35">
      <c r="A377" t="s">
        <v>706</v>
      </c>
      <c r="B377" t="str">
        <f t="shared" si="16"/>
        <v>46-55</v>
      </c>
      <c r="C377">
        <v>54</v>
      </c>
      <c r="D377" t="s">
        <v>26</v>
      </c>
      <c r="E377" t="s">
        <v>27</v>
      </c>
      <c r="F377" t="s">
        <v>72</v>
      </c>
      <c r="G377" s="1">
        <v>43784</v>
      </c>
      <c r="H377" t="s">
        <v>707</v>
      </c>
      <c r="I377" t="s">
        <v>708</v>
      </c>
      <c r="J377" t="s">
        <v>54</v>
      </c>
      <c r="K377">
        <v>41708.409184186799</v>
      </c>
      <c r="L377">
        <v>193</v>
      </c>
      <c r="M377" t="s">
        <v>43</v>
      </c>
      <c r="N377" s="1">
        <v>43811</v>
      </c>
      <c r="O377" t="s">
        <v>87</v>
      </c>
      <c r="P377" t="s">
        <v>34</v>
      </c>
      <c r="Q377">
        <v>27</v>
      </c>
    </row>
    <row r="378" spans="1:17" x14ac:dyDescent="0.35">
      <c r="A378" t="s">
        <v>1134</v>
      </c>
      <c r="B378" t="str">
        <f t="shared" si="16"/>
        <v>56-65</v>
      </c>
      <c r="C378">
        <v>57</v>
      </c>
      <c r="D378" t="s">
        <v>26</v>
      </c>
      <c r="E378" t="s">
        <v>36</v>
      </c>
      <c r="F378" t="s">
        <v>72</v>
      </c>
      <c r="G378" s="1">
        <v>43996</v>
      </c>
      <c r="H378" t="s">
        <v>1135</v>
      </c>
      <c r="I378" t="s">
        <v>1136</v>
      </c>
      <c r="J378" t="s">
        <v>54</v>
      </c>
      <c r="K378">
        <v>18524.743950500499</v>
      </c>
      <c r="L378">
        <v>115</v>
      </c>
      <c r="M378" t="s">
        <v>22</v>
      </c>
      <c r="N378" s="1">
        <v>44010</v>
      </c>
      <c r="O378" t="s">
        <v>87</v>
      </c>
      <c r="P378" t="s">
        <v>34</v>
      </c>
      <c r="Q378">
        <v>14</v>
      </c>
    </row>
    <row r="379" spans="1:17" x14ac:dyDescent="0.35">
      <c r="A379" t="s">
        <v>718</v>
      </c>
      <c r="B379" t="str">
        <f t="shared" si="16"/>
        <v>36-45</v>
      </c>
      <c r="C379">
        <v>41</v>
      </c>
      <c r="D379" t="s">
        <v>26</v>
      </c>
      <c r="E379" t="s">
        <v>92</v>
      </c>
      <c r="F379" t="s">
        <v>72</v>
      </c>
      <c r="G379" s="1">
        <v>45063</v>
      </c>
      <c r="H379" t="s">
        <v>719</v>
      </c>
      <c r="I379" t="s">
        <v>720</v>
      </c>
      <c r="J379" t="s">
        <v>31</v>
      </c>
      <c r="K379">
        <v>39086.987872830097</v>
      </c>
      <c r="L379">
        <v>472</v>
      </c>
      <c r="M379" t="s">
        <v>32</v>
      </c>
      <c r="N379" s="1">
        <v>45069</v>
      </c>
      <c r="O379" t="s">
        <v>87</v>
      </c>
      <c r="P379" t="s">
        <v>34</v>
      </c>
      <c r="Q379">
        <v>6</v>
      </c>
    </row>
    <row r="380" spans="1:17" x14ac:dyDescent="0.35">
      <c r="A380" t="s">
        <v>2703</v>
      </c>
      <c r="B380" t="str">
        <f t="shared" si="16"/>
        <v>18-25</v>
      </c>
      <c r="C380">
        <v>18</v>
      </c>
      <c r="D380" t="s">
        <v>16</v>
      </c>
      <c r="E380" t="s">
        <v>17</v>
      </c>
      <c r="F380" t="s">
        <v>72</v>
      </c>
      <c r="G380" s="1">
        <v>43864</v>
      </c>
      <c r="H380" t="s">
        <v>2704</v>
      </c>
      <c r="I380" t="s">
        <v>2705</v>
      </c>
      <c r="J380" t="s">
        <v>21</v>
      </c>
      <c r="K380">
        <v>39174.539019406402</v>
      </c>
      <c r="L380">
        <v>434</v>
      </c>
      <c r="M380" t="s">
        <v>43</v>
      </c>
      <c r="N380" s="1">
        <v>43889</v>
      </c>
      <c r="O380" t="s">
        <v>33</v>
      </c>
      <c r="P380" t="s">
        <v>45</v>
      </c>
      <c r="Q380">
        <v>25</v>
      </c>
    </row>
    <row r="381" spans="1:17" x14ac:dyDescent="0.35">
      <c r="A381" t="s">
        <v>1946</v>
      </c>
      <c r="B381" t="str">
        <f t="shared" si="16"/>
        <v>76-85</v>
      </c>
      <c r="C381">
        <v>84</v>
      </c>
      <c r="D381" t="s">
        <v>16</v>
      </c>
      <c r="E381" t="s">
        <v>92</v>
      </c>
      <c r="F381" t="s">
        <v>72</v>
      </c>
      <c r="G381" s="1">
        <v>43411</v>
      </c>
      <c r="H381" t="s">
        <v>1947</v>
      </c>
      <c r="I381" t="s">
        <v>1948</v>
      </c>
      <c r="J381" t="s">
        <v>59</v>
      </c>
      <c r="K381">
        <v>11504.2435255</v>
      </c>
      <c r="L381">
        <v>304</v>
      </c>
      <c r="M381" t="s">
        <v>32</v>
      </c>
      <c r="N381" s="1">
        <v>43421</v>
      </c>
      <c r="O381" t="s">
        <v>33</v>
      </c>
      <c r="P381" t="s">
        <v>45</v>
      </c>
      <c r="Q381">
        <v>10</v>
      </c>
    </row>
    <row r="382" spans="1:17" x14ac:dyDescent="0.35">
      <c r="A382" t="s">
        <v>2119</v>
      </c>
      <c r="B382" t="str">
        <f t="shared" si="16"/>
        <v>56-65</v>
      </c>
      <c r="C382">
        <v>59</v>
      </c>
      <c r="D382" t="s">
        <v>16</v>
      </c>
      <c r="E382" t="s">
        <v>232</v>
      </c>
      <c r="F382" t="s">
        <v>72</v>
      </c>
      <c r="G382" s="1">
        <v>44708</v>
      </c>
      <c r="H382" t="s">
        <v>2120</v>
      </c>
      <c r="I382" t="s">
        <v>2121</v>
      </c>
      <c r="J382" t="s">
        <v>63</v>
      </c>
      <c r="K382">
        <v>26655.7709973124</v>
      </c>
      <c r="L382">
        <v>405</v>
      </c>
      <c r="M382" t="s">
        <v>32</v>
      </c>
      <c r="N382" s="1">
        <v>44730</v>
      </c>
      <c r="O382" t="s">
        <v>44</v>
      </c>
      <c r="P382" t="s">
        <v>45</v>
      </c>
      <c r="Q382">
        <v>22</v>
      </c>
    </row>
    <row r="383" spans="1:17" x14ac:dyDescent="0.35">
      <c r="A383" t="s">
        <v>1393</v>
      </c>
      <c r="B383" t="str">
        <f t="shared" si="16"/>
        <v>76-85</v>
      </c>
      <c r="C383">
        <v>77</v>
      </c>
      <c r="D383" t="s">
        <v>26</v>
      </c>
      <c r="E383" t="s">
        <v>117</v>
      </c>
      <c r="F383" t="s">
        <v>72</v>
      </c>
      <c r="G383" s="1">
        <v>44042</v>
      </c>
      <c r="H383" t="s">
        <v>1394</v>
      </c>
      <c r="I383" t="s">
        <v>1395</v>
      </c>
      <c r="J383" t="s">
        <v>63</v>
      </c>
      <c r="K383">
        <v>1769.4794225964399</v>
      </c>
      <c r="L383">
        <v>344</v>
      </c>
      <c r="M383" t="s">
        <v>43</v>
      </c>
      <c r="N383" s="1">
        <v>44047</v>
      </c>
      <c r="O383" t="s">
        <v>50</v>
      </c>
      <c r="P383" t="s">
        <v>45</v>
      </c>
      <c r="Q383">
        <v>5</v>
      </c>
    </row>
    <row r="384" spans="1:17" x14ac:dyDescent="0.35">
      <c r="A384" t="s">
        <v>1253</v>
      </c>
      <c r="B384" t="str">
        <f t="shared" si="16"/>
        <v>46-55</v>
      </c>
      <c r="C384">
        <v>47</v>
      </c>
      <c r="D384" t="s">
        <v>16</v>
      </c>
      <c r="E384" t="s">
        <v>117</v>
      </c>
      <c r="F384" t="s">
        <v>72</v>
      </c>
      <c r="G384" s="1">
        <v>44364</v>
      </c>
      <c r="H384" t="s">
        <v>1254</v>
      </c>
      <c r="I384" t="s">
        <v>1255</v>
      </c>
      <c r="J384" t="s">
        <v>54</v>
      </c>
      <c r="K384">
        <v>30137.596269944999</v>
      </c>
      <c r="L384">
        <v>196</v>
      </c>
      <c r="M384" t="s">
        <v>32</v>
      </c>
      <c r="N384" s="1">
        <v>44381</v>
      </c>
      <c r="O384" t="s">
        <v>33</v>
      </c>
      <c r="P384" t="s">
        <v>34</v>
      </c>
      <c r="Q384">
        <v>17</v>
      </c>
    </row>
    <row r="385" spans="1:17" x14ac:dyDescent="0.35">
      <c r="A385" t="s">
        <v>195</v>
      </c>
      <c r="B385" t="str">
        <f t="shared" si="16"/>
        <v>46-55</v>
      </c>
      <c r="C385">
        <v>47</v>
      </c>
      <c r="D385" t="s">
        <v>26</v>
      </c>
      <c r="E385" t="s">
        <v>36</v>
      </c>
      <c r="F385" t="s">
        <v>72</v>
      </c>
      <c r="G385" s="1">
        <v>43630</v>
      </c>
      <c r="H385" t="s">
        <v>196</v>
      </c>
      <c r="I385" t="s">
        <v>197</v>
      </c>
      <c r="J385" t="s">
        <v>21</v>
      </c>
      <c r="K385">
        <v>10705.098399640699</v>
      </c>
      <c r="L385">
        <v>437</v>
      </c>
      <c r="M385" t="s">
        <v>32</v>
      </c>
      <c r="N385" s="1">
        <v>43659</v>
      </c>
      <c r="O385" t="s">
        <v>44</v>
      </c>
      <c r="P385" t="s">
        <v>24</v>
      </c>
      <c r="Q385">
        <v>29</v>
      </c>
    </row>
    <row r="386" spans="1:17" x14ac:dyDescent="0.35">
      <c r="A386" t="s">
        <v>1002</v>
      </c>
      <c r="B386" t="str">
        <f t="shared" si="16"/>
        <v>18-25</v>
      </c>
      <c r="C386">
        <v>20</v>
      </c>
      <c r="D386" t="s">
        <v>26</v>
      </c>
      <c r="E386" t="s">
        <v>65</v>
      </c>
      <c r="F386" t="s">
        <v>72</v>
      </c>
      <c r="G386" s="1">
        <v>44322</v>
      </c>
      <c r="H386" t="s">
        <v>1003</v>
      </c>
      <c r="I386" t="s">
        <v>1004</v>
      </c>
      <c r="J386" t="s">
        <v>63</v>
      </c>
      <c r="K386">
        <v>9731.39531830136</v>
      </c>
      <c r="L386">
        <v>109</v>
      </c>
      <c r="M386" t="s">
        <v>22</v>
      </c>
      <c r="N386" s="1">
        <v>44329</v>
      </c>
      <c r="O386" t="s">
        <v>50</v>
      </c>
      <c r="P386" t="s">
        <v>24</v>
      </c>
      <c r="Q386">
        <v>7</v>
      </c>
    </row>
    <row r="387" spans="1:17" x14ac:dyDescent="0.35">
      <c r="A387" t="s">
        <v>596</v>
      </c>
      <c r="B387" t="str">
        <f t="shared" si="16"/>
        <v>36-45</v>
      </c>
      <c r="C387">
        <v>45</v>
      </c>
      <c r="D387" t="s">
        <v>26</v>
      </c>
      <c r="E387" t="s">
        <v>117</v>
      </c>
      <c r="F387" t="s">
        <v>72</v>
      </c>
      <c r="G387" s="1">
        <v>44542</v>
      </c>
      <c r="H387" t="s">
        <v>597</v>
      </c>
      <c r="I387" t="s">
        <v>598</v>
      </c>
      <c r="J387" t="s">
        <v>21</v>
      </c>
      <c r="K387">
        <v>30845.782022184401</v>
      </c>
      <c r="L387">
        <v>252</v>
      </c>
      <c r="M387" t="s">
        <v>22</v>
      </c>
      <c r="N387" s="1">
        <v>44548</v>
      </c>
      <c r="O387" t="s">
        <v>23</v>
      </c>
      <c r="P387" t="s">
        <v>24</v>
      </c>
      <c r="Q387">
        <v>6</v>
      </c>
    </row>
    <row r="388" spans="1:17" x14ac:dyDescent="0.35">
      <c r="A388" t="s">
        <v>1143</v>
      </c>
      <c r="B388" t="str">
        <f t="shared" si="16"/>
        <v>46-55</v>
      </c>
      <c r="C388">
        <v>55</v>
      </c>
      <c r="D388" t="s">
        <v>16</v>
      </c>
      <c r="E388" t="s">
        <v>51</v>
      </c>
      <c r="F388" t="s">
        <v>72</v>
      </c>
      <c r="G388" s="1">
        <v>44159</v>
      </c>
      <c r="H388" t="s">
        <v>1144</v>
      </c>
      <c r="I388" t="s">
        <v>1145</v>
      </c>
      <c r="J388" t="s">
        <v>63</v>
      </c>
      <c r="K388">
        <v>31359.518931029099</v>
      </c>
      <c r="L388">
        <v>262</v>
      </c>
      <c r="M388" t="s">
        <v>43</v>
      </c>
      <c r="N388" s="1">
        <v>44182</v>
      </c>
      <c r="O388" t="s">
        <v>44</v>
      </c>
      <c r="P388" t="s">
        <v>45</v>
      </c>
      <c r="Q388">
        <v>23</v>
      </c>
    </row>
    <row r="389" spans="1:17" x14ac:dyDescent="0.35">
      <c r="A389" t="s">
        <v>1090</v>
      </c>
      <c r="B389" t="str">
        <f t="shared" si="16"/>
        <v>36-45</v>
      </c>
      <c r="C389">
        <v>41</v>
      </c>
      <c r="D389" t="s">
        <v>26</v>
      </c>
      <c r="E389" t="s">
        <v>36</v>
      </c>
      <c r="F389" t="s">
        <v>72</v>
      </c>
      <c r="G389" s="1">
        <v>45087</v>
      </c>
      <c r="H389" t="s">
        <v>1091</v>
      </c>
      <c r="I389" t="s">
        <v>1092</v>
      </c>
      <c r="J389" t="s">
        <v>63</v>
      </c>
      <c r="K389">
        <v>23360.658613186599</v>
      </c>
      <c r="L389">
        <v>460</v>
      </c>
      <c r="M389" t="s">
        <v>22</v>
      </c>
      <c r="N389" s="1">
        <v>45108</v>
      </c>
      <c r="O389" t="s">
        <v>44</v>
      </c>
      <c r="P389" t="s">
        <v>24</v>
      </c>
      <c r="Q389">
        <v>21</v>
      </c>
    </row>
    <row r="390" spans="1:17" x14ac:dyDescent="0.35">
      <c r="A390" t="s">
        <v>2205</v>
      </c>
      <c r="B390" t="str">
        <f t="shared" si="16"/>
        <v>76-85</v>
      </c>
      <c r="C390">
        <v>84</v>
      </c>
      <c r="D390" t="s">
        <v>26</v>
      </c>
      <c r="E390" t="s">
        <v>27</v>
      </c>
      <c r="F390" t="s">
        <v>72</v>
      </c>
      <c r="G390" s="1">
        <v>45027</v>
      </c>
      <c r="H390" t="s">
        <v>2206</v>
      </c>
      <c r="I390" t="s">
        <v>2207</v>
      </c>
      <c r="J390" t="s">
        <v>31</v>
      </c>
      <c r="K390">
        <v>19037.819963447098</v>
      </c>
      <c r="L390">
        <v>203</v>
      </c>
      <c r="M390" t="s">
        <v>43</v>
      </c>
      <c r="N390" s="1">
        <v>45055</v>
      </c>
      <c r="O390" t="s">
        <v>44</v>
      </c>
      <c r="P390" t="s">
        <v>45</v>
      </c>
      <c r="Q390">
        <v>28</v>
      </c>
    </row>
    <row r="391" spans="1:17" x14ac:dyDescent="0.35">
      <c r="A391" t="s">
        <v>2435</v>
      </c>
      <c r="B391" t="str">
        <f t="shared" si="16"/>
        <v>36-45</v>
      </c>
      <c r="C391">
        <v>36</v>
      </c>
      <c r="D391" t="s">
        <v>16</v>
      </c>
      <c r="E391" t="s">
        <v>92</v>
      </c>
      <c r="F391" t="s">
        <v>72</v>
      </c>
      <c r="G391" s="1">
        <v>44641</v>
      </c>
      <c r="H391" t="s">
        <v>2436</v>
      </c>
      <c r="I391" t="s">
        <v>2437</v>
      </c>
      <c r="J391" t="s">
        <v>63</v>
      </c>
      <c r="K391">
        <v>11523.996974043799</v>
      </c>
      <c r="L391">
        <v>319</v>
      </c>
      <c r="M391" t="s">
        <v>43</v>
      </c>
      <c r="N391" s="1">
        <v>44647</v>
      </c>
      <c r="O391" t="s">
        <v>87</v>
      </c>
      <c r="P391" t="s">
        <v>34</v>
      </c>
      <c r="Q391">
        <v>6</v>
      </c>
    </row>
    <row r="392" spans="1:17" x14ac:dyDescent="0.35">
      <c r="A392" t="s">
        <v>772</v>
      </c>
      <c r="B392" t="str">
        <f t="shared" si="16"/>
        <v>56-65</v>
      </c>
      <c r="C392">
        <v>57</v>
      </c>
      <c r="D392" t="s">
        <v>16</v>
      </c>
      <c r="E392" t="s">
        <v>51</v>
      </c>
      <c r="F392" t="s">
        <v>72</v>
      </c>
      <c r="G392" s="1">
        <v>44729</v>
      </c>
      <c r="H392" t="s">
        <v>773</v>
      </c>
      <c r="I392" t="s">
        <v>774</v>
      </c>
      <c r="J392" t="s">
        <v>63</v>
      </c>
      <c r="K392">
        <v>10159.6708344095</v>
      </c>
      <c r="L392">
        <v>221</v>
      </c>
      <c r="M392" t="s">
        <v>43</v>
      </c>
      <c r="N392" s="1">
        <v>44746</v>
      </c>
      <c r="O392" t="s">
        <v>44</v>
      </c>
      <c r="P392" t="s">
        <v>24</v>
      </c>
      <c r="Q392">
        <v>17</v>
      </c>
    </row>
    <row r="393" spans="1:17" x14ac:dyDescent="0.35">
      <c r="A393" t="s">
        <v>250</v>
      </c>
      <c r="B393" t="str">
        <f t="shared" si="16"/>
        <v>76-85</v>
      </c>
      <c r="C393">
        <v>78</v>
      </c>
      <c r="D393" t="s">
        <v>26</v>
      </c>
      <c r="E393" t="s">
        <v>27</v>
      </c>
      <c r="F393" t="s">
        <v>72</v>
      </c>
      <c r="G393" s="1">
        <v>44196</v>
      </c>
      <c r="H393" t="s">
        <v>251</v>
      </c>
      <c r="I393" t="s">
        <v>252</v>
      </c>
      <c r="J393" t="s">
        <v>63</v>
      </c>
      <c r="K393">
        <v>43547.772222266904</v>
      </c>
      <c r="L393">
        <v>134</v>
      </c>
      <c r="M393" t="s">
        <v>43</v>
      </c>
      <c r="N393" s="1">
        <v>44202</v>
      </c>
      <c r="O393" t="s">
        <v>33</v>
      </c>
      <c r="P393" t="s">
        <v>45</v>
      </c>
      <c r="Q393">
        <v>6</v>
      </c>
    </row>
    <row r="394" spans="1:17" x14ac:dyDescent="0.35">
      <c r="A394" t="s">
        <v>709</v>
      </c>
      <c r="B394" t="str">
        <f t="shared" si="16"/>
        <v>18-25</v>
      </c>
      <c r="C394">
        <v>21</v>
      </c>
      <c r="D394" t="s">
        <v>16</v>
      </c>
      <c r="E394" t="s">
        <v>232</v>
      </c>
      <c r="F394" t="s">
        <v>72</v>
      </c>
      <c r="G394" s="1">
        <v>44527</v>
      </c>
      <c r="H394" t="s">
        <v>710</v>
      </c>
      <c r="I394" t="s">
        <v>711</v>
      </c>
      <c r="J394" t="s">
        <v>59</v>
      </c>
      <c r="K394">
        <v>39323.851303983</v>
      </c>
      <c r="L394">
        <v>309</v>
      </c>
      <c r="M394" t="s">
        <v>32</v>
      </c>
      <c r="N394" s="1">
        <v>44541</v>
      </c>
      <c r="O394" t="s">
        <v>44</v>
      </c>
      <c r="P394" t="s">
        <v>24</v>
      </c>
      <c r="Q394">
        <v>14</v>
      </c>
    </row>
    <row r="395" spans="1:17" x14ac:dyDescent="0.35">
      <c r="A395" t="s">
        <v>225</v>
      </c>
      <c r="B395" t="str">
        <f t="shared" si="16"/>
        <v>66-75</v>
      </c>
      <c r="C395">
        <v>68</v>
      </c>
      <c r="D395" t="s">
        <v>26</v>
      </c>
      <c r="E395" t="s">
        <v>51</v>
      </c>
      <c r="F395" t="s">
        <v>72</v>
      </c>
      <c r="G395" s="1">
        <v>43890</v>
      </c>
      <c r="H395" t="s">
        <v>226</v>
      </c>
      <c r="I395" t="s">
        <v>227</v>
      </c>
      <c r="J395" t="s">
        <v>21</v>
      </c>
      <c r="K395">
        <v>2628.9478199845598</v>
      </c>
      <c r="L395">
        <v>380</v>
      </c>
      <c r="M395" t="s">
        <v>32</v>
      </c>
      <c r="N395" s="1">
        <v>43902</v>
      </c>
      <c r="O395" t="s">
        <v>50</v>
      </c>
      <c r="P395" t="s">
        <v>34</v>
      </c>
      <c r="Q395">
        <v>12</v>
      </c>
    </row>
    <row r="396" spans="1:17" x14ac:dyDescent="0.35">
      <c r="A396" t="s">
        <v>2886</v>
      </c>
      <c r="B396" t="str">
        <f t="shared" si="16"/>
        <v>36-45</v>
      </c>
      <c r="C396">
        <v>36</v>
      </c>
      <c r="D396" t="s">
        <v>26</v>
      </c>
      <c r="E396" t="s">
        <v>36</v>
      </c>
      <c r="F396" t="s">
        <v>72</v>
      </c>
      <c r="G396" s="1">
        <v>44834</v>
      </c>
      <c r="H396" t="s">
        <v>2887</v>
      </c>
      <c r="I396" t="s">
        <v>2888</v>
      </c>
      <c r="J396" t="s">
        <v>31</v>
      </c>
      <c r="K396">
        <v>49565.021330192903</v>
      </c>
      <c r="L396">
        <v>125</v>
      </c>
      <c r="M396" t="s">
        <v>43</v>
      </c>
      <c r="N396" s="1">
        <v>44852</v>
      </c>
      <c r="O396" t="s">
        <v>33</v>
      </c>
      <c r="P396" t="s">
        <v>45</v>
      </c>
      <c r="Q396">
        <v>18</v>
      </c>
    </row>
    <row r="397" spans="1:17" x14ac:dyDescent="0.35">
      <c r="A397" t="s">
        <v>2721</v>
      </c>
      <c r="B397" t="str">
        <f t="shared" si="16"/>
        <v>66-75</v>
      </c>
      <c r="C397">
        <v>72</v>
      </c>
      <c r="D397" t="s">
        <v>26</v>
      </c>
      <c r="E397" t="s">
        <v>65</v>
      </c>
      <c r="F397" t="s">
        <v>72</v>
      </c>
      <c r="G397" s="1">
        <v>43728</v>
      </c>
      <c r="H397" t="s">
        <v>2722</v>
      </c>
      <c r="I397" t="s">
        <v>2723</v>
      </c>
      <c r="J397" t="s">
        <v>21</v>
      </c>
      <c r="K397">
        <v>27603.996209706202</v>
      </c>
      <c r="L397">
        <v>139</v>
      </c>
      <c r="M397" t="s">
        <v>43</v>
      </c>
      <c r="N397" s="1">
        <v>43757</v>
      </c>
      <c r="O397" t="s">
        <v>50</v>
      </c>
      <c r="P397" t="s">
        <v>24</v>
      </c>
      <c r="Q397">
        <v>29</v>
      </c>
    </row>
    <row r="398" spans="1:17" x14ac:dyDescent="0.35">
      <c r="A398" t="s">
        <v>863</v>
      </c>
      <c r="B398" t="str">
        <f t="shared" si="16"/>
        <v>76-85</v>
      </c>
      <c r="C398">
        <v>79</v>
      </c>
      <c r="D398" t="s">
        <v>16</v>
      </c>
      <c r="E398" t="s">
        <v>92</v>
      </c>
      <c r="F398" t="s">
        <v>72</v>
      </c>
      <c r="G398" s="1">
        <v>44179</v>
      </c>
      <c r="H398" t="s">
        <v>864</v>
      </c>
      <c r="I398" t="s">
        <v>865</v>
      </c>
      <c r="J398" t="s">
        <v>21</v>
      </c>
      <c r="K398">
        <v>6628.3561385704197</v>
      </c>
      <c r="L398">
        <v>152</v>
      </c>
      <c r="M398" t="s">
        <v>22</v>
      </c>
      <c r="N398" s="1">
        <v>44181</v>
      </c>
      <c r="O398" t="s">
        <v>87</v>
      </c>
      <c r="P398" t="s">
        <v>45</v>
      </c>
      <c r="Q398">
        <v>2</v>
      </c>
    </row>
    <row r="399" spans="1:17" x14ac:dyDescent="0.35">
      <c r="A399" t="s">
        <v>2595</v>
      </c>
      <c r="B399" t="str">
        <f t="shared" si="16"/>
        <v>46-55</v>
      </c>
      <c r="C399">
        <v>50</v>
      </c>
      <c r="D399" t="s">
        <v>16</v>
      </c>
      <c r="E399" t="s">
        <v>117</v>
      </c>
      <c r="F399" t="s">
        <v>72</v>
      </c>
      <c r="G399" s="1">
        <v>44749</v>
      </c>
      <c r="H399" t="s">
        <v>2596</v>
      </c>
      <c r="I399" t="s">
        <v>2597</v>
      </c>
      <c r="J399" t="s">
        <v>63</v>
      </c>
      <c r="K399">
        <v>25511.207481400499</v>
      </c>
      <c r="L399">
        <v>348</v>
      </c>
      <c r="M399" t="s">
        <v>22</v>
      </c>
      <c r="N399" s="1">
        <v>44778</v>
      </c>
      <c r="O399" t="s">
        <v>44</v>
      </c>
      <c r="P399" t="s">
        <v>24</v>
      </c>
      <c r="Q399">
        <v>29</v>
      </c>
    </row>
    <row r="400" spans="1:17" x14ac:dyDescent="0.35">
      <c r="A400" t="s">
        <v>1283</v>
      </c>
      <c r="B400" t="str">
        <f t="shared" si="16"/>
        <v>76-85</v>
      </c>
      <c r="C400">
        <v>79</v>
      </c>
      <c r="D400" t="s">
        <v>16</v>
      </c>
      <c r="E400" t="s">
        <v>51</v>
      </c>
      <c r="F400" t="s">
        <v>72</v>
      </c>
      <c r="G400" s="1">
        <v>45185</v>
      </c>
      <c r="H400" t="s">
        <v>1284</v>
      </c>
      <c r="I400" t="s">
        <v>1285</v>
      </c>
      <c r="J400" t="s">
        <v>63</v>
      </c>
      <c r="K400">
        <v>11391.1221602653</v>
      </c>
      <c r="L400">
        <v>180</v>
      </c>
      <c r="M400" t="s">
        <v>43</v>
      </c>
      <c r="N400" s="1">
        <v>45196</v>
      </c>
      <c r="O400" t="s">
        <v>50</v>
      </c>
      <c r="P400" t="s">
        <v>24</v>
      </c>
      <c r="Q400">
        <v>11</v>
      </c>
    </row>
    <row r="401" spans="1:17" x14ac:dyDescent="0.35">
      <c r="A401" t="s">
        <v>2447</v>
      </c>
      <c r="B401" t="str">
        <f t="shared" si="16"/>
        <v>56-65</v>
      </c>
      <c r="C401">
        <v>56</v>
      </c>
      <c r="D401" t="s">
        <v>26</v>
      </c>
      <c r="E401" t="s">
        <v>51</v>
      </c>
      <c r="F401" t="s">
        <v>72</v>
      </c>
      <c r="G401" s="1">
        <v>45113</v>
      </c>
      <c r="H401" t="s">
        <v>2448</v>
      </c>
      <c r="I401" t="s">
        <v>2449</v>
      </c>
      <c r="J401" t="s">
        <v>54</v>
      </c>
      <c r="K401">
        <v>47900.188645302696</v>
      </c>
      <c r="L401">
        <v>440</v>
      </c>
      <c r="M401" t="s">
        <v>43</v>
      </c>
      <c r="N401" s="1">
        <v>45127</v>
      </c>
      <c r="O401" t="s">
        <v>33</v>
      </c>
      <c r="P401" t="s">
        <v>34</v>
      </c>
      <c r="Q401">
        <v>14</v>
      </c>
    </row>
    <row r="402" spans="1:17" x14ac:dyDescent="0.35">
      <c r="A402" t="s">
        <v>1782</v>
      </c>
      <c r="B402" t="str">
        <f t="shared" si="16"/>
        <v>56-65</v>
      </c>
      <c r="C402">
        <v>57</v>
      </c>
      <c r="D402" t="s">
        <v>16</v>
      </c>
      <c r="E402" t="s">
        <v>92</v>
      </c>
      <c r="F402" t="s">
        <v>72</v>
      </c>
      <c r="G402" s="1">
        <v>43756</v>
      </c>
      <c r="H402" t="s">
        <v>1783</v>
      </c>
      <c r="I402" t="s">
        <v>1784</v>
      </c>
      <c r="J402" t="s">
        <v>21</v>
      </c>
      <c r="K402">
        <v>36200.574823271003</v>
      </c>
      <c r="L402">
        <v>150</v>
      </c>
      <c r="M402" t="s">
        <v>22</v>
      </c>
      <c r="N402" s="1">
        <v>43776</v>
      </c>
      <c r="O402" t="s">
        <v>44</v>
      </c>
      <c r="P402" t="s">
        <v>24</v>
      </c>
      <c r="Q402">
        <v>20</v>
      </c>
    </row>
    <row r="403" spans="1:17" x14ac:dyDescent="0.35">
      <c r="A403" t="s">
        <v>2541</v>
      </c>
      <c r="B403" t="str">
        <f t="shared" si="16"/>
        <v>18-25</v>
      </c>
      <c r="C403">
        <v>21</v>
      </c>
      <c r="D403" t="s">
        <v>16</v>
      </c>
      <c r="E403" t="s">
        <v>65</v>
      </c>
      <c r="F403" t="s">
        <v>72</v>
      </c>
      <c r="G403" s="1">
        <v>44656</v>
      </c>
      <c r="H403" t="s">
        <v>2542</v>
      </c>
      <c r="I403" t="s">
        <v>2543</v>
      </c>
      <c r="J403" t="s">
        <v>21</v>
      </c>
      <c r="K403">
        <v>45853.988019674602</v>
      </c>
      <c r="L403">
        <v>401</v>
      </c>
      <c r="M403" t="s">
        <v>43</v>
      </c>
      <c r="N403" s="1">
        <v>44672</v>
      </c>
      <c r="O403" t="s">
        <v>33</v>
      </c>
      <c r="P403" t="s">
        <v>34</v>
      </c>
      <c r="Q403">
        <v>16</v>
      </c>
    </row>
    <row r="404" spans="1:17" x14ac:dyDescent="0.35">
      <c r="A404" t="s">
        <v>1119</v>
      </c>
      <c r="B404" t="str">
        <f t="shared" ref="B404:B467" si="17">VLOOKUP(C404,$T$3:$U$9,2,TRUE)</f>
        <v>46-55</v>
      </c>
      <c r="C404">
        <v>50</v>
      </c>
      <c r="D404" t="s">
        <v>16</v>
      </c>
      <c r="E404" t="s">
        <v>65</v>
      </c>
      <c r="F404" t="s">
        <v>72</v>
      </c>
      <c r="G404" s="1">
        <v>45164</v>
      </c>
      <c r="H404" t="s">
        <v>1120</v>
      </c>
      <c r="I404" t="s">
        <v>1121</v>
      </c>
      <c r="J404" t="s">
        <v>31</v>
      </c>
      <c r="K404">
        <v>19710.535332992898</v>
      </c>
      <c r="L404">
        <v>107</v>
      </c>
      <c r="M404" t="s">
        <v>32</v>
      </c>
      <c r="N404" s="1">
        <v>45185</v>
      </c>
      <c r="O404" t="s">
        <v>87</v>
      </c>
      <c r="P404" t="s">
        <v>24</v>
      </c>
      <c r="Q404">
        <v>21</v>
      </c>
    </row>
    <row r="405" spans="1:17" x14ac:dyDescent="0.35">
      <c r="A405" t="s">
        <v>2538</v>
      </c>
      <c r="B405" t="str">
        <f t="shared" si="17"/>
        <v>76-85</v>
      </c>
      <c r="C405">
        <v>79</v>
      </c>
      <c r="D405" t="s">
        <v>26</v>
      </c>
      <c r="E405" t="s">
        <v>232</v>
      </c>
      <c r="F405" t="s">
        <v>72</v>
      </c>
      <c r="G405" s="1">
        <v>44977</v>
      </c>
      <c r="H405" t="s">
        <v>2539</v>
      </c>
      <c r="I405" t="s">
        <v>2540</v>
      </c>
      <c r="J405" t="s">
        <v>63</v>
      </c>
      <c r="K405">
        <v>19989.167918245999</v>
      </c>
      <c r="L405">
        <v>449</v>
      </c>
      <c r="M405" t="s">
        <v>43</v>
      </c>
      <c r="N405" s="1">
        <v>44999</v>
      </c>
      <c r="O405" t="s">
        <v>87</v>
      </c>
      <c r="P405" t="s">
        <v>45</v>
      </c>
      <c r="Q405">
        <v>22</v>
      </c>
    </row>
    <row r="406" spans="1:17" x14ac:dyDescent="0.35">
      <c r="A406" t="s">
        <v>557</v>
      </c>
      <c r="B406" t="str">
        <f t="shared" si="17"/>
        <v>66-75</v>
      </c>
      <c r="C406">
        <v>68</v>
      </c>
      <c r="D406" t="s">
        <v>26</v>
      </c>
      <c r="E406" t="s">
        <v>36</v>
      </c>
      <c r="F406" t="s">
        <v>72</v>
      </c>
      <c r="G406" s="1">
        <v>43701</v>
      </c>
      <c r="H406" t="s">
        <v>558</v>
      </c>
      <c r="I406" t="s">
        <v>559</v>
      </c>
      <c r="J406" t="s">
        <v>59</v>
      </c>
      <c r="K406">
        <v>14029.2069505289</v>
      </c>
      <c r="L406">
        <v>260</v>
      </c>
      <c r="M406" t="s">
        <v>32</v>
      </c>
      <c r="N406" s="1">
        <v>43713</v>
      </c>
      <c r="O406" t="s">
        <v>50</v>
      </c>
      <c r="P406" t="s">
        <v>45</v>
      </c>
      <c r="Q406">
        <v>12</v>
      </c>
    </row>
    <row r="407" spans="1:17" x14ac:dyDescent="0.35">
      <c r="A407" t="s">
        <v>2036</v>
      </c>
      <c r="B407" t="str">
        <f t="shared" si="17"/>
        <v>36-45</v>
      </c>
      <c r="C407">
        <v>40</v>
      </c>
      <c r="D407" t="s">
        <v>16</v>
      </c>
      <c r="E407" t="s">
        <v>17</v>
      </c>
      <c r="F407" t="s">
        <v>72</v>
      </c>
      <c r="G407" s="1">
        <v>43632</v>
      </c>
      <c r="H407" t="s">
        <v>2037</v>
      </c>
      <c r="I407" t="s">
        <v>2038</v>
      </c>
      <c r="J407" t="s">
        <v>31</v>
      </c>
      <c r="K407">
        <v>34855.727260136897</v>
      </c>
      <c r="L407">
        <v>233</v>
      </c>
      <c r="M407" t="s">
        <v>43</v>
      </c>
      <c r="N407" s="1">
        <v>43651</v>
      </c>
      <c r="O407" t="s">
        <v>44</v>
      </c>
      <c r="P407" t="s">
        <v>34</v>
      </c>
      <c r="Q407">
        <v>19</v>
      </c>
    </row>
    <row r="408" spans="1:17" x14ac:dyDescent="0.35">
      <c r="A408" t="s">
        <v>1220</v>
      </c>
      <c r="B408" t="str">
        <f t="shared" si="17"/>
        <v>76-85</v>
      </c>
      <c r="C408">
        <v>84</v>
      </c>
      <c r="D408" t="s">
        <v>26</v>
      </c>
      <c r="E408" t="s">
        <v>17</v>
      </c>
      <c r="F408" t="s">
        <v>72</v>
      </c>
      <c r="G408" s="1">
        <v>45027</v>
      </c>
      <c r="H408" t="s">
        <v>1221</v>
      </c>
      <c r="I408" t="s">
        <v>1222</v>
      </c>
      <c r="J408" t="s">
        <v>63</v>
      </c>
      <c r="K408">
        <v>5411.4145455129101</v>
      </c>
      <c r="L408">
        <v>270</v>
      </c>
      <c r="M408" t="s">
        <v>22</v>
      </c>
      <c r="N408" s="1">
        <v>45052</v>
      </c>
      <c r="O408" t="s">
        <v>44</v>
      </c>
      <c r="P408" t="s">
        <v>34</v>
      </c>
      <c r="Q408">
        <v>25</v>
      </c>
    </row>
    <row r="409" spans="1:17" x14ac:dyDescent="0.35">
      <c r="A409" t="s">
        <v>2027</v>
      </c>
      <c r="B409" t="str">
        <f t="shared" si="17"/>
        <v>36-45</v>
      </c>
      <c r="C409">
        <v>43</v>
      </c>
      <c r="D409" t="s">
        <v>16</v>
      </c>
      <c r="E409" t="s">
        <v>17</v>
      </c>
      <c r="F409" t="s">
        <v>72</v>
      </c>
      <c r="G409" s="1">
        <v>44492</v>
      </c>
      <c r="H409" t="s">
        <v>2028</v>
      </c>
      <c r="I409" t="s">
        <v>2029</v>
      </c>
      <c r="J409" t="s">
        <v>63</v>
      </c>
      <c r="K409">
        <v>43750.163335970901</v>
      </c>
      <c r="L409">
        <v>131</v>
      </c>
      <c r="M409" t="s">
        <v>43</v>
      </c>
      <c r="N409" s="1">
        <v>44510</v>
      </c>
      <c r="O409" t="s">
        <v>44</v>
      </c>
      <c r="P409" t="s">
        <v>24</v>
      </c>
      <c r="Q409">
        <v>18</v>
      </c>
    </row>
    <row r="410" spans="1:17" x14ac:dyDescent="0.35">
      <c r="A410" t="s">
        <v>1179</v>
      </c>
      <c r="B410" t="str">
        <f t="shared" si="17"/>
        <v>46-55</v>
      </c>
      <c r="C410">
        <v>50</v>
      </c>
      <c r="D410" t="s">
        <v>26</v>
      </c>
      <c r="E410" t="s">
        <v>232</v>
      </c>
      <c r="F410" t="s">
        <v>72</v>
      </c>
      <c r="G410" s="1">
        <v>44581</v>
      </c>
      <c r="H410" t="s">
        <v>1180</v>
      </c>
      <c r="I410" t="s">
        <v>1181</v>
      </c>
      <c r="J410" t="s">
        <v>59</v>
      </c>
      <c r="K410">
        <v>29878.881332256002</v>
      </c>
      <c r="L410">
        <v>479</v>
      </c>
      <c r="M410" t="s">
        <v>22</v>
      </c>
      <c r="N410" s="1">
        <v>44583</v>
      </c>
      <c r="O410" t="s">
        <v>44</v>
      </c>
      <c r="P410" t="s">
        <v>45</v>
      </c>
      <c r="Q410">
        <v>2</v>
      </c>
    </row>
    <row r="411" spans="1:17" x14ac:dyDescent="0.35">
      <c r="A411" t="s">
        <v>2937</v>
      </c>
      <c r="B411" t="str">
        <f t="shared" si="17"/>
        <v>56-65</v>
      </c>
      <c r="C411">
        <v>65</v>
      </c>
      <c r="D411" t="s">
        <v>26</v>
      </c>
      <c r="E411" t="s">
        <v>51</v>
      </c>
      <c r="F411" t="s">
        <v>72</v>
      </c>
      <c r="G411" s="1">
        <v>43421</v>
      </c>
      <c r="H411" t="s">
        <v>2938</v>
      </c>
      <c r="I411" t="s">
        <v>2939</v>
      </c>
      <c r="J411" t="s">
        <v>21</v>
      </c>
      <c r="K411">
        <v>31097.836432076601</v>
      </c>
      <c r="L411">
        <v>285</v>
      </c>
      <c r="M411" t="s">
        <v>32</v>
      </c>
      <c r="N411" s="1">
        <v>43442</v>
      </c>
      <c r="O411" t="s">
        <v>44</v>
      </c>
      <c r="P411" t="s">
        <v>45</v>
      </c>
      <c r="Q411">
        <v>21</v>
      </c>
    </row>
    <row r="412" spans="1:17" x14ac:dyDescent="0.35">
      <c r="A412" t="s">
        <v>189</v>
      </c>
      <c r="B412" t="str">
        <f t="shared" si="17"/>
        <v>76-85</v>
      </c>
      <c r="C412">
        <v>78</v>
      </c>
      <c r="D412" t="s">
        <v>16</v>
      </c>
      <c r="E412" t="s">
        <v>36</v>
      </c>
      <c r="F412" t="s">
        <v>72</v>
      </c>
      <c r="G412" s="1">
        <v>43924</v>
      </c>
      <c r="H412" t="s">
        <v>190</v>
      </c>
      <c r="I412" t="s">
        <v>191</v>
      </c>
      <c r="J412" t="s">
        <v>54</v>
      </c>
      <c r="K412">
        <v>25948.507189184002</v>
      </c>
      <c r="L412">
        <v>359</v>
      </c>
      <c r="M412" t="s">
        <v>32</v>
      </c>
      <c r="N412" s="1">
        <v>43927</v>
      </c>
      <c r="O412" t="s">
        <v>33</v>
      </c>
      <c r="P412" t="s">
        <v>34</v>
      </c>
      <c r="Q412">
        <v>3</v>
      </c>
    </row>
    <row r="413" spans="1:17" x14ac:dyDescent="0.35">
      <c r="A413" t="s">
        <v>2288</v>
      </c>
      <c r="B413" t="str">
        <f t="shared" si="17"/>
        <v>56-65</v>
      </c>
      <c r="C413">
        <v>61</v>
      </c>
      <c r="D413" t="s">
        <v>26</v>
      </c>
      <c r="E413" t="s">
        <v>27</v>
      </c>
      <c r="F413" t="s">
        <v>72</v>
      </c>
      <c r="G413" s="1">
        <v>43693</v>
      </c>
      <c r="H413" t="s">
        <v>2289</v>
      </c>
      <c r="I413" t="s">
        <v>2290</v>
      </c>
      <c r="J413" t="s">
        <v>31</v>
      </c>
      <c r="K413">
        <v>19180.357681207701</v>
      </c>
      <c r="L413">
        <v>469</v>
      </c>
      <c r="M413" t="s">
        <v>22</v>
      </c>
      <c r="N413" s="1">
        <v>43718</v>
      </c>
      <c r="O413" t="s">
        <v>87</v>
      </c>
      <c r="P413" t="s">
        <v>34</v>
      </c>
      <c r="Q413">
        <v>25</v>
      </c>
    </row>
    <row r="414" spans="1:17" x14ac:dyDescent="0.35">
      <c r="A414" t="s">
        <v>2094</v>
      </c>
      <c r="B414" t="str">
        <f t="shared" si="17"/>
        <v>18-25</v>
      </c>
      <c r="C414">
        <v>20</v>
      </c>
      <c r="D414" t="s">
        <v>26</v>
      </c>
      <c r="E414" t="s">
        <v>17</v>
      </c>
      <c r="F414" t="s">
        <v>72</v>
      </c>
      <c r="G414" s="1">
        <v>44955</v>
      </c>
      <c r="H414" t="s">
        <v>2095</v>
      </c>
      <c r="I414" t="s">
        <v>2096</v>
      </c>
      <c r="J414" t="s">
        <v>63</v>
      </c>
      <c r="K414">
        <v>2397.2433727984098</v>
      </c>
      <c r="L414">
        <v>193</v>
      </c>
      <c r="M414" t="s">
        <v>43</v>
      </c>
      <c r="N414" s="1">
        <v>44959</v>
      </c>
      <c r="O414" t="s">
        <v>50</v>
      </c>
      <c r="P414" t="s">
        <v>34</v>
      </c>
      <c r="Q414">
        <v>4</v>
      </c>
    </row>
    <row r="415" spans="1:17" x14ac:dyDescent="0.35">
      <c r="A415" t="s">
        <v>2744</v>
      </c>
      <c r="B415" t="str">
        <f t="shared" si="17"/>
        <v>76-85</v>
      </c>
      <c r="C415">
        <v>81</v>
      </c>
      <c r="D415" t="s">
        <v>26</v>
      </c>
      <c r="E415" t="s">
        <v>65</v>
      </c>
      <c r="F415" t="s">
        <v>72</v>
      </c>
      <c r="G415" s="1">
        <v>43655</v>
      </c>
      <c r="H415" t="s">
        <v>2745</v>
      </c>
      <c r="I415" t="s">
        <v>2746</v>
      </c>
      <c r="J415" t="s">
        <v>63</v>
      </c>
      <c r="K415">
        <v>32362.671074725698</v>
      </c>
      <c r="L415">
        <v>290</v>
      </c>
      <c r="M415" t="s">
        <v>32</v>
      </c>
      <c r="N415" s="1">
        <v>43659</v>
      </c>
      <c r="O415" t="s">
        <v>50</v>
      </c>
      <c r="P415" t="s">
        <v>34</v>
      </c>
      <c r="Q415">
        <v>4</v>
      </c>
    </row>
    <row r="416" spans="1:17" x14ac:dyDescent="0.35">
      <c r="A416" t="s">
        <v>2970</v>
      </c>
      <c r="B416" t="str">
        <f t="shared" si="17"/>
        <v>76-85</v>
      </c>
      <c r="C416">
        <v>85</v>
      </c>
      <c r="D416" t="s">
        <v>26</v>
      </c>
      <c r="E416" t="s">
        <v>36</v>
      </c>
      <c r="F416" t="s">
        <v>72</v>
      </c>
      <c r="G416" s="1">
        <v>43670</v>
      </c>
      <c r="H416" t="s">
        <v>2971</v>
      </c>
      <c r="I416" t="s">
        <v>2972</v>
      </c>
      <c r="J416" t="s">
        <v>63</v>
      </c>
      <c r="K416">
        <v>13393.830698773199</v>
      </c>
      <c r="L416">
        <v>387</v>
      </c>
      <c r="M416" t="s">
        <v>43</v>
      </c>
      <c r="N416" s="1">
        <v>43696</v>
      </c>
      <c r="O416" t="s">
        <v>23</v>
      </c>
      <c r="P416" t="s">
        <v>34</v>
      </c>
      <c r="Q416">
        <v>26</v>
      </c>
    </row>
    <row r="417" spans="1:17" x14ac:dyDescent="0.35">
      <c r="A417" t="s">
        <v>1895</v>
      </c>
      <c r="B417" t="str">
        <f t="shared" si="17"/>
        <v>66-75</v>
      </c>
      <c r="C417">
        <v>67</v>
      </c>
      <c r="D417" t="s">
        <v>26</v>
      </c>
      <c r="E417" t="s">
        <v>65</v>
      </c>
      <c r="F417" t="s">
        <v>72</v>
      </c>
      <c r="G417" s="1">
        <v>43885</v>
      </c>
      <c r="H417" t="s">
        <v>1896</v>
      </c>
      <c r="I417" t="s">
        <v>1897</v>
      </c>
      <c r="J417" t="s">
        <v>54</v>
      </c>
      <c r="K417">
        <v>7515.1067261651497</v>
      </c>
      <c r="L417">
        <v>118</v>
      </c>
      <c r="M417" t="s">
        <v>43</v>
      </c>
      <c r="N417" s="1">
        <v>43908</v>
      </c>
      <c r="O417" t="s">
        <v>33</v>
      </c>
      <c r="P417" t="s">
        <v>45</v>
      </c>
      <c r="Q417">
        <v>23</v>
      </c>
    </row>
    <row r="418" spans="1:17" x14ac:dyDescent="0.35">
      <c r="A418" t="s">
        <v>2042</v>
      </c>
      <c r="B418" t="str">
        <f t="shared" si="17"/>
        <v>76-85</v>
      </c>
      <c r="C418">
        <v>80</v>
      </c>
      <c r="D418" t="s">
        <v>16</v>
      </c>
      <c r="E418" t="s">
        <v>232</v>
      </c>
      <c r="F418" t="s">
        <v>72</v>
      </c>
      <c r="G418" s="1">
        <v>44384</v>
      </c>
      <c r="H418" t="s">
        <v>2043</v>
      </c>
      <c r="I418" t="s">
        <v>2044</v>
      </c>
      <c r="J418" t="s">
        <v>63</v>
      </c>
      <c r="K418">
        <v>12042.408939254799</v>
      </c>
      <c r="L418">
        <v>385</v>
      </c>
      <c r="M418" t="s">
        <v>22</v>
      </c>
      <c r="N418" s="1">
        <v>44385</v>
      </c>
      <c r="O418" t="s">
        <v>33</v>
      </c>
      <c r="P418" t="s">
        <v>24</v>
      </c>
      <c r="Q418">
        <v>1</v>
      </c>
    </row>
    <row r="419" spans="1:17" x14ac:dyDescent="0.35">
      <c r="A419" t="s">
        <v>1797</v>
      </c>
      <c r="B419" t="str">
        <f t="shared" si="17"/>
        <v>66-75</v>
      </c>
      <c r="C419">
        <v>70</v>
      </c>
      <c r="D419" t="s">
        <v>16</v>
      </c>
      <c r="E419" t="s">
        <v>36</v>
      </c>
      <c r="F419" t="s">
        <v>72</v>
      </c>
      <c r="G419" s="1">
        <v>43973</v>
      </c>
      <c r="H419" t="s">
        <v>1798</v>
      </c>
      <c r="I419" t="s">
        <v>1799</v>
      </c>
      <c r="J419" t="s">
        <v>59</v>
      </c>
      <c r="K419">
        <v>47716.541559324003</v>
      </c>
      <c r="L419">
        <v>150</v>
      </c>
      <c r="M419" t="s">
        <v>22</v>
      </c>
      <c r="N419" s="1">
        <v>43980</v>
      </c>
      <c r="O419" t="s">
        <v>23</v>
      </c>
      <c r="P419" t="s">
        <v>45</v>
      </c>
      <c r="Q419">
        <v>7</v>
      </c>
    </row>
    <row r="420" spans="1:17" x14ac:dyDescent="0.35">
      <c r="A420" t="s">
        <v>2547</v>
      </c>
      <c r="B420" t="str">
        <f t="shared" si="17"/>
        <v>46-55</v>
      </c>
      <c r="C420">
        <v>52</v>
      </c>
      <c r="D420" t="s">
        <v>16</v>
      </c>
      <c r="E420" t="s">
        <v>117</v>
      </c>
      <c r="F420" t="s">
        <v>72</v>
      </c>
      <c r="G420" s="1">
        <v>44926</v>
      </c>
      <c r="H420" t="s">
        <v>2548</v>
      </c>
      <c r="I420" t="s">
        <v>2549</v>
      </c>
      <c r="J420" t="s">
        <v>59</v>
      </c>
      <c r="K420">
        <v>33070.804942685398</v>
      </c>
      <c r="L420">
        <v>265</v>
      </c>
      <c r="M420" t="s">
        <v>22</v>
      </c>
      <c r="N420" s="1">
        <v>44944</v>
      </c>
      <c r="O420" t="s">
        <v>33</v>
      </c>
      <c r="P420" t="s">
        <v>34</v>
      </c>
      <c r="Q420">
        <v>18</v>
      </c>
    </row>
    <row r="421" spans="1:17" x14ac:dyDescent="0.35">
      <c r="A421" t="s">
        <v>1053</v>
      </c>
      <c r="B421" t="str">
        <f t="shared" si="17"/>
        <v>76-85</v>
      </c>
      <c r="C421">
        <v>79</v>
      </c>
      <c r="D421" t="s">
        <v>16</v>
      </c>
      <c r="E421" t="s">
        <v>27</v>
      </c>
      <c r="F421" t="s">
        <v>72</v>
      </c>
      <c r="G421" s="1">
        <v>44649</v>
      </c>
      <c r="H421" t="s">
        <v>1054</v>
      </c>
      <c r="I421" t="s">
        <v>1055</v>
      </c>
      <c r="J421" t="s">
        <v>59</v>
      </c>
      <c r="K421">
        <v>45444.293735330597</v>
      </c>
      <c r="L421">
        <v>368</v>
      </c>
      <c r="M421" t="s">
        <v>22</v>
      </c>
      <c r="N421" s="1">
        <v>44672</v>
      </c>
      <c r="O421" t="s">
        <v>33</v>
      </c>
      <c r="P421" t="s">
        <v>45</v>
      </c>
      <c r="Q421">
        <v>23</v>
      </c>
    </row>
    <row r="422" spans="1:17" x14ac:dyDescent="0.35">
      <c r="A422" t="s">
        <v>1459</v>
      </c>
      <c r="B422" t="str">
        <f t="shared" si="17"/>
        <v>66-75</v>
      </c>
      <c r="C422">
        <v>72</v>
      </c>
      <c r="D422" t="s">
        <v>16</v>
      </c>
      <c r="E422" t="s">
        <v>17</v>
      </c>
      <c r="F422" t="s">
        <v>72</v>
      </c>
      <c r="G422" s="1">
        <v>44950</v>
      </c>
      <c r="H422" t="s">
        <v>1460</v>
      </c>
      <c r="I422" t="s">
        <v>1461</v>
      </c>
      <c r="J422" t="s">
        <v>21</v>
      </c>
      <c r="K422">
        <v>17370.674028876401</v>
      </c>
      <c r="L422">
        <v>334</v>
      </c>
      <c r="M422" t="s">
        <v>32</v>
      </c>
      <c r="N422" s="1">
        <v>44975</v>
      </c>
      <c r="O422" t="s">
        <v>50</v>
      </c>
      <c r="P422" t="s">
        <v>45</v>
      </c>
      <c r="Q422">
        <v>25</v>
      </c>
    </row>
    <row r="423" spans="1:17" x14ac:dyDescent="0.35">
      <c r="A423" t="s">
        <v>1585</v>
      </c>
      <c r="B423" t="str">
        <f t="shared" si="17"/>
        <v>26-35</v>
      </c>
      <c r="C423">
        <v>34</v>
      </c>
      <c r="D423" t="s">
        <v>26</v>
      </c>
      <c r="E423" t="s">
        <v>117</v>
      </c>
      <c r="F423" t="s">
        <v>72</v>
      </c>
      <c r="G423" s="1">
        <v>44922</v>
      </c>
      <c r="H423" t="s">
        <v>1586</v>
      </c>
      <c r="I423" t="s">
        <v>1587</v>
      </c>
      <c r="J423" t="s">
        <v>54</v>
      </c>
      <c r="K423">
        <v>8144.4999172053604</v>
      </c>
      <c r="L423">
        <v>369</v>
      </c>
      <c r="M423" t="s">
        <v>32</v>
      </c>
      <c r="N423" s="1">
        <v>44937</v>
      </c>
      <c r="O423" t="s">
        <v>44</v>
      </c>
      <c r="P423" t="s">
        <v>34</v>
      </c>
      <c r="Q423">
        <v>15</v>
      </c>
    </row>
    <row r="424" spans="1:17" x14ac:dyDescent="0.35">
      <c r="A424" t="s">
        <v>222</v>
      </c>
      <c r="B424" t="str">
        <f t="shared" si="17"/>
        <v>26-35</v>
      </c>
      <c r="C424">
        <v>27</v>
      </c>
      <c r="D424" t="s">
        <v>16</v>
      </c>
      <c r="E424" t="s">
        <v>117</v>
      </c>
      <c r="F424" t="s">
        <v>72</v>
      </c>
      <c r="G424" s="1">
        <v>43849</v>
      </c>
      <c r="H424" t="s">
        <v>223</v>
      </c>
      <c r="I424" t="s">
        <v>224</v>
      </c>
      <c r="J424" t="s">
        <v>59</v>
      </c>
      <c r="K424">
        <v>47508.000179159601</v>
      </c>
      <c r="L424">
        <v>120</v>
      </c>
      <c r="M424" t="s">
        <v>43</v>
      </c>
      <c r="N424" s="1">
        <v>43854</v>
      </c>
      <c r="O424" t="s">
        <v>87</v>
      </c>
      <c r="P424" t="s">
        <v>24</v>
      </c>
      <c r="Q424">
        <v>5</v>
      </c>
    </row>
    <row r="425" spans="1:17" x14ac:dyDescent="0.35">
      <c r="A425" t="s">
        <v>2673</v>
      </c>
      <c r="B425" t="str">
        <f t="shared" si="17"/>
        <v>26-35</v>
      </c>
      <c r="C425">
        <v>34</v>
      </c>
      <c r="D425" t="s">
        <v>16</v>
      </c>
      <c r="E425" t="s">
        <v>92</v>
      </c>
      <c r="F425" t="s">
        <v>72</v>
      </c>
      <c r="G425" s="1">
        <v>43584</v>
      </c>
      <c r="H425" t="s">
        <v>2674</v>
      </c>
      <c r="I425" t="s">
        <v>2675</v>
      </c>
      <c r="J425" t="s">
        <v>59</v>
      </c>
      <c r="K425">
        <v>10160.5792785794</v>
      </c>
      <c r="L425">
        <v>236</v>
      </c>
      <c r="M425" t="s">
        <v>32</v>
      </c>
      <c r="N425" s="1">
        <v>43609</v>
      </c>
      <c r="O425" t="s">
        <v>87</v>
      </c>
      <c r="P425" t="s">
        <v>24</v>
      </c>
      <c r="Q425">
        <v>25</v>
      </c>
    </row>
    <row r="426" spans="1:17" x14ac:dyDescent="0.35">
      <c r="A426" t="s">
        <v>673</v>
      </c>
      <c r="B426" t="str">
        <f t="shared" si="17"/>
        <v>36-45</v>
      </c>
      <c r="C426">
        <v>40</v>
      </c>
      <c r="D426" t="s">
        <v>16</v>
      </c>
      <c r="E426" t="s">
        <v>17</v>
      </c>
      <c r="F426" t="s">
        <v>72</v>
      </c>
      <c r="G426" s="1">
        <v>43597</v>
      </c>
      <c r="H426" t="s">
        <v>674</v>
      </c>
      <c r="I426" t="s">
        <v>675</v>
      </c>
      <c r="J426" t="s">
        <v>59</v>
      </c>
      <c r="K426">
        <v>17656.038396248801</v>
      </c>
      <c r="L426">
        <v>119</v>
      </c>
      <c r="M426" t="s">
        <v>43</v>
      </c>
      <c r="N426" s="1">
        <v>43610</v>
      </c>
      <c r="O426" t="s">
        <v>33</v>
      </c>
      <c r="P426" t="s">
        <v>34</v>
      </c>
      <c r="Q426">
        <v>13</v>
      </c>
    </row>
    <row r="427" spans="1:17" x14ac:dyDescent="0.35">
      <c r="A427" t="s">
        <v>141</v>
      </c>
      <c r="B427" t="str">
        <f t="shared" si="17"/>
        <v>66-75</v>
      </c>
      <c r="C427">
        <v>74</v>
      </c>
      <c r="D427" t="s">
        <v>26</v>
      </c>
      <c r="E427" t="s">
        <v>36</v>
      </c>
      <c r="F427" t="s">
        <v>72</v>
      </c>
      <c r="G427" s="1">
        <v>44835</v>
      </c>
      <c r="H427" t="s">
        <v>1382</v>
      </c>
      <c r="I427" t="s">
        <v>1383</v>
      </c>
      <c r="J427" t="s">
        <v>63</v>
      </c>
      <c r="K427">
        <v>5706.4381417368004</v>
      </c>
      <c r="L427">
        <v>492</v>
      </c>
      <c r="M427" t="s">
        <v>32</v>
      </c>
      <c r="N427" s="1">
        <v>44862</v>
      </c>
      <c r="O427" t="s">
        <v>87</v>
      </c>
      <c r="P427" t="s">
        <v>45</v>
      </c>
      <c r="Q427">
        <v>27</v>
      </c>
    </row>
    <row r="428" spans="1:17" x14ac:dyDescent="0.35">
      <c r="A428" t="s">
        <v>1957</v>
      </c>
      <c r="B428" t="str">
        <f t="shared" si="17"/>
        <v>76-85</v>
      </c>
      <c r="C428">
        <v>76</v>
      </c>
      <c r="D428" t="s">
        <v>26</v>
      </c>
      <c r="E428" t="s">
        <v>92</v>
      </c>
      <c r="F428" t="s">
        <v>72</v>
      </c>
      <c r="G428" s="1">
        <v>43546</v>
      </c>
      <c r="H428" t="s">
        <v>1958</v>
      </c>
      <c r="I428" t="s">
        <v>1959</v>
      </c>
      <c r="J428" t="s">
        <v>31</v>
      </c>
      <c r="K428">
        <v>35296.607397482003</v>
      </c>
      <c r="L428">
        <v>478</v>
      </c>
      <c r="M428" t="s">
        <v>22</v>
      </c>
      <c r="N428" s="1">
        <v>43567</v>
      </c>
      <c r="O428" t="s">
        <v>33</v>
      </c>
      <c r="P428" t="s">
        <v>24</v>
      </c>
      <c r="Q428">
        <v>21</v>
      </c>
    </row>
    <row r="429" spans="1:17" x14ac:dyDescent="0.35">
      <c r="A429" t="s">
        <v>2500</v>
      </c>
      <c r="B429" t="str">
        <f t="shared" si="17"/>
        <v>56-65</v>
      </c>
      <c r="C429">
        <v>64</v>
      </c>
      <c r="D429" t="s">
        <v>16</v>
      </c>
      <c r="E429" t="s">
        <v>17</v>
      </c>
      <c r="F429" t="s">
        <v>72</v>
      </c>
      <c r="G429" s="1">
        <v>45128</v>
      </c>
      <c r="H429" t="s">
        <v>2501</v>
      </c>
      <c r="I429" t="s">
        <v>2502</v>
      </c>
      <c r="J429" t="s">
        <v>54</v>
      </c>
      <c r="K429">
        <v>25817.6951849426</v>
      </c>
      <c r="L429">
        <v>163</v>
      </c>
      <c r="M429" t="s">
        <v>32</v>
      </c>
      <c r="N429" s="1">
        <v>45129</v>
      </c>
      <c r="O429" t="s">
        <v>23</v>
      </c>
      <c r="P429" t="s">
        <v>45</v>
      </c>
      <c r="Q429">
        <v>1</v>
      </c>
    </row>
    <row r="430" spans="1:17" x14ac:dyDescent="0.35">
      <c r="A430" t="s">
        <v>757</v>
      </c>
      <c r="B430" t="str">
        <f t="shared" si="17"/>
        <v>36-45</v>
      </c>
      <c r="C430">
        <v>39</v>
      </c>
      <c r="D430" t="s">
        <v>26</v>
      </c>
      <c r="E430" t="s">
        <v>117</v>
      </c>
      <c r="F430" t="s">
        <v>72</v>
      </c>
      <c r="G430" s="1">
        <v>43863</v>
      </c>
      <c r="H430" t="s">
        <v>758</v>
      </c>
      <c r="I430" t="s">
        <v>759</v>
      </c>
      <c r="J430" t="s">
        <v>54</v>
      </c>
      <c r="K430">
        <v>28792.0506208064</v>
      </c>
      <c r="L430">
        <v>416</v>
      </c>
      <c r="M430" t="s">
        <v>32</v>
      </c>
      <c r="N430" s="1">
        <v>43876</v>
      </c>
      <c r="O430" t="s">
        <v>33</v>
      </c>
      <c r="P430" t="s">
        <v>45</v>
      </c>
      <c r="Q430">
        <v>13</v>
      </c>
    </row>
    <row r="431" spans="1:17" x14ac:dyDescent="0.35">
      <c r="A431" t="s">
        <v>2691</v>
      </c>
      <c r="B431" t="str">
        <f t="shared" si="17"/>
        <v>26-35</v>
      </c>
      <c r="C431">
        <v>28</v>
      </c>
      <c r="D431" t="s">
        <v>26</v>
      </c>
      <c r="E431" t="s">
        <v>27</v>
      </c>
      <c r="F431" t="s">
        <v>72</v>
      </c>
      <c r="G431" s="1">
        <v>43832</v>
      </c>
      <c r="H431" t="s">
        <v>2692</v>
      </c>
      <c r="I431" t="s">
        <v>2693</v>
      </c>
      <c r="J431" t="s">
        <v>31</v>
      </c>
      <c r="K431">
        <v>18793.673611654802</v>
      </c>
      <c r="L431">
        <v>184</v>
      </c>
      <c r="M431" t="s">
        <v>43</v>
      </c>
      <c r="N431" s="1">
        <v>43839</v>
      </c>
      <c r="O431" t="s">
        <v>87</v>
      </c>
      <c r="P431" t="s">
        <v>34</v>
      </c>
      <c r="Q431">
        <v>7</v>
      </c>
    </row>
    <row r="432" spans="1:17" x14ac:dyDescent="0.35">
      <c r="A432" t="s">
        <v>147</v>
      </c>
      <c r="B432" t="str">
        <f t="shared" si="17"/>
        <v>26-35</v>
      </c>
      <c r="C432">
        <v>33</v>
      </c>
      <c r="D432" t="s">
        <v>26</v>
      </c>
      <c r="E432" t="s">
        <v>117</v>
      </c>
      <c r="F432" t="s">
        <v>72</v>
      </c>
      <c r="G432" s="1">
        <v>43800</v>
      </c>
      <c r="H432" t="s">
        <v>148</v>
      </c>
      <c r="I432" t="s">
        <v>149</v>
      </c>
      <c r="J432" t="s">
        <v>59</v>
      </c>
      <c r="K432">
        <v>24609.374626807199</v>
      </c>
      <c r="L432">
        <v>137</v>
      </c>
      <c r="M432" t="s">
        <v>32</v>
      </c>
      <c r="N432" s="1">
        <v>43817</v>
      </c>
      <c r="O432" t="s">
        <v>44</v>
      </c>
      <c r="P432" t="s">
        <v>45</v>
      </c>
      <c r="Q432">
        <v>17</v>
      </c>
    </row>
    <row r="433" spans="1:17" x14ac:dyDescent="0.35">
      <c r="A433" t="s">
        <v>2694</v>
      </c>
      <c r="B433" t="str">
        <f t="shared" si="17"/>
        <v>26-35</v>
      </c>
      <c r="C433">
        <v>34</v>
      </c>
      <c r="D433" t="s">
        <v>26</v>
      </c>
      <c r="E433" t="s">
        <v>117</v>
      </c>
      <c r="F433" t="s">
        <v>72</v>
      </c>
      <c r="G433" s="1">
        <v>44099</v>
      </c>
      <c r="H433" t="s">
        <v>2695</v>
      </c>
      <c r="I433" t="s">
        <v>2696</v>
      </c>
      <c r="J433" t="s">
        <v>21</v>
      </c>
      <c r="K433">
        <v>26851.736552517501</v>
      </c>
      <c r="L433">
        <v>233</v>
      </c>
      <c r="M433" t="s">
        <v>43</v>
      </c>
      <c r="N433" s="1">
        <v>44125</v>
      </c>
      <c r="O433" t="s">
        <v>33</v>
      </c>
      <c r="P433" t="s">
        <v>24</v>
      </c>
      <c r="Q433">
        <v>26</v>
      </c>
    </row>
    <row r="434" spans="1:17" x14ac:dyDescent="0.35">
      <c r="A434" t="s">
        <v>881</v>
      </c>
      <c r="B434" t="str">
        <f t="shared" si="17"/>
        <v>26-35</v>
      </c>
      <c r="C434">
        <v>30</v>
      </c>
      <c r="D434" t="s">
        <v>26</v>
      </c>
      <c r="E434" t="s">
        <v>232</v>
      </c>
      <c r="F434" t="s">
        <v>72</v>
      </c>
      <c r="G434" s="1">
        <v>45170</v>
      </c>
      <c r="H434" t="s">
        <v>882</v>
      </c>
      <c r="I434" t="s">
        <v>883</v>
      </c>
      <c r="J434" t="s">
        <v>59</v>
      </c>
      <c r="K434">
        <v>47295.557512958803</v>
      </c>
      <c r="L434">
        <v>189</v>
      </c>
      <c r="M434" t="s">
        <v>32</v>
      </c>
      <c r="N434" s="1">
        <v>45176</v>
      </c>
      <c r="O434" t="s">
        <v>50</v>
      </c>
      <c r="P434" t="s">
        <v>34</v>
      </c>
      <c r="Q434">
        <v>6</v>
      </c>
    </row>
    <row r="435" spans="1:17" x14ac:dyDescent="0.35">
      <c r="A435" t="s">
        <v>2266</v>
      </c>
      <c r="B435" t="str">
        <f t="shared" si="17"/>
        <v>56-65</v>
      </c>
      <c r="C435">
        <v>60</v>
      </c>
      <c r="D435" t="s">
        <v>26</v>
      </c>
      <c r="E435" t="s">
        <v>92</v>
      </c>
      <c r="F435" t="s">
        <v>72</v>
      </c>
      <c r="G435" s="1">
        <v>45085</v>
      </c>
      <c r="H435" t="s">
        <v>2267</v>
      </c>
      <c r="I435" t="s">
        <v>2268</v>
      </c>
      <c r="J435" t="s">
        <v>31</v>
      </c>
      <c r="K435">
        <v>20592.203163869199</v>
      </c>
      <c r="L435">
        <v>230</v>
      </c>
      <c r="M435" t="s">
        <v>22</v>
      </c>
      <c r="N435" s="1">
        <v>45107</v>
      </c>
      <c r="O435" t="s">
        <v>87</v>
      </c>
      <c r="P435" t="s">
        <v>24</v>
      </c>
      <c r="Q435">
        <v>22</v>
      </c>
    </row>
    <row r="436" spans="1:17" x14ac:dyDescent="0.35">
      <c r="A436" t="s">
        <v>1868</v>
      </c>
      <c r="B436" t="str">
        <f t="shared" si="17"/>
        <v>18-25</v>
      </c>
      <c r="C436">
        <v>21</v>
      </c>
      <c r="D436" t="s">
        <v>16</v>
      </c>
      <c r="E436" t="s">
        <v>117</v>
      </c>
      <c r="F436" t="s">
        <v>72</v>
      </c>
      <c r="G436" s="1">
        <v>43660</v>
      </c>
      <c r="H436" t="s">
        <v>1869</v>
      </c>
      <c r="I436" t="s">
        <v>1870</v>
      </c>
      <c r="J436" t="s">
        <v>31</v>
      </c>
      <c r="K436">
        <v>1308.45051112281</v>
      </c>
      <c r="L436">
        <v>203</v>
      </c>
      <c r="M436" t="s">
        <v>43</v>
      </c>
      <c r="N436" s="1">
        <v>43661</v>
      </c>
      <c r="O436" t="s">
        <v>33</v>
      </c>
      <c r="P436" t="s">
        <v>45</v>
      </c>
      <c r="Q436">
        <v>1</v>
      </c>
    </row>
    <row r="437" spans="1:17" x14ac:dyDescent="0.35">
      <c r="A437" t="s">
        <v>1692</v>
      </c>
      <c r="B437" t="str">
        <f t="shared" si="17"/>
        <v>66-75</v>
      </c>
      <c r="C437">
        <v>71</v>
      </c>
      <c r="D437" t="s">
        <v>16</v>
      </c>
      <c r="E437" t="s">
        <v>51</v>
      </c>
      <c r="F437" t="s">
        <v>72</v>
      </c>
      <c r="G437" s="1">
        <v>44230</v>
      </c>
      <c r="H437" t="s">
        <v>1693</v>
      </c>
      <c r="I437" t="s">
        <v>1694</v>
      </c>
      <c r="J437" t="s">
        <v>63</v>
      </c>
      <c r="K437">
        <v>31603.4642899963</v>
      </c>
      <c r="L437">
        <v>129</v>
      </c>
      <c r="M437" t="s">
        <v>43</v>
      </c>
      <c r="N437" s="1">
        <v>44258</v>
      </c>
      <c r="O437" t="s">
        <v>44</v>
      </c>
      <c r="P437" t="s">
        <v>24</v>
      </c>
      <c r="Q437">
        <v>28</v>
      </c>
    </row>
    <row r="438" spans="1:17" x14ac:dyDescent="0.35">
      <c r="A438" t="s">
        <v>1516</v>
      </c>
      <c r="B438" t="str">
        <f t="shared" si="17"/>
        <v>56-65</v>
      </c>
      <c r="C438">
        <v>59</v>
      </c>
      <c r="D438" t="s">
        <v>16</v>
      </c>
      <c r="E438" t="s">
        <v>117</v>
      </c>
      <c r="F438" t="s">
        <v>72</v>
      </c>
      <c r="G438" s="1">
        <v>44262</v>
      </c>
      <c r="H438" t="s">
        <v>1517</v>
      </c>
      <c r="I438" t="s">
        <v>1464</v>
      </c>
      <c r="J438" t="s">
        <v>21</v>
      </c>
      <c r="K438">
        <v>16579.523111324699</v>
      </c>
      <c r="L438">
        <v>181</v>
      </c>
      <c r="M438" t="s">
        <v>22</v>
      </c>
      <c r="N438" s="1">
        <v>44269</v>
      </c>
      <c r="O438" t="s">
        <v>44</v>
      </c>
      <c r="P438" t="s">
        <v>45</v>
      </c>
      <c r="Q438">
        <v>7</v>
      </c>
    </row>
    <row r="439" spans="1:17" x14ac:dyDescent="0.35">
      <c r="A439" t="s">
        <v>2848</v>
      </c>
      <c r="B439" t="str">
        <f t="shared" si="17"/>
        <v>76-85</v>
      </c>
      <c r="C439">
        <v>77</v>
      </c>
      <c r="D439" t="s">
        <v>26</v>
      </c>
      <c r="E439" t="s">
        <v>36</v>
      </c>
      <c r="F439" t="s">
        <v>72</v>
      </c>
      <c r="G439" s="1">
        <v>43455</v>
      </c>
      <c r="H439" t="s">
        <v>2849</v>
      </c>
      <c r="I439" t="s">
        <v>2850</v>
      </c>
      <c r="J439" t="s">
        <v>63</v>
      </c>
      <c r="K439">
        <v>26589.433270353598</v>
      </c>
      <c r="L439">
        <v>443</v>
      </c>
      <c r="M439" t="s">
        <v>32</v>
      </c>
      <c r="N439" s="1">
        <v>43460</v>
      </c>
      <c r="O439" t="s">
        <v>50</v>
      </c>
      <c r="P439" t="s">
        <v>34</v>
      </c>
      <c r="Q439">
        <v>5</v>
      </c>
    </row>
    <row r="440" spans="1:17" x14ac:dyDescent="0.35">
      <c r="A440" t="s">
        <v>2335</v>
      </c>
      <c r="B440" t="str">
        <f t="shared" si="17"/>
        <v>76-85</v>
      </c>
      <c r="C440">
        <v>78</v>
      </c>
      <c r="D440" t="s">
        <v>26</v>
      </c>
      <c r="E440" t="s">
        <v>117</v>
      </c>
      <c r="F440" t="s">
        <v>72</v>
      </c>
      <c r="G440" s="1">
        <v>43833</v>
      </c>
      <c r="H440" t="s">
        <v>2336</v>
      </c>
      <c r="I440" t="s">
        <v>2337</v>
      </c>
      <c r="J440" t="s">
        <v>21</v>
      </c>
      <c r="K440">
        <v>10230.631506124</v>
      </c>
      <c r="L440">
        <v>481</v>
      </c>
      <c r="M440" t="s">
        <v>43</v>
      </c>
      <c r="N440" s="1">
        <v>43860</v>
      </c>
      <c r="O440" t="s">
        <v>33</v>
      </c>
      <c r="P440" t="s">
        <v>34</v>
      </c>
      <c r="Q440">
        <v>27</v>
      </c>
    </row>
    <row r="441" spans="1:17" x14ac:dyDescent="0.35">
      <c r="A441" t="s">
        <v>398</v>
      </c>
      <c r="B441" t="str">
        <f t="shared" si="17"/>
        <v>66-75</v>
      </c>
      <c r="C441">
        <v>67</v>
      </c>
      <c r="D441" t="s">
        <v>26</v>
      </c>
      <c r="E441" t="s">
        <v>232</v>
      </c>
      <c r="F441" t="s">
        <v>72</v>
      </c>
      <c r="G441" s="1">
        <v>44643</v>
      </c>
      <c r="H441" t="s">
        <v>399</v>
      </c>
      <c r="I441" t="s">
        <v>400</v>
      </c>
      <c r="J441" t="s">
        <v>63</v>
      </c>
      <c r="K441">
        <v>32007.352858773302</v>
      </c>
      <c r="L441">
        <v>416</v>
      </c>
      <c r="M441" t="s">
        <v>22</v>
      </c>
      <c r="N441" s="1">
        <v>44655</v>
      </c>
      <c r="O441" t="s">
        <v>87</v>
      </c>
      <c r="P441" t="s">
        <v>24</v>
      </c>
      <c r="Q441">
        <v>12</v>
      </c>
    </row>
    <row r="442" spans="1:17" x14ac:dyDescent="0.35">
      <c r="A442" t="s">
        <v>228</v>
      </c>
      <c r="B442" t="str">
        <f t="shared" si="17"/>
        <v>26-35</v>
      </c>
      <c r="C442">
        <v>31</v>
      </c>
      <c r="D442" t="s">
        <v>26</v>
      </c>
      <c r="E442" t="s">
        <v>65</v>
      </c>
      <c r="F442" t="s">
        <v>72</v>
      </c>
      <c r="G442" s="1">
        <v>44315</v>
      </c>
      <c r="H442" t="s">
        <v>229</v>
      </c>
      <c r="I442" t="s">
        <v>230</v>
      </c>
      <c r="J442" t="s">
        <v>54</v>
      </c>
      <c r="K442">
        <v>13794.7204420814</v>
      </c>
      <c r="L442">
        <v>194</v>
      </c>
      <c r="M442" t="s">
        <v>43</v>
      </c>
      <c r="N442" s="1">
        <v>44322</v>
      </c>
      <c r="O442" t="s">
        <v>23</v>
      </c>
      <c r="P442" t="s">
        <v>24</v>
      </c>
      <c r="Q442">
        <v>7</v>
      </c>
    </row>
    <row r="443" spans="1:17" x14ac:dyDescent="0.35">
      <c r="A443" t="s">
        <v>1579</v>
      </c>
      <c r="B443" t="str">
        <f t="shared" si="17"/>
        <v>36-45</v>
      </c>
      <c r="C443">
        <v>36</v>
      </c>
      <c r="D443" t="s">
        <v>26</v>
      </c>
      <c r="E443" t="s">
        <v>17</v>
      </c>
      <c r="F443" t="s">
        <v>72</v>
      </c>
      <c r="G443" s="1">
        <v>43903</v>
      </c>
      <c r="H443" t="s">
        <v>1580</v>
      </c>
      <c r="I443" t="s">
        <v>1581</v>
      </c>
      <c r="J443" t="s">
        <v>59</v>
      </c>
      <c r="K443">
        <v>32681.888295183599</v>
      </c>
      <c r="L443">
        <v>450</v>
      </c>
      <c r="M443" t="s">
        <v>43</v>
      </c>
      <c r="N443" s="1">
        <v>43922</v>
      </c>
      <c r="O443" t="s">
        <v>23</v>
      </c>
      <c r="P443" t="s">
        <v>34</v>
      </c>
      <c r="Q443">
        <v>19</v>
      </c>
    </row>
    <row r="444" spans="1:17" x14ac:dyDescent="0.35">
      <c r="A444" t="s">
        <v>1084</v>
      </c>
      <c r="B444" t="str">
        <f t="shared" si="17"/>
        <v>36-45</v>
      </c>
      <c r="C444">
        <v>36</v>
      </c>
      <c r="D444" t="s">
        <v>26</v>
      </c>
      <c r="E444" t="s">
        <v>27</v>
      </c>
      <c r="F444" t="s">
        <v>72</v>
      </c>
      <c r="G444" s="1">
        <v>43832</v>
      </c>
      <c r="H444" t="s">
        <v>1085</v>
      </c>
      <c r="I444" t="s">
        <v>1086</v>
      </c>
      <c r="J444" t="s">
        <v>63</v>
      </c>
      <c r="K444">
        <v>37527.7115142537</v>
      </c>
      <c r="L444">
        <v>247</v>
      </c>
      <c r="M444" t="s">
        <v>43</v>
      </c>
      <c r="N444" s="1">
        <v>43857</v>
      </c>
      <c r="O444" t="s">
        <v>33</v>
      </c>
      <c r="P444" t="s">
        <v>24</v>
      </c>
      <c r="Q444">
        <v>25</v>
      </c>
    </row>
    <row r="445" spans="1:17" x14ac:dyDescent="0.35">
      <c r="A445" t="s">
        <v>926</v>
      </c>
      <c r="B445" t="str">
        <f t="shared" si="17"/>
        <v>36-45</v>
      </c>
      <c r="C445">
        <v>43</v>
      </c>
      <c r="D445" t="s">
        <v>16</v>
      </c>
      <c r="E445" t="s">
        <v>92</v>
      </c>
      <c r="F445" t="s">
        <v>72</v>
      </c>
      <c r="G445" s="1">
        <v>43567</v>
      </c>
      <c r="H445" t="s">
        <v>927</v>
      </c>
      <c r="I445" t="s">
        <v>928</v>
      </c>
      <c r="J445" t="s">
        <v>63</v>
      </c>
      <c r="K445">
        <v>29696.191641405701</v>
      </c>
      <c r="L445">
        <v>425</v>
      </c>
      <c r="M445" t="s">
        <v>22</v>
      </c>
      <c r="N445" s="1">
        <v>43593</v>
      </c>
      <c r="O445" t="s">
        <v>87</v>
      </c>
      <c r="P445" t="s">
        <v>34</v>
      </c>
      <c r="Q445">
        <v>26</v>
      </c>
    </row>
    <row r="446" spans="1:17" x14ac:dyDescent="0.35">
      <c r="A446" t="s">
        <v>1462</v>
      </c>
      <c r="B446" t="str">
        <f t="shared" si="17"/>
        <v>76-85</v>
      </c>
      <c r="C446">
        <v>81</v>
      </c>
      <c r="D446" t="s">
        <v>16</v>
      </c>
      <c r="E446" t="s">
        <v>51</v>
      </c>
      <c r="F446" t="s">
        <v>72</v>
      </c>
      <c r="G446" s="1">
        <v>45215</v>
      </c>
      <c r="H446" t="s">
        <v>1463</v>
      </c>
      <c r="I446" t="s">
        <v>1464</v>
      </c>
      <c r="J446" t="s">
        <v>31</v>
      </c>
      <c r="K446">
        <v>42494.658488975401</v>
      </c>
      <c r="L446">
        <v>180</v>
      </c>
      <c r="M446" t="s">
        <v>43</v>
      </c>
      <c r="N446" s="1">
        <v>45228</v>
      </c>
      <c r="O446" t="s">
        <v>50</v>
      </c>
      <c r="P446" t="s">
        <v>45</v>
      </c>
      <c r="Q446">
        <v>13</v>
      </c>
    </row>
    <row r="447" spans="1:17" x14ac:dyDescent="0.35">
      <c r="A447" t="s">
        <v>84</v>
      </c>
      <c r="B447" t="str">
        <f t="shared" si="17"/>
        <v>56-65</v>
      </c>
      <c r="C447">
        <v>65</v>
      </c>
      <c r="D447" t="s">
        <v>16</v>
      </c>
      <c r="E447" t="s">
        <v>51</v>
      </c>
      <c r="F447" t="s">
        <v>72</v>
      </c>
      <c r="G447" s="1">
        <v>44352</v>
      </c>
      <c r="H447" t="s">
        <v>85</v>
      </c>
      <c r="I447" t="s">
        <v>86</v>
      </c>
      <c r="J447" t="s">
        <v>59</v>
      </c>
      <c r="K447">
        <v>10342.836123527301</v>
      </c>
      <c r="L447">
        <v>120</v>
      </c>
      <c r="M447" t="s">
        <v>32</v>
      </c>
      <c r="N447" s="1">
        <v>44372</v>
      </c>
      <c r="O447" t="s">
        <v>87</v>
      </c>
      <c r="P447" t="s">
        <v>24</v>
      </c>
      <c r="Q447">
        <v>20</v>
      </c>
    </row>
    <row r="448" spans="1:17" x14ac:dyDescent="0.35">
      <c r="A448" t="s">
        <v>162</v>
      </c>
      <c r="B448" t="str">
        <f t="shared" si="17"/>
        <v>18-25</v>
      </c>
      <c r="C448">
        <v>19</v>
      </c>
      <c r="D448" t="s">
        <v>26</v>
      </c>
      <c r="E448" t="s">
        <v>36</v>
      </c>
      <c r="F448" t="s">
        <v>72</v>
      </c>
      <c r="G448" s="1">
        <v>44377</v>
      </c>
      <c r="H448" t="s">
        <v>163</v>
      </c>
      <c r="I448" t="s">
        <v>164</v>
      </c>
      <c r="J448" t="s">
        <v>54</v>
      </c>
      <c r="K448">
        <v>16171.9485556363</v>
      </c>
      <c r="L448">
        <v>414</v>
      </c>
      <c r="M448" t="s">
        <v>32</v>
      </c>
      <c r="N448" s="1">
        <v>44391</v>
      </c>
      <c r="O448" t="s">
        <v>33</v>
      </c>
      <c r="P448" t="s">
        <v>24</v>
      </c>
      <c r="Q448">
        <v>14</v>
      </c>
    </row>
    <row r="449" spans="1:17" x14ac:dyDescent="0.35">
      <c r="A449" t="s">
        <v>309</v>
      </c>
      <c r="B449" t="str">
        <f t="shared" si="17"/>
        <v>26-35</v>
      </c>
      <c r="C449">
        <v>26</v>
      </c>
      <c r="D449" t="s">
        <v>16</v>
      </c>
      <c r="E449" t="s">
        <v>36</v>
      </c>
      <c r="F449" t="s">
        <v>72</v>
      </c>
      <c r="G449" s="1">
        <v>44237</v>
      </c>
      <c r="H449" t="s">
        <v>310</v>
      </c>
      <c r="I449" t="s">
        <v>311</v>
      </c>
      <c r="J449" t="s">
        <v>21</v>
      </c>
      <c r="K449">
        <v>18898.603555373898</v>
      </c>
      <c r="L449">
        <v>245</v>
      </c>
      <c r="M449" t="s">
        <v>22</v>
      </c>
      <c r="N449" s="1">
        <v>44248</v>
      </c>
      <c r="O449" t="s">
        <v>87</v>
      </c>
      <c r="P449" t="s">
        <v>24</v>
      </c>
      <c r="Q449">
        <v>11</v>
      </c>
    </row>
    <row r="450" spans="1:17" x14ac:dyDescent="0.35">
      <c r="A450" t="s">
        <v>1334</v>
      </c>
      <c r="B450" t="str">
        <f t="shared" si="17"/>
        <v>56-65</v>
      </c>
      <c r="C450">
        <v>59</v>
      </c>
      <c r="D450" t="s">
        <v>16</v>
      </c>
      <c r="E450" t="s">
        <v>36</v>
      </c>
      <c r="F450" t="s">
        <v>72</v>
      </c>
      <c r="G450" s="1">
        <v>44371</v>
      </c>
      <c r="H450" t="s">
        <v>1335</v>
      </c>
      <c r="I450" t="s">
        <v>1336</v>
      </c>
      <c r="J450" t="s">
        <v>63</v>
      </c>
      <c r="K450">
        <v>47695.933068269602</v>
      </c>
      <c r="L450">
        <v>439</v>
      </c>
      <c r="M450" t="s">
        <v>32</v>
      </c>
      <c r="N450" s="1">
        <v>44388</v>
      </c>
      <c r="O450" t="s">
        <v>87</v>
      </c>
      <c r="P450" t="s">
        <v>24</v>
      </c>
      <c r="Q450">
        <v>17</v>
      </c>
    </row>
    <row r="451" spans="1:17" x14ac:dyDescent="0.35">
      <c r="A451" t="s">
        <v>2818</v>
      </c>
      <c r="B451" t="str">
        <f t="shared" si="17"/>
        <v>56-65</v>
      </c>
      <c r="C451">
        <v>62</v>
      </c>
      <c r="D451" t="s">
        <v>26</v>
      </c>
      <c r="E451" t="s">
        <v>51</v>
      </c>
      <c r="F451" t="s">
        <v>72</v>
      </c>
      <c r="G451" s="1">
        <v>43921</v>
      </c>
      <c r="H451" t="s">
        <v>2819</v>
      </c>
      <c r="I451" t="s">
        <v>2820</v>
      </c>
      <c r="J451" t="s">
        <v>31</v>
      </c>
      <c r="K451">
        <v>25359.564504504298</v>
      </c>
      <c r="L451">
        <v>468</v>
      </c>
      <c r="M451" t="s">
        <v>32</v>
      </c>
      <c r="N451" s="1">
        <v>43934</v>
      </c>
      <c r="O451" t="s">
        <v>23</v>
      </c>
      <c r="P451" t="s">
        <v>24</v>
      </c>
      <c r="Q451">
        <v>13</v>
      </c>
    </row>
    <row r="452" spans="1:17" x14ac:dyDescent="0.35">
      <c r="A452" t="s">
        <v>2190</v>
      </c>
      <c r="B452" t="str">
        <f t="shared" si="17"/>
        <v>66-75</v>
      </c>
      <c r="C452">
        <v>69</v>
      </c>
      <c r="D452" t="s">
        <v>26</v>
      </c>
      <c r="E452" t="s">
        <v>36</v>
      </c>
      <c r="F452" t="s">
        <v>72</v>
      </c>
      <c r="G452" s="1">
        <v>44233</v>
      </c>
      <c r="H452" t="s">
        <v>2191</v>
      </c>
      <c r="I452" t="s">
        <v>2192</v>
      </c>
      <c r="J452" t="s">
        <v>59</v>
      </c>
      <c r="K452">
        <v>5290.3970617896503</v>
      </c>
      <c r="L452">
        <v>362</v>
      </c>
      <c r="M452" t="s">
        <v>32</v>
      </c>
      <c r="N452" s="1">
        <v>44240</v>
      </c>
      <c r="O452" t="s">
        <v>87</v>
      </c>
      <c r="P452" t="s">
        <v>24</v>
      </c>
      <c r="Q452">
        <v>7</v>
      </c>
    </row>
    <row r="453" spans="1:17" x14ac:dyDescent="0.35">
      <c r="A453" t="s">
        <v>2561</v>
      </c>
      <c r="B453" t="str">
        <f t="shared" si="17"/>
        <v>26-35</v>
      </c>
      <c r="C453">
        <v>35</v>
      </c>
      <c r="D453" t="s">
        <v>16</v>
      </c>
      <c r="E453" t="s">
        <v>27</v>
      </c>
      <c r="F453" t="s">
        <v>72</v>
      </c>
      <c r="G453" s="1">
        <v>43742</v>
      </c>
      <c r="H453" t="s">
        <v>2562</v>
      </c>
      <c r="I453" t="s">
        <v>2563</v>
      </c>
      <c r="J453" t="s">
        <v>54</v>
      </c>
      <c r="K453">
        <v>9766.8238671046602</v>
      </c>
      <c r="L453">
        <v>133</v>
      </c>
      <c r="M453" t="s">
        <v>32</v>
      </c>
      <c r="N453" s="1">
        <v>43750</v>
      </c>
      <c r="O453" t="s">
        <v>23</v>
      </c>
      <c r="P453" t="s">
        <v>45</v>
      </c>
      <c r="Q453">
        <v>8</v>
      </c>
    </row>
    <row r="454" spans="1:17" x14ac:dyDescent="0.35">
      <c r="A454" t="s">
        <v>2530</v>
      </c>
      <c r="B454" t="str">
        <f t="shared" si="17"/>
        <v>18-25</v>
      </c>
      <c r="C454">
        <v>21</v>
      </c>
      <c r="D454" t="s">
        <v>26</v>
      </c>
      <c r="E454" t="s">
        <v>51</v>
      </c>
      <c r="F454" t="s">
        <v>72</v>
      </c>
      <c r="G454" s="1">
        <v>43700</v>
      </c>
      <c r="H454" t="s">
        <v>2531</v>
      </c>
      <c r="I454" t="s">
        <v>2532</v>
      </c>
      <c r="J454" t="s">
        <v>21</v>
      </c>
      <c r="K454">
        <v>17892.930585551301</v>
      </c>
      <c r="L454">
        <v>230</v>
      </c>
      <c r="M454" t="s">
        <v>22</v>
      </c>
      <c r="N454" s="1">
        <v>43723</v>
      </c>
      <c r="O454" t="s">
        <v>44</v>
      </c>
      <c r="P454" t="s">
        <v>24</v>
      </c>
      <c r="Q454">
        <v>23</v>
      </c>
    </row>
    <row r="455" spans="1:17" x14ac:dyDescent="0.35">
      <c r="A455" t="s">
        <v>1821</v>
      </c>
      <c r="B455" t="str">
        <f t="shared" si="17"/>
        <v>66-75</v>
      </c>
      <c r="C455">
        <v>73</v>
      </c>
      <c r="D455" t="s">
        <v>26</v>
      </c>
      <c r="E455" t="s">
        <v>232</v>
      </c>
      <c r="F455" t="s">
        <v>72</v>
      </c>
      <c r="G455" s="1">
        <v>43712</v>
      </c>
      <c r="H455" t="s">
        <v>1822</v>
      </c>
      <c r="I455" t="s">
        <v>1823</v>
      </c>
      <c r="J455" t="s">
        <v>31</v>
      </c>
      <c r="K455">
        <v>1720.11865579955</v>
      </c>
      <c r="L455">
        <v>197</v>
      </c>
      <c r="M455" t="s">
        <v>22</v>
      </c>
      <c r="N455" s="1">
        <v>43722</v>
      </c>
      <c r="O455" t="s">
        <v>44</v>
      </c>
      <c r="P455" t="s">
        <v>34</v>
      </c>
      <c r="Q455">
        <v>10</v>
      </c>
    </row>
    <row r="456" spans="1:17" x14ac:dyDescent="0.35">
      <c r="A456" t="s">
        <v>1480</v>
      </c>
      <c r="B456" t="str">
        <f t="shared" si="17"/>
        <v>56-65</v>
      </c>
      <c r="C456">
        <v>56</v>
      </c>
      <c r="D456" t="s">
        <v>26</v>
      </c>
      <c r="E456" t="s">
        <v>92</v>
      </c>
      <c r="F456" t="s">
        <v>72</v>
      </c>
      <c r="G456" s="1">
        <v>43785</v>
      </c>
      <c r="H456" t="s">
        <v>1481</v>
      </c>
      <c r="I456" t="s">
        <v>1482</v>
      </c>
      <c r="J456" t="s">
        <v>63</v>
      </c>
      <c r="K456">
        <v>12517.3831162815</v>
      </c>
      <c r="L456">
        <v>112</v>
      </c>
      <c r="M456" t="s">
        <v>22</v>
      </c>
      <c r="N456" s="1">
        <v>43786</v>
      </c>
      <c r="O456" t="s">
        <v>44</v>
      </c>
      <c r="P456" t="s">
        <v>45</v>
      </c>
      <c r="Q456">
        <v>1</v>
      </c>
    </row>
    <row r="457" spans="1:17" x14ac:dyDescent="0.35">
      <c r="A457" t="s">
        <v>594</v>
      </c>
      <c r="B457" t="str">
        <f t="shared" si="17"/>
        <v>66-75</v>
      </c>
      <c r="C457">
        <v>74</v>
      </c>
      <c r="D457" t="s">
        <v>16</v>
      </c>
      <c r="E457" t="s">
        <v>232</v>
      </c>
      <c r="F457" t="s">
        <v>72</v>
      </c>
      <c r="G457" s="1">
        <v>44231</v>
      </c>
      <c r="H457" t="s">
        <v>1056</v>
      </c>
      <c r="I457" t="s">
        <v>1057</v>
      </c>
      <c r="J457" t="s">
        <v>21</v>
      </c>
      <c r="K457">
        <v>2534.7004700955599</v>
      </c>
      <c r="L457">
        <v>284</v>
      </c>
      <c r="M457" t="s">
        <v>22</v>
      </c>
      <c r="N457" s="1">
        <v>44249</v>
      </c>
      <c r="O457" t="s">
        <v>44</v>
      </c>
      <c r="P457" t="s">
        <v>24</v>
      </c>
      <c r="Q457">
        <v>18</v>
      </c>
    </row>
    <row r="458" spans="1:17" x14ac:dyDescent="0.35">
      <c r="A458" t="s">
        <v>1738</v>
      </c>
      <c r="B458" t="str">
        <f t="shared" si="17"/>
        <v>18-25</v>
      </c>
      <c r="C458">
        <v>22</v>
      </c>
      <c r="D458" t="s">
        <v>16</v>
      </c>
      <c r="E458" t="s">
        <v>36</v>
      </c>
      <c r="F458" t="s">
        <v>72</v>
      </c>
      <c r="G458" s="1">
        <v>43501</v>
      </c>
      <c r="H458" t="s">
        <v>1739</v>
      </c>
      <c r="I458" t="s">
        <v>1740</v>
      </c>
      <c r="J458" t="s">
        <v>59</v>
      </c>
      <c r="K458">
        <v>29004.148319391199</v>
      </c>
      <c r="L458">
        <v>172</v>
      </c>
      <c r="M458" t="s">
        <v>22</v>
      </c>
      <c r="N458" s="1">
        <v>43505</v>
      </c>
      <c r="O458" t="s">
        <v>33</v>
      </c>
      <c r="P458" t="s">
        <v>45</v>
      </c>
      <c r="Q458">
        <v>4</v>
      </c>
    </row>
    <row r="459" spans="1:17" x14ac:dyDescent="0.35">
      <c r="A459" t="s">
        <v>1379</v>
      </c>
      <c r="B459" t="str">
        <f t="shared" si="17"/>
        <v>36-45</v>
      </c>
      <c r="C459">
        <v>37</v>
      </c>
      <c r="D459" t="s">
        <v>16</v>
      </c>
      <c r="E459" t="s">
        <v>92</v>
      </c>
      <c r="F459" t="s">
        <v>72</v>
      </c>
      <c r="G459" s="1">
        <v>43648</v>
      </c>
      <c r="H459" t="s">
        <v>1380</v>
      </c>
      <c r="I459" t="s">
        <v>1381</v>
      </c>
      <c r="J459" t="s">
        <v>59</v>
      </c>
      <c r="K459">
        <v>9880.3931415524294</v>
      </c>
      <c r="L459">
        <v>235</v>
      </c>
      <c r="M459" t="s">
        <v>32</v>
      </c>
      <c r="N459" s="1">
        <v>43664</v>
      </c>
      <c r="O459" t="s">
        <v>87</v>
      </c>
      <c r="P459" t="s">
        <v>34</v>
      </c>
      <c r="Q459">
        <v>16</v>
      </c>
    </row>
    <row r="460" spans="1:17" x14ac:dyDescent="0.35">
      <c r="A460" t="s">
        <v>1989</v>
      </c>
      <c r="B460" t="str">
        <f t="shared" si="17"/>
        <v>66-75</v>
      </c>
      <c r="C460">
        <v>66</v>
      </c>
      <c r="D460" t="s">
        <v>26</v>
      </c>
      <c r="E460" t="s">
        <v>36</v>
      </c>
      <c r="F460" t="s">
        <v>72</v>
      </c>
      <c r="G460" s="1">
        <v>44479</v>
      </c>
      <c r="H460" t="s">
        <v>1990</v>
      </c>
      <c r="I460" t="s">
        <v>1991</v>
      </c>
      <c r="J460" t="s">
        <v>63</v>
      </c>
      <c r="K460">
        <v>9781.2278771511592</v>
      </c>
      <c r="L460">
        <v>145</v>
      </c>
      <c r="M460" t="s">
        <v>22</v>
      </c>
      <c r="N460" s="1">
        <v>44483</v>
      </c>
      <c r="O460" t="s">
        <v>50</v>
      </c>
      <c r="P460" t="s">
        <v>45</v>
      </c>
      <c r="Q460">
        <v>4</v>
      </c>
    </row>
    <row r="461" spans="1:17" x14ac:dyDescent="0.35">
      <c r="A461" t="s">
        <v>2621</v>
      </c>
      <c r="B461" t="str">
        <f t="shared" si="17"/>
        <v>26-35</v>
      </c>
      <c r="C461">
        <v>35</v>
      </c>
      <c r="D461" t="s">
        <v>26</v>
      </c>
      <c r="E461" t="s">
        <v>36</v>
      </c>
      <c r="F461" t="s">
        <v>72</v>
      </c>
      <c r="G461" s="1">
        <v>45193</v>
      </c>
      <c r="H461" t="s">
        <v>2622</v>
      </c>
      <c r="I461" t="s">
        <v>2623</v>
      </c>
      <c r="J461" t="s">
        <v>59</v>
      </c>
      <c r="K461">
        <v>4861.5983494601196</v>
      </c>
      <c r="L461">
        <v>483</v>
      </c>
      <c r="M461" t="s">
        <v>32</v>
      </c>
      <c r="N461" s="1">
        <v>45213</v>
      </c>
      <c r="O461" t="s">
        <v>44</v>
      </c>
      <c r="P461" t="s">
        <v>34</v>
      </c>
      <c r="Q461">
        <v>20</v>
      </c>
    </row>
    <row r="462" spans="1:17" x14ac:dyDescent="0.35">
      <c r="A462" t="s">
        <v>1193</v>
      </c>
      <c r="B462" t="str">
        <f t="shared" si="17"/>
        <v>56-65</v>
      </c>
      <c r="C462">
        <v>64</v>
      </c>
      <c r="D462" t="s">
        <v>26</v>
      </c>
      <c r="E462" t="s">
        <v>117</v>
      </c>
      <c r="F462" t="s">
        <v>72</v>
      </c>
      <c r="G462" s="1">
        <v>44120</v>
      </c>
      <c r="H462" t="s">
        <v>1194</v>
      </c>
      <c r="I462" t="s">
        <v>1195</v>
      </c>
      <c r="J462" t="s">
        <v>59</v>
      </c>
      <c r="K462">
        <v>18089.133069620901</v>
      </c>
      <c r="L462">
        <v>239</v>
      </c>
      <c r="M462" t="s">
        <v>32</v>
      </c>
      <c r="N462" s="1">
        <v>44137</v>
      </c>
      <c r="O462" t="s">
        <v>50</v>
      </c>
      <c r="P462" t="s">
        <v>34</v>
      </c>
      <c r="Q462">
        <v>17</v>
      </c>
    </row>
    <row r="463" spans="1:17" x14ac:dyDescent="0.35">
      <c r="A463" t="s">
        <v>1319</v>
      </c>
      <c r="B463" t="str">
        <f t="shared" si="17"/>
        <v>76-85</v>
      </c>
      <c r="C463">
        <v>79</v>
      </c>
      <c r="D463" t="s">
        <v>16</v>
      </c>
      <c r="E463" t="s">
        <v>117</v>
      </c>
      <c r="F463" t="s">
        <v>72</v>
      </c>
      <c r="G463" s="1">
        <v>44588</v>
      </c>
      <c r="H463" t="s">
        <v>1320</v>
      </c>
      <c r="I463" t="s">
        <v>1321</v>
      </c>
      <c r="J463" t="s">
        <v>31</v>
      </c>
      <c r="K463">
        <v>28158.3277655569</v>
      </c>
      <c r="L463">
        <v>374</v>
      </c>
      <c r="M463" t="s">
        <v>43</v>
      </c>
      <c r="N463" s="1">
        <v>44607</v>
      </c>
      <c r="O463" t="s">
        <v>50</v>
      </c>
      <c r="P463" t="s">
        <v>45</v>
      </c>
      <c r="Q463">
        <v>19</v>
      </c>
    </row>
    <row r="464" spans="1:17" x14ac:dyDescent="0.35">
      <c r="A464" t="s">
        <v>1182</v>
      </c>
      <c r="B464" t="str">
        <f t="shared" si="17"/>
        <v>18-25</v>
      </c>
      <c r="C464">
        <v>22</v>
      </c>
      <c r="D464" t="s">
        <v>16</v>
      </c>
      <c r="E464" t="s">
        <v>36</v>
      </c>
      <c r="F464" t="s">
        <v>72</v>
      </c>
      <c r="G464" s="1">
        <v>45111</v>
      </c>
      <c r="H464" t="s">
        <v>1183</v>
      </c>
      <c r="I464" t="s">
        <v>1184</v>
      </c>
      <c r="J464" t="s">
        <v>54</v>
      </c>
      <c r="K464">
        <v>34386.586353979103</v>
      </c>
      <c r="L464">
        <v>462</v>
      </c>
      <c r="M464" t="s">
        <v>22</v>
      </c>
      <c r="N464" s="1">
        <v>45133</v>
      </c>
      <c r="O464" t="s">
        <v>50</v>
      </c>
      <c r="P464" t="s">
        <v>34</v>
      </c>
      <c r="Q464">
        <v>22</v>
      </c>
    </row>
    <row r="465" spans="1:17" x14ac:dyDescent="0.35">
      <c r="A465" t="s">
        <v>655</v>
      </c>
      <c r="B465" t="str">
        <f t="shared" si="17"/>
        <v>26-35</v>
      </c>
      <c r="C465">
        <v>26</v>
      </c>
      <c r="D465" t="s">
        <v>16</v>
      </c>
      <c r="E465" t="s">
        <v>36</v>
      </c>
      <c r="F465" t="s">
        <v>72</v>
      </c>
      <c r="G465" s="1">
        <v>45118</v>
      </c>
      <c r="H465" t="s">
        <v>656</v>
      </c>
      <c r="I465" t="s">
        <v>657</v>
      </c>
      <c r="J465" t="s">
        <v>59</v>
      </c>
      <c r="K465">
        <v>34595.328394890697</v>
      </c>
      <c r="L465">
        <v>205</v>
      </c>
      <c r="M465" t="s">
        <v>22</v>
      </c>
      <c r="N465" s="1">
        <v>45140</v>
      </c>
      <c r="O465" t="s">
        <v>44</v>
      </c>
      <c r="P465" t="s">
        <v>45</v>
      </c>
      <c r="Q465">
        <v>22</v>
      </c>
    </row>
    <row r="466" spans="1:17" x14ac:dyDescent="0.35">
      <c r="A466" t="s">
        <v>810</v>
      </c>
      <c r="B466" t="str">
        <f t="shared" si="17"/>
        <v>66-75</v>
      </c>
      <c r="C466">
        <v>66</v>
      </c>
      <c r="D466" t="s">
        <v>16</v>
      </c>
      <c r="E466" t="s">
        <v>65</v>
      </c>
      <c r="F466" t="s">
        <v>72</v>
      </c>
      <c r="G466" s="1">
        <v>44279</v>
      </c>
      <c r="H466" t="s">
        <v>811</v>
      </c>
      <c r="I466" t="s">
        <v>812</v>
      </c>
      <c r="J466" t="s">
        <v>21</v>
      </c>
      <c r="K466">
        <v>15847.4402458235</v>
      </c>
      <c r="L466">
        <v>264</v>
      </c>
      <c r="M466" t="s">
        <v>43</v>
      </c>
      <c r="N466" s="1">
        <v>44298</v>
      </c>
      <c r="O466" t="s">
        <v>87</v>
      </c>
      <c r="P466" t="s">
        <v>24</v>
      </c>
      <c r="Q466">
        <v>19</v>
      </c>
    </row>
    <row r="467" spans="1:17" x14ac:dyDescent="0.35">
      <c r="A467" t="s">
        <v>458</v>
      </c>
      <c r="B467" t="str">
        <f t="shared" si="17"/>
        <v>26-35</v>
      </c>
      <c r="C467">
        <v>32</v>
      </c>
      <c r="D467" t="s">
        <v>26</v>
      </c>
      <c r="E467" t="s">
        <v>232</v>
      </c>
      <c r="F467" t="s">
        <v>72</v>
      </c>
      <c r="G467" s="1">
        <v>45116</v>
      </c>
      <c r="H467" t="s">
        <v>459</v>
      </c>
      <c r="I467" t="s">
        <v>460</v>
      </c>
      <c r="J467" t="s">
        <v>63</v>
      </c>
      <c r="K467">
        <v>44535.253036195601</v>
      </c>
      <c r="L467">
        <v>413</v>
      </c>
      <c r="M467" t="s">
        <v>32</v>
      </c>
      <c r="N467" s="1">
        <v>45124</v>
      </c>
      <c r="O467" t="s">
        <v>44</v>
      </c>
      <c r="P467" t="s">
        <v>34</v>
      </c>
      <c r="Q467">
        <v>8</v>
      </c>
    </row>
    <row r="468" spans="1:17" x14ac:dyDescent="0.35">
      <c r="A468" t="s">
        <v>938</v>
      </c>
      <c r="B468" t="str">
        <f t="shared" ref="B468:B531" si="18">VLOOKUP(C468,$T$3:$U$9,2,TRUE)</f>
        <v>26-35</v>
      </c>
      <c r="C468">
        <v>34</v>
      </c>
      <c r="D468" t="s">
        <v>16</v>
      </c>
      <c r="E468" t="s">
        <v>51</v>
      </c>
      <c r="F468" t="s">
        <v>72</v>
      </c>
      <c r="G468" s="1">
        <v>44426</v>
      </c>
      <c r="H468" t="s">
        <v>939</v>
      </c>
      <c r="I468" t="s">
        <v>940</v>
      </c>
      <c r="J468" t="s">
        <v>59</v>
      </c>
      <c r="K468">
        <v>7858.3987309716304</v>
      </c>
      <c r="L468">
        <v>199</v>
      </c>
      <c r="M468" t="s">
        <v>32</v>
      </c>
      <c r="N468" s="1">
        <v>44448</v>
      </c>
      <c r="O468" t="s">
        <v>44</v>
      </c>
      <c r="P468" t="s">
        <v>45</v>
      </c>
      <c r="Q468">
        <v>22</v>
      </c>
    </row>
    <row r="469" spans="1:17" x14ac:dyDescent="0.35">
      <c r="A469" t="s">
        <v>2409</v>
      </c>
      <c r="B469" t="str">
        <f t="shared" si="18"/>
        <v>66-75</v>
      </c>
      <c r="C469">
        <v>70</v>
      </c>
      <c r="D469" t="s">
        <v>16</v>
      </c>
      <c r="E469" t="s">
        <v>17</v>
      </c>
      <c r="F469" t="s">
        <v>72</v>
      </c>
      <c r="G469" s="1">
        <v>44225</v>
      </c>
      <c r="H469" t="s">
        <v>2410</v>
      </c>
      <c r="I469" t="s">
        <v>2411</v>
      </c>
      <c r="J469" t="s">
        <v>21</v>
      </c>
      <c r="K469">
        <v>37667.4122573395</v>
      </c>
      <c r="L469">
        <v>468</v>
      </c>
      <c r="M469" t="s">
        <v>32</v>
      </c>
      <c r="N469" s="1">
        <v>44242</v>
      </c>
      <c r="O469" t="s">
        <v>33</v>
      </c>
      <c r="P469" t="s">
        <v>24</v>
      </c>
      <c r="Q469">
        <v>17</v>
      </c>
    </row>
    <row r="470" spans="1:17" x14ac:dyDescent="0.35">
      <c r="A470" t="s">
        <v>204</v>
      </c>
      <c r="B470" t="str">
        <f t="shared" si="18"/>
        <v>56-65</v>
      </c>
      <c r="C470">
        <v>57</v>
      </c>
      <c r="D470" t="s">
        <v>16</v>
      </c>
      <c r="E470" t="s">
        <v>17</v>
      </c>
      <c r="F470" t="s">
        <v>72</v>
      </c>
      <c r="G470" s="1">
        <v>44649</v>
      </c>
      <c r="H470" t="s">
        <v>205</v>
      </c>
      <c r="I470" t="s">
        <v>206</v>
      </c>
      <c r="J470" t="s">
        <v>59</v>
      </c>
      <c r="K470">
        <v>41295.399748056399</v>
      </c>
      <c r="L470">
        <v>361</v>
      </c>
      <c r="M470" t="s">
        <v>32</v>
      </c>
      <c r="N470" s="1">
        <v>44653</v>
      </c>
      <c r="O470" t="s">
        <v>23</v>
      </c>
      <c r="P470" t="s">
        <v>34</v>
      </c>
      <c r="Q470">
        <v>4</v>
      </c>
    </row>
    <row r="471" spans="1:17" x14ac:dyDescent="0.35">
      <c r="A471" t="s">
        <v>2789</v>
      </c>
      <c r="B471" t="str">
        <f t="shared" si="18"/>
        <v>66-75</v>
      </c>
      <c r="C471">
        <v>71</v>
      </c>
      <c r="D471" t="s">
        <v>26</v>
      </c>
      <c r="E471" t="s">
        <v>17</v>
      </c>
      <c r="F471" t="s">
        <v>72</v>
      </c>
      <c r="G471" s="1">
        <v>43636</v>
      </c>
      <c r="H471" t="s">
        <v>2790</v>
      </c>
      <c r="I471" t="s">
        <v>2791</v>
      </c>
      <c r="J471" t="s">
        <v>54</v>
      </c>
      <c r="K471">
        <v>25286.452650626499</v>
      </c>
      <c r="L471">
        <v>360</v>
      </c>
      <c r="M471" t="s">
        <v>32</v>
      </c>
      <c r="N471" s="1">
        <v>43644</v>
      </c>
      <c r="O471" t="s">
        <v>44</v>
      </c>
      <c r="P471" t="s">
        <v>34</v>
      </c>
      <c r="Q471">
        <v>8</v>
      </c>
    </row>
    <row r="472" spans="1:17" x14ac:dyDescent="0.35">
      <c r="A472" t="s">
        <v>1524</v>
      </c>
      <c r="B472" t="str">
        <f t="shared" si="18"/>
        <v>18-25</v>
      </c>
      <c r="C472">
        <v>18</v>
      </c>
      <c r="D472" t="s">
        <v>26</v>
      </c>
      <c r="E472" t="s">
        <v>117</v>
      </c>
      <c r="F472" t="s">
        <v>72</v>
      </c>
      <c r="G472" s="1">
        <v>44261</v>
      </c>
      <c r="H472" t="s">
        <v>1525</v>
      </c>
      <c r="I472" t="s">
        <v>1526</v>
      </c>
      <c r="J472" t="s">
        <v>21</v>
      </c>
      <c r="K472">
        <v>20948.868408245198</v>
      </c>
      <c r="L472">
        <v>451</v>
      </c>
      <c r="M472" t="s">
        <v>22</v>
      </c>
      <c r="N472" s="1">
        <v>44263</v>
      </c>
      <c r="O472" t="s">
        <v>33</v>
      </c>
      <c r="P472" t="s">
        <v>24</v>
      </c>
      <c r="Q472">
        <v>2</v>
      </c>
    </row>
    <row r="473" spans="1:17" x14ac:dyDescent="0.35">
      <c r="A473" t="s">
        <v>1061</v>
      </c>
      <c r="B473" t="str">
        <f t="shared" si="18"/>
        <v>46-55</v>
      </c>
      <c r="C473">
        <v>47</v>
      </c>
      <c r="D473" t="s">
        <v>16</v>
      </c>
      <c r="E473" t="s">
        <v>51</v>
      </c>
      <c r="F473" t="s">
        <v>72</v>
      </c>
      <c r="G473" s="1">
        <v>43442</v>
      </c>
      <c r="H473" t="s">
        <v>1062</v>
      </c>
      <c r="I473" t="s">
        <v>1063</v>
      </c>
      <c r="J473" t="s">
        <v>59</v>
      </c>
      <c r="K473">
        <v>5674.2143374650004</v>
      </c>
      <c r="L473">
        <v>209</v>
      </c>
      <c r="M473" t="s">
        <v>43</v>
      </c>
      <c r="N473" s="1">
        <v>43449</v>
      </c>
      <c r="O473" t="s">
        <v>87</v>
      </c>
      <c r="P473" t="s">
        <v>45</v>
      </c>
      <c r="Q473">
        <v>7</v>
      </c>
    </row>
    <row r="474" spans="1:17" x14ac:dyDescent="0.35">
      <c r="A474" t="s">
        <v>129</v>
      </c>
      <c r="B474" t="str">
        <f t="shared" si="18"/>
        <v>56-65</v>
      </c>
      <c r="C474">
        <v>56</v>
      </c>
      <c r="D474" t="s">
        <v>16</v>
      </c>
      <c r="E474" t="s">
        <v>117</v>
      </c>
      <c r="F474" t="s">
        <v>72</v>
      </c>
      <c r="G474" s="1">
        <v>43599</v>
      </c>
      <c r="H474" t="s">
        <v>130</v>
      </c>
      <c r="I474" t="s">
        <v>131</v>
      </c>
      <c r="J474" t="s">
        <v>54</v>
      </c>
      <c r="K474">
        <v>12935.413249863501</v>
      </c>
      <c r="L474">
        <v>392</v>
      </c>
      <c r="M474" t="s">
        <v>22</v>
      </c>
      <c r="N474" s="1">
        <v>43627</v>
      </c>
      <c r="O474" t="s">
        <v>44</v>
      </c>
      <c r="P474" t="s">
        <v>45</v>
      </c>
      <c r="Q474">
        <v>28</v>
      </c>
    </row>
    <row r="475" spans="1:17" x14ac:dyDescent="0.35">
      <c r="A475" t="s">
        <v>1140</v>
      </c>
      <c r="B475" t="str">
        <f t="shared" si="18"/>
        <v>66-75</v>
      </c>
      <c r="C475">
        <v>75</v>
      </c>
      <c r="D475" t="s">
        <v>16</v>
      </c>
      <c r="E475" t="s">
        <v>36</v>
      </c>
      <c r="F475" t="s">
        <v>72</v>
      </c>
      <c r="G475" s="1">
        <v>45041</v>
      </c>
      <c r="H475" t="s">
        <v>1141</v>
      </c>
      <c r="I475" t="s">
        <v>1142</v>
      </c>
      <c r="J475" t="s">
        <v>21</v>
      </c>
      <c r="K475">
        <v>3535.0118812478199</v>
      </c>
      <c r="L475">
        <v>130</v>
      </c>
      <c r="M475" t="s">
        <v>22</v>
      </c>
      <c r="N475" s="1">
        <v>45046</v>
      </c>
      <c r="O475" t="s">
        <v>33</v>
      </c>
      <c r="P475" t="s">
        <v>45</v>
      </c>
      <c r="Q475">
        <v>5</v>
      </c>
    </row>
    <row r="476" spans="1:17" x14ac:dyDescent="0.35">
      <c r="A476" t="s">
        <v>259</v>
      </c>
      <c r="B476" t="str">
        <f t="shared" si="18"/>
        <v>76-85</v>
      </c>
      <c r="C476">
        <v>84</v>
      </c>
      <c r="D476" t="s">
        <v>26</v>
      </c>
      <c r="E476" t="s">
        <v>117</v>
      </c>
      <c r="F476" t="s">
        <v>72</v>
      </c>
      <c r="G476" s="1">
        <v>43918</v>
      </c>
      <c r="H476" t="s">
        <v>260</v>
      </c>
      <c r="I476" t="s">
        <v>261</v>
      </c>
      <c r="J476" t="s">
        <v>59</v>
      </c>
      <c r="K476">
        <v>6575.1394679001396</v>
      </c>
      <c r="L476">
        <v>213</v>
      </c>
      <c r="M476" t="s">
        <v>32</v>
      </c>
      <c r="N476" s="1">
        <v>43924</v>
      </c>
      <c r="O476" t="s">
        <v>23</v>
      </c>
      <c r="P476" t="s">
        <v>45</v>
      </c>
      <c r="Q476">
        <v>6</v>
      </c>
    </row>
    <row r="477" spans="1:17" x14ac:dyDescent="0.35">
      <c r="A477" t="s">
        <v>1535</v>
      </c>
      <c r="B477" t="str">
        <f t="shared" si="18"/>
        <v>66-75</v>
      </c>
      <c r="C477">
        <v>73</v>
      </c>
      <c r="D477" t="s">
        <v>16</v>
      </c>
      <c r="E477" t="s">
        <v>117</v>
      </c>
      <c r="F477" t="s">
        <v>72</v>
      </c>
      <c r="G477" s="1">
        <v>43697</v>
      </c>
      <c r="H477" t="s">
        <v>1536</v>
      </c>
      <c r="I477" t="s">
        <v>1537</v>
      </c>
      <c r="J477" t="s">
        <v>21</v>
      </c>
      <c r="K477">
        <v>19095.937815324301</v>
      </c>
      <c r="L477">
        <v>233</v>
      </c>
      <c r="M477" t="s">
        <v>43</v>
      </c>
      <c r="N477" s="1">
        <v>43714</v>
      </c>
      <c r="O477" t="s">
        <v>44</v>
      </c>
      <c r="P477" t="s">
        <v>45</v>
      </c>
      <c r="Q477">
        <v>17</v>
      </c>
    </row>
    <row r="478" spans="1:17" x14ac:dyDescent="0.35">
      <c r="A478" t="s">
        <v>575</v>
      </c>
      <c r="B478" t="str">
        <f t="shared" si="18"/>
        <v>18-25</v>
      </c>
      <c r="C478">
        <v>25</v>
      </c>
      <c r="D478" t="s">
        <v>26</v>
      </c>
      <c r="E478" t="s">
        <v>117</v>
      </c>
      <c r="F478" t="s">
        <v>72</v>
      </c>
      <c r="G478" s="1">
        <v>44138</v>
      </c>
      <c r="H478" t="s">
        <v>576</v>
      </c>
      <c r="I478" t="s">
        <v>577</v>
      </c>
      <c r="J478" t="s">
        <v>63</v>
      </c>
      <c r="K478">
        <v>31155.404271297299</v>
      </c>
      <c r="L478">
        <v>360</v>
      </c>
      <c r="M478" t="s">
        <v>32</v>
      </c>
      <c r="N478" s="1">
        <v>44142</v>
      </c>
      <c r="O478" t="s">
        <v>50</v>
      </c>
      <c r="P478" t="s">
        <v>24</v>
      </c>
      <c r="Q478">
        <v>4</v>
      </c>
    </row>
    <row r="479" spans="1:17" x14ac:dyDescent="0.35">
      <c r="A479" t="s">
        <v>2332</v>
      </c>
      <c r="B479" t="str">
        <f t="shared" si="18"/>
        <v>46-55</v>
      </c>
      <c r="C479">
        <v>53</v>
      </c>
      <c r="D479" t="s">
        <v>16</v>
      </c>
      <c r="E479" t="s">
        <v>65</v>
      </c>
      <c r="F479" t="s">
        <v>72</v>
      </c>
      <c r="G479" s="1">
        <v>44600</v>
      </c>
      <c r="H479" t="s">
        <v>2333</v>
      </c>
      <c r="I479" t="s">
        <v>2334</v>
      </c>
      <c r="J479" t="s">
        <v>31</v>
      </c>
      <c r="K479">
        <v>8508.1495565135592</v>
      </c>
      <c r="L479">
        <v>183</v>
      </c>
      <c r="M479" t="s">
        <v>43</v>
      </c>
      <c r="N479" s="1">
        <v>44602</v>
      </c>
      <c r="O479" t="s">
        <v>33</v>
      </c>
      <c r="P479" t="s">
        <v>34</v>
      </c>
      <c r="Q479">
        <v>2</v>
      </c>
    </row>
    <row r="480" spans="1:17" x14ac:dyDescent="0.35">
      <c r="A480" t="s">
        <v>2066</v>
      </c>
      <c r="B480" t="str">
        <f t="shared" si="18"/>
        <v>36-45</v>
      </c>
      <c r="C480">
        <v>43</v>
      </c>
      <c r="D480" t="s">
        <v>16</v>
      </c>
      <c r="E480" t="s">
        <v>51</v>
      </c>
      <c r="F480" t="s">
        <v>72</v>
      </c>
      <c r="G480" s="1">
        <v>44237</v>
      </c>
      <c r="H480" t="s">
        <v>2067</v>
      </c>
      <c r="I480" t="s">
        <v>2068</v>
      </c>
      <c r="J480" t="s">
        <v>59</v>
      </c>
      <c r="K480">
        <v>44147.7935461421</v>
      </c>
      <c r="L480">
        <v>315</v>
      </c>
      <c r="M480" t="s">
        <v>32</v>
      </c>
      <c r="N480" s="1">
        <v>44264</v>
      </c>
      <c r="O480" t="s">
        <v>23</v>
      </c>
      <c r="P480" t="s">
        <v>34</v>
      </c>
      <c r="Q480">
        <v>27</v>
      </c>
    </row>
    <row r="481" spans="1:17" x14ac:dyDescent="0.35">
      <c r="A481" t="s">
        <v>2601</v>
      </c>
      <c r="B481" t="str">
        <f t="shared" si="18"/>
        <v>46-55</v>
      </c>
      <c r="C481">
        <v>51</v>
      </c>
      <c r="D481" t="s">
        <v>16</v>
      </c>
      <c r="E481" t="s">
        <v>36</v>
      </c>
      <c r="F481" t="s">
        <v>72</v>
      </c>
      <c r="G481" s="1">
        <v>43512</v>
      </c>
      <c r="H481" t="s">
        <v>2602</v>
      </c>
      <c r="I481" t="s">
        <v>2603</v>
      </c>
      <c r="J481" t="s">
        <v>63</v>
      </c>
      <c r="K481">
        <v>32010.078697996199</v>
      </c>
      <c r="L481">
        <v>258</v>
      </c>
      <c r="M481" t="s">
        <v>43</v>
      </c>
      <c r="N481" s="1">
        <v>43530</v>
      </c>
      <c r="O481" t="s">
        <v>23</v>
      </c>
      <c r="P481" t="s">
        <v>24</v>
      </c>
      <c r="Q481">
        <v>18</v>
      </c>
    </row>
    <row r="482" spans="1:17" x14ac:dyDescent="0.35">
      <c r="A482" t="s">
        <v>2934</v>
      </c>
      <c r="B482" t="str">
        <f t="shared" si="18"/>
        <v>56-65</v>
      </c>
      <c r="C482">
        <v>64</v>
      </c>
      <c r="D482" t="s">
        <v>16</v>
      </c>
      <c r="E482" t="s">
        <v>27</v>
      </c>
      <c r="F482" t="s">
        <v>72</v>
      </c>
      <c r="G482" s="1">
        <v>44788</v>
      </c>
      <c r="H482" t="s">
        <v>2935</v>
      </c>
      <c r="I482" t="s">
        <v>2936</v>
      </c>
      <c r="J482" t="s">
        <v>54</v>
      </c>
      <c r="K482">
        <v>34241.758927837102</v>
      </c>
      <c r="L482">
        <v>262</v>
      </c>
      <c r="M482" t="s">
        <v>43</v>
      </c>
      <c r="N482" s="1">
        <v>44806</v>
      </c>
      <c r="O482" t="s">
        <v>23</v>
      </c>
      <c r="P482" t="s">
        <v>34</v>
      </c>
      <c r="Q482">
        <v>18</v>
      </c>
    </row>
    <row r="483" spans="1:17" x14ac:dyDescent="0.35">
      <c r="A483" t="s">
        <v>590</v>
      </c>
      <c r="B483" t="str">
        <f t="shared" si="18"/>
        <v>36-45</v>
      </c>
      <c r="C483">
        <v>40</v>
      </c>
      <c r="D483" t="s">
        <v>26</v>
      </c>
      <c r="E483" t="s">
        <v>27</v>
      </c>
      <c r="F483" t="s">
        <v>72</v>
      </c>
      <c r="G483" s="1">
        <v>44739</v>
      </c>
      <c r="H483" t="s">
        <v>591</v>
      </c>
      <c r="I483" t="s">
        <v>592</v>
      </c>
      <c r="J483" t="s">
        <v>59</v>
      </c>
      <c r="K483">
        <v>42431.391270283901</v>
      </c>
      <c r="L483">
        <v>334</v>
      </c>
      <c r="M483" t="s">
        <v>22</v>
      </c>
      <c r="N483" s="1">
        <v>44744</v>
      </c>
      <c r="O483" t="s">
        <v>33</v>
      </c>
      <c r="P483" t="s">
        <v>34</v>
      </c>
      <c r="Q483">
        <v>5</v>
      </c>
    </row>
    <row r="484" spans="1:17" x14ac:dyDescent="0.35">
      <c r="A484" t="s">
        <v>2003</v>
      </c>
      <c r="B484" t="str">
        <f t="shared" si="18"/>
        <v>46-55</v>
      </c>
      <c r="C484">
        <v>46</v>
      </c>
      <c r="D484" t="s">
        <v>16</v>
      </c>
      <c r="E484" t="s">
        <v>27</v>
      </c>
      <c r="F484" t="s">
        <v>72</v>
      </c>
      <c r="G484" s="1">
        <v>44066</v>
      </c>
      <c r="H484" t="s">
        <v>2004</v>
      </c>
      <c r="I484" t="s">
        <v>2005</v>
      </c>
      <c r="J484" t="s">
        <v>63</v>
      </c>
      <c r="K484">
        <v>6537.1469441774498</v>
      </c>
      <c r="L484">
        <v>213</v>
      </c>
      <c r="M484" t="s">
        <v>43</v>
      </c>
      <c r="N484" s="1">
        <v>44086</v>
      </c>
      <c r="O484" t="s">
        <v>33</v>
      </c>
      <c r="P484" t="s">
        <v>24</v>
      </c>
      <c r="Q484">
        <v>20</v>
      </c>
    </row>
    <row r="485" spans="1:17" x14ac:dyDescent="0.35">
      <c r="A485" t="s">
        <v>1919</v>
      </c>
      <c r="B485" t="str">
        <f t="shared" si="18"/>
        <v>36-45</v>
      </c>
      <c r="C485">
        <v>36</v>
      </c>
      <c r="D485" t="s">
        <v>26</v>
      </c>
      <c r="E485" t="s">
        <v>117</v>
      </c>
      <c r="F485" t="s">
        <v>72</v>
      </c>
      <c r="G485" s="1">
        <v>43862</v>
      </c>
      <c r="H485" t="s">
        <v>1920</v>
      </c>
      <c r="I485" t="s">
        <v>1921</v>
      </c>
      <c r="J485" t="s">
        <v>63</v>
      </c>
      <c r="K485">
        <v>22805.877722145298</v>
      </c>
      <c r="L485">
        <v>226</v>
      </c>
      <c r="M485" t="s">
        <v>43</v>
      </c>
      <c r="N485" s="1">
        <v>43883</v>
      </c>
      <c r="O485" t="s">
        <v>33</v>
      </c>
      <c r="P485" t="s">
        <v>45</v>
      </c>
      <c r="Q485">
        <v>21</v>
      </c>
    </row>
    <row r="486" spans="1:17" x14ac:dyDescent="0.35">
      <c r="A486" t="s">
        <v>2006</v>
      </c>
      <c r="B486" t="str">
        <f t="shared" si="18"/>
        <v>36-45</v>
      </c>
      <c r="C486">
        <v>45</v>
      </c>
      <c r="D486" t="s">
        <v>16</v>
      </c>
      <c r="E486" t="s">
        <v>36</v>
      </c>
      <c r="F486" t="s">
        <v>72</v>
      </c>
      <c r="G486" s="1">
        <v>44200</v>
      </c>
      <c r="H486" t="s">
        <v>2007</v>
      </c>
      <c r="I486" t="s">
        <v>2008</v>
      </c>
      <c r="J486" t="s">
        <v>31</v>
      </c>
      <c r="K486">
        <v>2089.9212968616198</v>
      </c>
      <c r="L486">
        <v>287</v>
      </c>
      <c r="M486" t="s">
        <v>32</v>
      </c>
      <c r="N486" s="1">
        <v>44211</v>
      </c>
      <c r="O486" t="s">
        <v>50</v>
      </c>
      <c r="P486" t="s">
        <v>24</v>
      </c>
      <c r="Q486">
        <v>11</v>
      </c>
    </row>
    <row r="487" spans="1:17" x14ac:dyDescent="0.35">
      <c r="A487" t="s">
        <v>383</v>
      </c>
      <c r="B487" t="str">
        <f t="shared" si="18"/>
        <v>18-25</v>
      </c>
      <c r="C487">
        <v>19</v>
      </c>
      <c r="D487" t="s">
        <v>26</v>
      </c>
      <c r="E487" t="s">
        <v>51</v>
      </c>
      <c r="F487" t="s">
        <v>72</v>
      </c>
      <c r="G487" s="1">
        <v>44347</v>
      </c>
      <c r="H487" t="s">
        <v>384</v>
      </c>
      <c r="I487" t="s">
        <v>385</v>
      </c>
      <c r="J487" t="s">
        <v>21</v>
      </c>
      <c r="K487">
        <v>25436.9947196715</v>
      </c>
      <c r="L487">
        <v>211</v>
      </c>
      <c r="M487" t="s">
        <v>43</v>
      </c>
      <c r="N487" s="1">
        <v>44348</v>
      </c>
      <c r="O487" t="s">
        <v>33</v>
      </c>
      <c r="P487" t="s">
        <v>24</v>
      </c>
      <c r="Q487">
        <v>1</v>
      </c>
    </row>
    <row r="488" spans="1:17" x14ac:dyDescent="0.35">
      <c r="A488" t="s">
        <v>795</v>
      </c>
      <c r="B488" t="str">
        <f t="shared" si="18"/>
        <v>76-85</v>
      </c>
      <c r="C488">
        <v>83</v>
      </c>
      <c r="D488" t="s">
        <v>16</v>
      </c>
      <c r="E488" t="s">
        <v>17</v>
      </c>
      <c r="F488" t="s">
        <v>72</v>
      </c>
      <c r="G488" s="1">
        <v>43914</v>
      </c>
      <c r="H488" t="s">
        <v>796</v>
      </c>
      <c r="I488" t="s">
        <v>797</v>
      </c>
      <c r="J488" t="s">
        <v>63</v>
      </c>
      <c r="K488">
        <v>12831.046557387501</v>
      </c>
      <c r="L488">
        <v>370</v>
      </c>
      <c r="M488" t="s">
        <v>22</v>
      </c>
      <c r="N488" s="1">
        <v>43918</v>
      </c>
      <c r="O488" t="s">
        <v>33</v>
      </c>
      <c r="P488" t="s">
        <v>24</v>
      </c>
      <c r="Q488">
        <v>4</v>
      </c>
    </row>
    <row r="489" spans="1:17" x14ac:dyDescent="0.35">
      <c r="A489" t="s">
        <v>283</v>
      </c>
      <c r="B489" t="str">
        <f t="shared" si="18"/>
        <v>46-55</v>
      </c>
      <c r="C489">
        <v>51</v>
      </c>
      <c r="D489" t="s">
        <v>16</v>
      </c>
      <c r="E489" t="s">
        <v>27</v>
      </c>
      <c r="F489" t="s">
        <v>72</v>
      </c>
      <c r="G489" s="1">
        <v>45157</v>
      </c>
      <c r="H489" t="s">
        <v>284</v>
      </c>
      <c r="I489" t="s">
        <v>285</v>
      </c>
      <c r="J489" t="s">
        <v>31</v>
      </c>
      <c r="K489">
        <v>28792.6319746318</v>
      </c>
      <c r="L489">
        <v>460</v>
      </c>
      <c r="M489" t="s">
        <v>32</v>
      </c>
      <c r="N489" s="1">
        <v>45176</v>
      </c>
      <c r="O489" t="s">
        <v>87</v>
      </c>
      <c r="P489" t="s">
        <v>24</v>
      </c>
      <c r="Q489">
        <v>19</v>
      </c>
    </row>
    <row r="490" spans="1:17" x14ac:dyDescent="0.35">
      <c r="A490" t="s">
        <v>1654</v>
      </c>
      <c r="B490" t="str">
        <f t="shared" si="18"/>
        <v>26-35</v>
      </c>
      <c r="C490">
        <v>26</v>
      </c>
      <c r="D490" t="s">
        <v>26</v>
      </c>
      <c r="E490" t="s">
        <v>117</v>
      </c>
      <c r="F490" t="s">
        <v>72</v>
      </c>
      <c r="G490" s="1">
        <v>44602</v>
      </c>
      <c r="H490" t="s">
        <v>1655</v>
      </c>
      <c r="I490" t="s">
        <v>188</v>
      </c>
      <c r="J490" t="s">
        <v>54</v>
      </c>
      <c r="K490">
        <v>49053.356073379</v>
      </c>
      <c r="L490">
        <v>383</v>
      </c>
      <c r="M490" t="s">
        <v>32</v>
      </c>
      <c r="N490" s="1">
        <v>44618</v>
      </c>
      <c r="O490" t="s">
        <v>44</v>
      </c>
      <c r="P490" t="s">
        <v>34</v>
      </c>
      <c r="Q490">
        <v>16</v>
      </c>
    </row>
    <row r="491" spans="1:17" x14ac:dyDescent="0.35">
      <c r="A491" t="s">
        <v>2160</v>
      </c>
      <c r="B491" t="str">
        <f t="shared" si="18"/>
        <v>46-55</v>
      </c>
      <c r="C491">
        <v>46</v>
      </c>
      <c r="D491" t="s">
        <v>26</v>
      </c>
      <c r="E491" t="s">
        <v>117</v>
      </c>
      <c r="F491" t="s">
        <v>72</v>
      </c>
      <c r="G491" s="1">
        <v>45199</v>
      </c>
      <c r="H491" t="s">
        <v>2161</v>
      </c>
      <c r="I491" t="s">
        <v>2162</v>
      </c>
      <c r="J491" t="s">
        <v>54</v>
      </c>
      <c r="K491">
        <v>29898.8944238105</v>
      </c>
      <c r="L491">
        <v>164</v>
      </c>
      <c r="M491" t="s">
        <v>22</v>
      </c>
      <c r="N491" s="1">
        <v>45201</v>
      </c>
      <c r="O491" t="s">
        <v>33</v>
      </c>
      <c r="P491" t="s">
        <v>45</v>
      </c>
      <c r="Q491">
        <v>2</v>
      </c>
    </row>
    <row r="492" spans="1:17" x14ac:dyDescent="0.35">
      <c r="A492" t="s">
        <v>2697</v>
      </c>
      <c r="B492" t="str">
        <f t="shared" si="18"/>
        <v>76-85</v>
      </c>
      <c r="C492">
        <v>81</v>
      </c>
      <c r="D492" t="s">
        <v>26</v>
      </c>
      <c r="E492" t="s">
        <v>117</v>
      </c>
      <c r="F492" t="s">
        <v>72</v>
      </c>
      <c r="G492" s="1">
        <v>44052</v>
      </c>
      <c r="H492" t="s">
        <v>2698</v>
      </c>
      <c r="I492" t="s">
        <v>2699</v>
      </c>
      <c r="J492" t="s">
        <v>31</v>
      </c>
      <c r="K492">
        <v>16011.956739589299</v>
      </c>
      <c r="L492">
        <v>253</v>
      </c>
      <c r="M492" t="s">
        <v>32</v>
      </c>
      <c r="N492" s="1">
        <v>44066</v>
      </c>
      <c r="O492" t="s">
        <v>50</v>
      </c>
      <c r="P492" t="s">
        <v>24</v>
      </c>
      <c r="Q492">
        <v>14</v>
      </c>
    </row>
    <row r="493" spans="1:17" x14ac:dyDescent="0.35">
      <c r="A493" t="s">
        <v>315</v>
      </c>
      <c r="B493" t="str">
        <f t="shared" si="18"/>
        <v>66-75</v>
      </c>
      <c r="C493">
        <v>71</v>
      </c>
      <c r="D493" t="s">
        <v>16</v>
      </c>
      <c r="E493" t="s">
        <v>65</v>
      </c>
      <c r="F493" t="s">
        <v>72</v>
      </c>
      <c r="G493" s="1">
        <v>44637</v>
      </c>
      <c r="H493" t="s">
        <v>316</v>
      </c>
      <c r="I493" t="s">
        <v>317</v>
      </c>
      <c r="J493" t="s">
        <v>54</v>
      </c>
      <c r="K493">
        <v>23559.596143840899</v>
      </c>
      <c r="L493">
        <v>405</v>
      </c>
      <c r="M493" t="s">
        <v>32</v>
      </c>
      <c r="N493" s="1">
        <v>44660</v>
      </c>
      <c r="O493" t="s">
        <v>50</v>
      </c>
      <c r="P493" t="s">
        <v>24</v>
      </c>
      <c r="Q493">
        <v>23</v>
      </c>
    </row>
    <row r="494" spans="1:17" x14ac:dyDescent="0.35">
      <c r="A494" t="s">
        <v>2679</v>
      </c>
      <c r="B494" t="str">
        <f t="shared" si="18"/>
        <v>66-75</v>
      </c>
      <c r="C494">
        <v>68</v>
      </c>
      <c r="D494" t="s">
        <v>26</v>
      </c>
      <c r="E494" t="s">
        <v>65</v>
      </c>
      <c r="F494" t="s">
        <v>72</v>
      </c>
      <c r="G494" s="1">
        <v>44867</v>
      </c>
      <c r="H494" t="s">
        <v>2680</v>
      </c>
      <c r="I494" t="s">
        <v>2681</v>
      </c>
      <c r="J494" t="s">
        <v>31</v>
      </c>
      <c r="K494">
        <v>20293.670726972599</v>
      </c>
      <c r="L494">
        <v>247</v>
      </c>
      <c r="M494" t="s">
        <v>43</v>
      </c>
      <c r="N494" s="1">
        <v>44884</v>
      </c>
      <c r="O494" t="s">
        <v>50</v>
      </c>
      <c r="P494" t="s">
        <v>45</v>
      </c>
      <c r="Q494">
        <v>17</v>
      </c>
    </row>
    <row r="495" spans="1:17" x14ac:dyDescent="0.35">
      <c r="A495" t="s">
        <v>1029</v>
      </c>
      <c r="B495" t="str">
        <f t="shared" si="18"/>
        <v>36-45</v>
      </c>
      <c r="C495">
        <v>42</v>
      </c>
      <c r="D495" t="s">
        <v>26</v>
      </c>
      <c r="E495" t="s">
        <v>36</v>
      </c>
      <c r="F495" t="s">
        <v>72</v>
      </c>
      <c r="G495" s="1">
        <v>43989</v>
      </c>
      <c r="H495" t="s">
        <v>1030</v>
      </c>
      <c r="I495" t="s">
        <v>1031</v>
      </c>
      <c r="J495" t="s">
        <v>59</v>
      </c>
      <c r="K495">
        <v>37081.460987861101</v>
      </c>
      <c r="L495">
        <v>283</v>
      </c>
      <c r="M495" t="s">
        <v>32</v>
      </c>
      <c r="N495" s="1">
        <v>43993</v>
      </c>
      <c r="O495" t="s">
        <v>23</v>
      </c>
      <c r="P495" t="s">
        <v>24</v>
      </c>
      <c r="Q495">
        <v>4</v>
      </c>
    </row>
    <row r="496" spans="1:17" x14ac:dyDescent="0.35">
      <c r="A496" t="s">
        <v>619</v>
      </c>
      <c r="B496" t="str">
        <f t="shared" si="18"/>
        <v>56-65</v>
      </c>
      <c r="C496">
        <v>62</v>
      </c>
      <c r="D496" t="s">
        <v>26</v>
      </c>
      <c r="E496" t="s">
        <v>232</v>
      </c>
      <c r="F496" t="s">
        <v>72</v>
      </c>
      <c r="G496" s="1">
        <v>43425</v>
      </c>
      <c r="H496" t="s">
        <v>620</v>
      </c>
      <c r="I496" t="s">
        <v>621</v>
      </c>
      <c r="J496" t="s">
        <v>54</v>
      </c>
      <c r="K496">
        <v>1608.6917926893</v>
      </c>
      <c r="L496">
        <v>153</v>
      </c>
      <c r="M496" t="s">
        <v>43</v>
      </c>
      <c r="N496" s="1">
        <v>43433</v>
      </c>
      <c r="O496" t="s">
        <v>44</v>
      </c>
      <c r="P496" t="s">
        <v>45</v>
      </c>
      <c r="Q496">
        <v>8</v>
      </c>
    </row>
    <row r="497" spans="1:17" x14ac:dyDescent="0.35">
      <c r="A497" t="s">
        <v>2187</v>
      </c>
      <c r="B497" t="str">
        <f t="shared" si="18"/>
        <v>18-25</v>
      </c>
      <c r="C497">
        <v>20</v>
      </c>
      <c r="D497" t="s">
        <v>16</v>
      </c>
      <c r="E497" t="s">
        <v>27</v>
      </c>
      <c r="F497" t="s">
        <v>72</v>
      </c>
      <c r="G497" s="1">
        <v>43565</v>
      </c>
      <c r="H497" t="s">
        <v>2188</v>
      </c>
      <c r="I497" t="s">
        <v>2189</v>
      </c>
      <c r="J497" t="s">
        <v>21</v>
      </c>
      <c r="K497">
        <v>43865.899919224597</v>
      </c>
      <c r="L497">
        <v>360</v>
      </c>
      <c r="M497" t="s">
        <v>43</v>
      </c>
      <c r="N497" s="1">
        <v>43594</v>
      </c>
      <c r="O497" t="s">
        <v>87</v>
      </c>
      <c r="P497" t="s">
        <v>34</v>
      </c>
      <c r="Q497">
        <v>29</v>
      </c>
    </row>
    <row r="498" spans="1:17" x14ac:dyDescent="0.35">
      <c r="A498" t="s">
        <v>2172</v>
      </c>
      <c r="B498" t="str">
        <f t="shared" si="18"/>
        <v>46-55</v>
      </c>
      <c r="C498">
        <v>54</v>
      </c>
      <c r="D498" t="s">
        <v>16</v>
      </c>
      <c r="E498" t="s">
        <v>36</v>
      </c>
      <c r="F498" t="s">
        <v>72</v>
      </c>
      <c r="G498" s="1">
        <v>44547</v>
      </c>
      <c r="H498" t="s">
        <v>2173</v>
      </c>
      <c r="I498" t="s">
        <v>2174</v>
      </c>
      <c r="J498" t="s">
        <v>59</v>
      </c>
      <c r="K498">
        <v>16479.896915585301</v>
      </c>
      <c r="L498">
        <v>156</v>
      </c>
      <c r="M498" t="s">
        <v>22</v>
      </c>
      <c r="N498" s="1">
        <v>44557</v>
      </c>
      <c r="O498" t="s">
        <v>50</v>
      </c>
      <c r="P498" t="s">
        <v>34</v>
      </c>
      <c r="Q498">
        <v>10</v>
      </c>
    </row>
    <row r="499" spans="1:17" x14ac:dyDescent="0.35">
      <c r="A499" t="s">
        <v>1432</v>
      </c>
      <c r="B499" t="str">
        <f t="shared" si="18"/>
        <v>56-65</v>
      </c>
      <c r="C499">
        <v>63</v>
      </c>
      <c r="D499" t="s">
        <v>26</v>
      </c>
      <c r="E499" t="s">
        <v>36</v>
      </c>
      <c r="F499" t="s">
        <v>72</v>
      </c>
      <c r="G499" s="1">
        <v>44100</v>
      </c>
      <c r="H499" t="s">
        <v>1433</v>
      </c>
      <c r="I499" t="s">
        <v>1434</v>
      </c>
      <c r="J499" t="s">
        <v>21</v>
      </c>
      <c r="K499">
        <v>45218.396855689702</v>
      </c>
      <c r="L499">
        <v>269</v>
      </c>
      <c r="M499" t="s">
        <v>22</v>
      </c>
      <c r="N499" s="1">
        <v>44109</v>
      </c>
      <c r="O499" t="s">
        <v>33</v>
      </c>
      <c r="P499" t="s">
        <v>24</v>
      </c>
      <c r="Q499">
        <v>9</v>
      </c>
    </row>
    <row r="500" spans="1:17" x14ac:dyDescent="0.35">
      <c r="A500" t="s">
        <v>274</v>
      </c>
      <c r="B500" t="str">
        <f t="shared" si="18"/>
        <v>36-45</v>
      </c>
      <c r="C500">
        <v>43</v>
      </c>
      <c r="D500" t="s">
        <v>16</v>
      </c>
      <c r="E500" t="s">
        <v>17</v>
      </c>
      <c r="F500" t="s">
        <v>72</v>
      </c>
      <c r="G500" s="1">
        <v>44384</v>
      </c>
      <c r="H500" t="s">
        <v>275</v>
      </c>
      <c r="I500" t="s">
        <v>276</v>
      </c>
      <c r="J500" t="s">
        <v>54</v>
      </c>
      <c r="K500">
        <v>42685.190003543503</v>
      </c>
      <c r="L500">
        <v>436</v>
      </c>
      <c r="M500" t="s">
        <v>32</v>
      </c>
      <c r="N500" s="1">
        <v>44393</v>
      </c>
      <c r="O500" t="s">
        <v>44</v>
      </c>
      <c r="P500" t="s">
        <v>45</v>
      </c>
      <c r="Q500">
        <v>9</v>
      </c>
    </row>
    <row r="501" spans="1:17" x14ac:dyDescent="0.35">
      <c r="A501" t="s">
        <v>667</v>
      </c>
      <c r="B501" t="str">
        <f t="shared" si="18"/>
        <v>36-45</v>
      </c>
      <c r="C501">
        <v>45</v>
      </c>
      <c r="D501" t="s">
        <v>26</v>
      </c>
      <c r="E501" t="s">
        <v>51</v>
      </c>
      <c r="F501" t="s">
        <v>72</v>
      </c>
      <c r="G501" s="1">
        <v>43599</v>
      </c>
      <c r="H501" t="s">
        <v>668</v>
      </c>
      <c r="I501" t="s">
        <v>669</v>
      </c>
      <c r="J501" t="s">
        <v>31</v>
      </c>
      <c r="K501">
        <v>1523.10601988182</v>
      </c>
      <c r="L501">
        <v>333</v>
      </c>
      <c r="M501" t="s">
        <v>22</v>
      </c>
      <c r="N501" s="1">
        <v>43600</v>
      </c>
      <c r="O501" t="s">
        <v>44</v>
      </c>
      <c r="P501" t="s">
        <v>34</v>
      </c>
      <c r="Q501">
        <v>1</v>
      </c>
    </row>
    <row r="502" spans="1:17" x14ac:dyDescent="0.35">
      <c r="A502" t="s">
        <v>2233</v>
      </c>
      <c r="B502" t="str">
        <f t="shared" si="18"/>
        <v>56-65</v>
      </c>
      <c r="C502">
        <v>62</v>
      </c>
      <c r="D502" t="s">
        <v>16</v>
      </c>
      <c r="E502" t="s">
        <v>27</v>
      </c>
      <c r="F502" t="s">
        <v>72</v>
      </c>
      <c r="G502" s="1">
        <v>45081</v>
      </c>
      <c r="H502" t="s">
        <v>2234</v>
      </c>
      <c r="I502" t="s">
        <v>2235</v>
      </c>
      <c r="J502" t="s">
        <v>63</v>
      </c>
      <c r="K502">
        <v>30219.840568138901</v>
      </c>
      <c r="L502">
        <v>248</v>
      </c>
      <c r="M502" t="s">
        <v>43</v>
      </c>
      <c r="N502" s="1">
        <v>45106</v>
      </c>
      <c r="O502" t="s">
        <v>87</v>
      </c>
      <c r="P502" t="s">
        <v>34</v>
      </c>
      <c r="Q502">
        <v>25</v>
      </c>
    </row>
    <row r="503" spans="1:17" x14ac:dyDescent="0.35">
      <c r="A503" t="s">
        <v>1721</v>
      </c>
      <c r="B503" t="str">
        <f t="shared" si="18"/>
        <v>76-85</v>
      </c>
      <c r="C503">
        <v>84</v>
      </c>
      <c r="D503" t="s">
        <v>16</v>
      </c>
      <c r="E503" t="s">
        <v>27</v>
      </c>
      <c r="F503" t="s">
        <v>72</v>
      </c>
      <c r="G503" s="1">
        <v>44005</v>
      </c>
      <c r="H503" t="s">
        <v>1722</v>
      </c>
      <c r="I503" t="s">
        <v>1723</v>
      </c>
      <c r="J503" t="s">
        <v>54</v>
      </c>
      <c r="K503">
        <v>22269.5569739936</v>
      </c>
      <c r="L503">
        <v>158</v>
      </c>
      <c r="M503" t="s">
        <v>32</v>
      </c>
      <c r="N503" s="1">
        <v>44020</v>
      </c>
      <c r="O503" t="s">
        <v>87</v>
      </c>
      <c r="P503" t="s">
        <v>45</v>
      </c>
      <c r="Q503">
        <v>15</v>
      </c>
    </row>
    <row r="504" spans="1:17" x14ac:dyDescent="0.35">
      <c r="A504" t="s">
        <v>1600</v>
      </c>
      <c r="B504" t="str">
        <f t="shared" si="18"/>
        <v>66-75</v>
      </c>
      <c r="C504">
        <v>74</v>
      </c>
      <c r="D504" t="s">
        <v>26</v>
      </c>
      <c r="E504" t="s">
        <v>17</v>
      </c>
      <c r="F504" t="s">
        <v>72</v>
      </c>
      <c r="G504" s="1">
        <v>44641</v>
      </c>
      <c r="H504" t="s">
        <v>1601</v>
      </c>
      <c r="I504" t="s">
        <v>1602</v>
      </c>
      <c r="J504" t="s">
        <v>54</v>
      </c>
      <c r="K504">
        <v>9548.4011594508502</v>
      </c>
      <c r="L504">
        <v>384</v>
      </c>
      <c r="M504" t="s">
        <v>32</v>
      </c>
      <c r="N504" s="1">
        <v>44670</v>
      </c>
      <c r="O504" t="s">
        <v>33</v>
      </c>
      <c r="P504" t="s">
        <v>34</v>
      </c>
      <c r="Q504">
        <v>29</v>
      </c>
    </row>
    <row r="505" spans="1:17" x14ac:dyDescent="0.35">
      <c r="A505" t="s">
        <v>2946</v>
      </c>
      <c r="B505" t="str">
        <f t="shared" si="18"/>
        <v>66-75</v>
      </c>
      <c r="C505">
        <v>69</v>
      </c>
      <c r="D505" t="s">
        <v>26</v>
      </c>
      <c r="E505" t="s">
        <v>65</v>
      </c>
      <c r="F505" t="s">
        <v>72</v>
      </c>
      <c r="G505" s="1">
        <v>44511</v>
      </c>
      <c r="H505" t="s">
        <v>2947</v>
      </c>
      <c r="I505" t="s">
        <v>2948</v>
      </c>
      <c r="J505" t="s">
        <v>63</v>
      </c>
      <c r="K505">
        <v>16471.376988443</v>
      </c>
      <c r="L505">
        <v>413</v>
      </c>
      <c r="M505" t="s">
        <v>43</v>
      </c>
      <c r="N505" s="1">
        <v>44534</v>
      </c>
      <c r="O505" t="s">
        <v>44</v>
      </c>
      <c r="P505" t="s">
        <v>34</v>
      </c>
      <c r="Q505">
        <v>23</v>
      </c>
    </row>
    <row r="506" spans="1:17" x14ac:dyDescent="0.35">
      <c r="A506" t="s">
        <v>961</v>
      </c>
      <c r="B506" t="str">
        <f t="shared" si="18"/>
        <v>66-75</v>
      </c>
      <c r="C506">
        <v>71</v>
      </c>
      <c r="D506" t="s">
        <v>16</v>
      </c>
      <c r="E506" t="s">
        <v>17</v>
      </c>
      <c r="F506" t="s">
        <v>72</v>
      </c>
      <c r="G506" s="1">
        <v>44540</v>
      </c>
      <c r="H506" t="s">
        <v>962</v>
      </c>
      <c r="I506" t="s">
        <v>963</v>
      </c>
      <c r="J506" t="s">
        <v>21</v>
      </c>
      <c r="K506">
        <v>44941.230443883796</v>
      </c>
      <c r="L506">
        <v>485</v>
      </c>
      <c r="M506" t="s">
        <v>32</v>
      </c>
      <c r="N506" s="1">
        <v>44542</v>
      </c>
      <c r="O506" t="s">
        <v>23</v>
      </c>
      <c r="P506" t="s">
        <v>24</v>
      </c>
      <c r="Q506">
        <v>2</v>
      </c>
    </row>
    <row r="507" spans="1:17" x14ac:dyDescent="0.35">
      <c r="A507" t="s">
        <v>1771</v>
      </c>
      <c r="B507" t="str">
        <f t="shared" si="18"/>
        <v>18-25</v>
      </c>
      <c r="C507">
        <v>25</v>
      </c>
      <c r="D507" t="s">
        <v>16</v>
      </c>
      <c r="E507" t="s">
        <v>51</v>
      </c>
      <c r="F507" t="s">
        <v>72</v>
      </c>
      <c r="G507" s="1">
        <v>44996</v>
      </c>
      <c r="H507" t="s">
        <v>1772</v>
      </c>
      <c r="I507" t="s">
        <v>1773</v>
      </c>
      <c r="J507" t="s">
        <v>59</v>
      </c>
      <c r="K507">
        <v>29531.968949386301</v>
      </c>
      <c r="L507">
        <v>194</v>
      </c>
      <c r="M507" t="s">
        <v>43</v>
      </c>
      <c r="N507" s="1">
        <v>45023</v>
      </c>
      <c r="O507" t="s">
        <v>23</v>
      </c>
      <c r="P507" t="s">
        <v>45</v>
      </c>
      <c r="Q507">
        <v>27</v>
      </c>
    </row>
    <row r="508" spans="1:17" x14ac:dyDescent="0.35">
      <c r="A508" t="s">
        <v>2872</v>
      </c>
      <c r="B508" t="str">
        <f t="shared" si="18"/>
        <v>36-45</v>
      </c>
      <c r="C508">
        <v>38</v>
      </c>
      <c r="D508" t="s">
        <v>26</v>
      </c>
      <c r="E508" t="s">
        <v>232</v>
      </c>
      <c r="F508" t="s">
        <v>18</v>
      </c>
      <c r="G508" s="1">
        <v>44348</v>
      </c>
      <c r="H508" t="s">
        <v>2873</v>
      </c>
      <c r="I508" t="s">
        <v>2874</v>
      </c>
      <c r="J508" t="s">
        <v>59</v>
      </c>
      <c r="K508">
        <v>6897.1003201639996</v>
      </c>
      <c r="L508">
        <v>164</v>
      </c>
      <c r="M508" t="s">
        <v>32</v>
      </c>
      <c r="N508" s="1">
        <v>44371</v>
      </c>
      <c r="O508" t="s">
        <v>87</v>
      </c>
      <c r="P508" t="s">
        <v>45</v>
      </c>
      <c r="Q508">
        <v>23</v>
      </c>
    </row>
    <row r="509" spans="1:17" x14ac:dyDescent="0.35">
      <c r="A509" t="s">
        <v>783</v>
      </c>
      <c r="B509" t="str">
        <f t="shared" si="18"/>
        <v>66-75</v>
      </c>
      <c r="C509">
        <v>72</v>
      </c>
      <c r="D509" t="s">
        <v>16</v>
      </c>
      <c r="E509" t="s">
        <v>65</v>
      </c>
      <c r="F509" t="s">
        <v>18</v>
      </c>
      <c r="G509" s="1">
        <v>44207</v>
      </c>
      <c r="H509" t="s">
        <v>784</v>
      </c>
      <c r="I509" t="s">
        <v>785</v>
      </c>
      <c r="J509" t="s">
        <v>59</v>
      </c>
      <c r="K509">
        <v>30304.653849840699</v>
      </c>
      <c r="L509">
        <v>129</v>
      </c>
      <c r="M509" t="s">
        <v>43</v>
      </c>
      <c r="N509" s="1">
        <v>44225</v>
      </c>
      <c r="O509" t="s">
        <v>23</v>
      </c>
      <c r="P509" t="s">
        <v>24</v>
      </c>
      <c r="Q509">
        <v>18</v>
      </c>
    </row>
    <row r="510" spans="1:17" x14ac:dyDescent="0.35">
      <c r="A510" t="s">
        <v>1185</v>
      </c>
      <c r="B510" t="str">
        <f t="shared" si="18"/>
        <v>26-35</v>
      </c>
      <c r="C510">
        <v>35</v>
      </c>
      <c r="D510" t="s">
        <v>26</v>
      </c>
      <c r="E510" t="s">
        <v>65</v>
      </c>
      <c r="F510" t="s">
        <v>18</v>
      </c>
      <c r="G510" s="1">
        <v>45139</v>
      </c>
      <c r="H510" t="s">
        <v>1186</v>
      </c>
      <c r="I510" t="s">
        <v>1187</v>
      </c>
      <c r="J510" t="s">
        <v>63</v>
      </c>
      <c r="K510">
        <v>44655.699075422199</v>
      </c>
      <c r="L510">
        <v>363</v>
      </c>
      <c r="M510" t="s">
        <v>32</v>
      </c>
      <c r="N510" s="1">
        <v>45154</v>
      </c>
      <c r="O510" t="s">
        <v>23</v>
      </c>
      <c r="P510" t="s">
        <v>24</v>
      </c>
      <c r="Q510">
        <v>15</v>
      </c>
    </row>
    <row r="511" spans="1:17" x14ac:dyDescent="0.35">
      <c r="A511" t="s">
        <v>437</v>
      </c>
      <c r="B511" t="str">
        <f t="shared" si="18"/>
        <v>26-35</v>
      </c>
      <c r="C511">
        <v>29</v>
      </c>
      <c r="D511" t="s">
        <v>16</v>
      </c>
      <c r="E511" t="s">
        <v>117</v>
      </c>
      <c r="F511" t="s">
        <v>18</v>
      </c>
      <c r="G511" s="1">
        <v>44050</v>
      </c>
      <c r="H511" t="s">
        <v>438</v>
      </c>
      <c r="I511" t="s">
        <v>439</v>
      </c>
      <c r="J511" t="s">
        <v>59</v>
      </c>
      <c r="K511">
        <v>37867.019332053897</v>
      </c>
      <c r="L511">
        <v>445</v>
      </c>
      <c r="M511" t="s">
        <v>32</v>
      </c>
      <c r="N511" s="1">
        <v>44071</v>
      </c>
      <c r="O511" t="s">
        <v>33</v>
      </c>
      <c r="P511" t="s">
        <v>34</v>
      </c>
      <c r="Q511">
        <v>21</v>
      </c>
    </row>
    <row r="512" spans="1:17" x14ac:dyDescent="0.35">
      <c r="A512" t="s">
        <v>2715</v>
      </c>
      <c r="B512" t="str">
        <f t="shared" si="18"/>
        <v>46-55</v>
      </c>
      <c r="C512">
        <v>52</v>
      </c>
      <c r="D512" t="s">
        <v>26</v>
      </c>
      <c r="E512" t="s">
        <v>65</v>
      </c>
      <c r="F512" t="s">
        <v>18</v>
      </c>
      <c r="G512" s="1">
        <v>45123</v>
      </c>
      <c r="H512" t="s">
        <v>2716</v>
      </c>
      <c r="I512" t="s">
        <v>2717</v>
      </c>
      <c r="J512" t="s">
        <v>63</v>
      </c>
      <c r="K512">
        <v>35954.786568013304</v>
      </c>
      <c r="L512">
        <v>470</v>
      </c>
      <c r="M512" t="s">
        <v>43</v>
      </c>
      <c r="N512" s="1">
        <v>45149</v>
      </c>
      <c r="O512" t="s">
        <v>50</v>
      </c>
      <c r="P512" t="s">
        <v>34</v>
      </c>
      <c r="Q512">
        <v>26</v>
      </c>
    </row>
    <row r="513" spans="1:17" x14ac:dyDescent="0.35">
      <c r="A513" t="s">
        <v>1050</v>
      </c>
      <c r="B513" t="str">
        <f t="shared" si="18"/>
        <v>46-55</v>
      </c>
      <c r="C513">
        <v>48</v>
      </c>
      <c r="D513" t="s">
        <v>16</v>
      </c>
      <c r="E513" t="s">
        <v>92</v>
      </c>
      <c r="F513" t="s">
        <v>18</v>
      </c>
      <c r="G513" s="1">
        <v>43853</v>
      </c>
      <c r="H513" t="s">
        <v>1051</v>
      </c>
      <c r="I513" t="s">
        <v>1052</v>
      </c>
      <c r="J513" t="s">
        <v>59</v>
      </c>
      <c r="K513">
        <v>24305.533702188499</v>
      </c>
      <c r="L513">
        <v>135</v>
      </c>
      <c r="M513" t="s">
        <v>43</v>
      </c>
      <c r="N513" s="1">
        <v>43858</v>
      </c>
      <c r="O513" t="s">
        <v>50</v>
      </c>
      <c r="P513" t="s">
        <v>24</v>
      </c>
      <c r="Q513">
        <v>5</v>
      </c>
    </row>
    <row r="514" spans="1:17" x14ac:dyDescent="0.35">
      <c r="A514" t="s">
        <v>1358</v>
      </c>
      <c r="B514" t="str">
        <f t="shared" si="18"/>
        <v>46-55</v>
      </c>
      <c r="C514">
        <v>52</v>
      </c>
      <c r="D514" t="s">
        <v>16</v>
      </c>
      <c r="E514" t="s">
        <v>92</v>
      </c>
      <c r="F514" t="s">
        <v>18</v>
      </c>
      <c r="G514" s="1">
        <v>44234</v>
      </c>
      <c r="H514" t="s">
        <v>1359</v>
      </c>
      <c r="I514" t="s">
        <v>1360</v>
      </c>
      <c r="J514" t="s">
        <v>54</v>
      </c>
      <c r="K514">
        <v>17219.172491391098</v>
      </c>
      <c r="L514">
        <v>101</v>
      </c>
      <c r="M514" t="s">
        <v>43</v>
      </c>
      <c r="N514" s="1">
        <v>44248</v>
      </c>
      <c r="O514" t="s">
        <v>23</v>
      </c>
      <c r="P514" t="s">
        <v>45</v>
      </c>
      <c r="Q514">
        <v>14</v>
      </c>
    </row>
    <row r="515" spans="1:17" x14ac:dyDescent="0.35">
      <c r="A515" t="s">
        <v>2057</v>
      </c>
      <c r="B515" t="str">
        <f t="shared" si="18"/>
        <v>76-85</v>
      </c>
      <c r="C515">
        <v>78</v>
      </c>
      <c r="D515" t="s">
        <v>26</v>
      </c>
      <c r="E515" t="s">
        <v>232</v>
      </c>
      <c r="F515" t="s">
        <v>18</v>
      </c>
      <c r="G515" s="1">
        <v>43895</v>
      </c>
      <c r="H515" t="s">
        <v>2058</v>
      </c>
      <c r="I515" t="s">
        <v>2059</v>
      </c>
      <c r="J515" t="s">
        <v>59</v>
      </c>
      <c r="K515">
        <v>35699.311529053499</v>
      </c>
      <c r="L515">
        <v>329</v>
      </c>
      <c r="M515" t="s">
        <v>43</v>
      </c>
      <c r="N515" s="1">
        <v>43908</v>
      </c>
      <c r="O515" t="s">
        <v>23</v>
      </c>
      <c r="P515" t="s">
        <v>34</v>
      </c>
      <c r="Q515">
        <v>13</v>
      </c>
    </row>
    <row r="516" spans="1:17" x14ac:dyDescent="0.35">
      <c r="A516" t="s">
        <v>366</v>
      </c>
      <c r="B516" t="str">
        <f t="shared" si="18"/>
        <v>76-85</v>
      </c>
      <c r="C516">
        <v>81</v>
      </c>
      <c r="D516" t="s">
        <v>16</v>
      </c>
      <c r="E516" t="s">
        <v>65</v>
      </c>
      <c r="F516" t="s">
        <v>18</v>
      </c>
      <c r="G516" s="1">
        <v>44424</v>
      </c>
      <c r="H516" t="s">
        <v>367</v>
      </c>
      <c r="I516" t="s">
        <v>368</v>
      </c>
      <c r="J516" t="s">
        <v>31</v>
      </c>
      <c r="K516">
        <v>17835.9505418435</v>
      </c>
      <c r="L516">
        <v>275</v>
      </c>
      <c r="M516" t="s">
        <v>43</v>
      </c>
      <c r="N516" s="1">
        <v>44440</v>
      </c>
      <c r="O516" t="s">
        <v>23</v>
      </c>
      <c r="P516" t="s">
        <v>34</v>
      </c>
      <c r="Q516">
        <v>16</v>
      </c>
    </row>
    <row r="517" spans="1:17" x14ac:dyDescent="0.35">
      <c r="A517" t="s">
        <v>652</v>
      </c>
      <c r="B517" t="str">
        <f t="shared" si="18"/>
        <v>66-75</v>
      </c>
      <c r="C517">
        <v>71</v>
      </c>
      <c r="D517" t="s">
        <v>16</v>
      </c>
      <c r="E517" t="s">
        <v>117</v>
      </c>
      <c r="F517" t="s">
        <v>18</v>
      </c>
      <c r="G517" s="1">
        <v>43873</v>
      </c>
      <c r="H517" t="s">
        <v>653</v>
      </c>
      <c r="I517" t="s">
        <v>654</v>
      </c>
      <c r="J517" t="s">
        <v>31</v>
      </c>
      <c r="K517">
        <v>17166.802113751899</v>
      </c>
      <c r="L517">
        <v>181</v>
      </c>
      <c r="M517" t="s">
        <v>22</v>
      </c>
      <c r="N517" s="1">
        <v>43896</v>
      </c>
      <c r="O517" t="s">
        <v>44</v>
      </c>
      <c r="P517" t="s">
        <v>45</v>
      </c>
      <c r="Q517">
        <v>23</v>
      </c>
    </row>
    <row r="518" spans="1:17" x14ac:dyDescent="0.35">
      <c r="A518" t="s">
        <v>235</v>
      </c>
      <c r="B518" t="str">
        <f t="shared" si="18"/>
        <v>56-65</v>
      </c>
      <c r="C518">
        <v>56</v>
      </c>
      <c r="D518" t="s">
        <v>16</v>
      </c>
      <c r="E518" t="s">
        <v>27</v>
      </c>
      <c r="F518" t="s">
        <v>18</v>
      </c>
      <c r="G518" s="1">
        <v>45227</v>
      </c>
      <c r="H518" t="s">
        <v>236</v>
      </c>
      <c r="I518" t="s">
        <v>237</v>
      </c>
      <c r="J518" t="s">
        <v>54</v>
      </c>
      <c r="K518">
        <v>18904.738199568299</v>
      </c>
      <c r="L518">
        <v>404</v>
      </c>
      <c r="M518" t="s">
        <v>43</v>
      </c>
      <c r="N518" s="1">
        <v>45255</v>
      </c>
      <c r="O518" t="s">
        <v>44</v>
      </c>
      <c r="P518" t="s">
        <v>24</v>
      </c>
      <c r="Q518">
        <v>28</v>
      </c>
    </row>
    <row r="519" spans="1:17" x14ac:dyDescent="0.35">
      <c r="A519" t="s">
        <v>515</v>
      </c>
      <c r="B519" t="str">
        <f t="shared" si="18"/>
        <v>66-75</v>
      </c>
      <c r="C519">
        <v>74</v>
      </c>
      <c r="D519" t="s">
        <v>16</v>
      </c>
      <c r="E519" t="s">
        <v>17</v>
      </c>
      <c r="F519" t="s">
        <v>18</v>
      </c>
      <c r="G519" s="1">
        <v>44622</v>
      </c>
      <c r="H519" t="s">
        <v>516</v>
      </c>
      <c r="I519" t="s">
        <v>517</v>
      </c>
      <c r="J519" t="s">
        <v>59</v>
      </c>
      <c r="K519">
        <v>28004.3415366876</v>
      </c>
      <c r="L519">
        <v>261</v>
      </c>
      <c r="M519" t="s">
        <v>22</v>
      </c>
      <c r="N519" s="1">
        <v>44645</v>
      </c>
      <c r="O519" t="s">
        <v>87</v>
      </c>
      <c r="P519" t="s">
        <v>45</v>
      </c>
      <c r="Q519">
        <v>23</v>
      </c>
    </row>
    <row r="520" spans="1:17" x14ac:dyDescent="0.35">
      <c r="A520" t="s">
        <v>2353</v>
      </c>
      <c r="B520" t="str">
        <f t="shared" si="18"/>
        <v>66-75</v>
      </c>
      <c r="C520">
        <v>66</v>
      </c>
      <c r="D520" t="s">
        <v>26</v>
      </c>
      <c r="E520" t="s">
        <v>17</v>
      </c>
      <c r="F520" t="s">
        <v>18</v>
      </c>
      <c r="G520" s="1">
        <v>43559</v>
      </c>
      <c r="H520" t="s">
        <v>405</v>
      </c>
      <c r="I520" t="s">
        <v>2354</v>
      </c>
      <c r="J520" t="s">
        <v>54</v>
      </c>
      <c r="K520">
        <v>29497.374026784499</v>
      </c>
      <c r="L520">
        <v>244</v>
      </c>
      <c r="M520" t="s">
        <v>22</v>
      </c>
      <c r="N520" s="1">
        <v>43581</v>
      </c>
      <c r="O520" t="s">
        <v>23</v>
      </c>
      <c r="P520" t="s">
        <v>34</v>
      </c>
      <c r="Q520">
        <v>22</v>
      </c>
    </row>
    <row r="521" spans="1:17" x14ac:dyDescent="0.35">
      <c r="A521" t="s">
        <v>2765</v>
      </c>
      <c r="B521" t="str">
        <f t="shared" si="18"/>
        <v>26-35</v>
      </c>
      <c r="C521">
        <v>31</v>
      </c>
      <c r="D521" t="s">
        <v>16</v>
      </c>
      <c r="E521" t="s">
        <v>17</v>
      </c>
      <c r="F521" t="s">
        <v>18</v>
      </c>
      <c r="G521" s="1">
        <v>44585</v>
      </c>
      <c r="H521" t="s">
        <v>2766</v>
      </c>
      <c r="I521" t="s">
        <v>2767</v>
      </c>
      <c r="J521" t="s">
        <v>54</v>
      </c>
      <c r="K521">
        <v>10571.488648119701</v>
      </c>
      <c r="L521">
        <v>316</v>
      </c>
      <c r="M521" t="s">
        <v>32</v>
      </c>
      <c r="N521" s="1">
        <v>44596</v>
      </c>
      <c r="O521" t="s">
        <v>44</v>
      </c>
      <c r="P521" t="s">
        <v>24</v>
      </c>
      <c r="Q521">
        <v>11</v>
      </c>
    </row>
    <row r="522" spans="1:17" x14ac:dyDescent="0.35">
      <c r="A522" t="s">
        <v>1648</v>
      </c>
      <c r="B522" t="str">
        <f t="shared" si="18"/>
        <v>18-25</v>
      </c>
      <c r="C522">
        <v>24</v>
      </c>
      <c r="D522" t="s">
        <v>26</v>
      </c>
      <c r="E522" t="s">
        <v>65</v>
      </c>
      <c r="F522" t="s">
        <v>18</v>
      </c>
      <c r="G522" s="1">
        <v>44781</v>
      </c>
      <c r="H522" t="s">
        <v>1649</v>
      </c>
      <c r="I522" t="s">
        <v>1650</v>
      </c>
      <c r="J522" t="s">
        <v>59</v>
      </c>
      <c r="K522">
        <v>6972.1480034604401</v>
      </c>
      <c r="L522">
        <v>270</v>
      </c>
      <c r="M522" t="s">
        <v>43</v>
      </c>
      <c r="N522" s="1">
        <v>44806</v>
      </c>
      <c r="O522" t="s">
        <v>44</v>
      </c>
      <c r="P522" t="s">
        <v>24</v>
      </c>
      <c r="Q522">
        <v>25</v>
      </c>
    </row>
    <row r="523" spans="1:17" x14ac:dyDescent="0.35">
      <c r="A523" t="s">
        <v>113</v>
      </c>
      <c r="B523" t="str">
        <f t="shared" si="18"/>
        <v>26-35</v>
      </c>
      <c r="C523">
        <v>33</v>
      </c>
      <c r="D523" t="s">
        <v>16</v>
      </c>
      <c r="E523" t="s">
        <v>36</v>
      </c>
      <c r="F523" t="s">
        <v>18</v>
      </c>
      <c r="G523" s="1">
        <v>43475</v>
      </c>
      <c r="H523" t="s">
        <v>114</v>
      </c>
      <c r="I523" t="s">
        <v>115</v>
      </c>
      <c r="J523" t="s">
        <v>31</v>
      </c>
      <c r="K523">
        <v>22331.280156199198</v>
      </c>
      <c r="L523">
        <v>120</v>
      </c>
      <c r="M523" t="s">
        <v>43</v>
      </c>
      <c r="N523" s="1">
        <v>43496</v>
      </c>
      <c r="O523" t="s">
        <v>23</v>
      </c>
      <c r="P523" t="s">
        <v>45</v>
      </c>
      <c r="Q523">
        <v>21</v>
      </c>
    </row>
    <row r="524" spans="1:17" x14ac:dyDescent="0.35">
      <c r="A524" t="s">
        <v>1541</v>
      </c>
      <c r="B524" t="str">
        <f t="shared" si="18"/>
        <v>76-85</v>
      </c>
      <c r="C524">
        <v>80</v>
      </c>
      <c r="D524" t="s">
        <v>16</v>
      </c>
      <c r="E524" t="s">
        <v>92</v>
      </c>
      <c r="F524" t="s">
        <v>18</v>
      </c>
      <c r="G524" s="1">
        <v>44499</v>
      </c>
      <c r="H524" t="s">
        <v>1542</v>
      </c>
      <c r="I524" t="s">
        <v>1543</v>
      </c>
      <c r="J524" t="s">
        <v>21</v>
      </c>
      <c r="K524">
        <v>7425.0216551047697</v>
      </c>
      <c r="L524">
        <v>257</v>
      </c>
      <c r="M524" t="s">
        <v>22</v>
      </c>
      <c r="N524" s="1">
        <v>44514</v>
      </c>
      <c r="O524" t="s">
        <v>50</v>
      </c>
      <c r="P524" t="s">
        <v>34</v>
      </c>
      <c r="Q524">
        <v>15</v>
      </c>
    </row>
    <row r="525" spans="1:17" x14ac:dyDescent="0.35">
      <c r="A525" t="s">
        <v>572</v>
      </c>
      <c r="B525" t="str">
        <f t="shared" si="18"/>
        <v>76-85</v>
      </c>
      <c r="C525">
        <v>78</v>
      </c>
      <c r="D525" t="s">
        <v>26</v>
      </c>
      <c r="E525" t="s">
        <v>232</v>
      </c>
      <c r="F525" t="s">
        <v>18</v>
      </c>
      <c r="G525" s="1">
        <v>43964</v>
      </c>
      <c r="H525" t="s">
        <v>573</v>
      </c>
      <c r="I525" t="s">
        <v>574</v>
      </c>
      <c r="J525" t="s">
        <v>21</v>
      </c>
      <c r="K525">
        <v>15773.9011829143</v>
      </c>
      <c r="L525">
        <v>340</v>
      </c>
      <c r="M525" t="s">
        <v>32</v>
      </c>
      <c r="N525" s="1">
        <v>43985</v>
      </c>
      <c r="O525" t="s">
        <v>33</v>
      </c>
      <c r="P525" t="s">
        <v>24</v>
      </c>
      <c r="Q525">
        <v>21</v>
      </c>
    </row>
    <row r="526" spans="1:17" x14ac:dyDescent="0.35">
      <c r="A526" t="s">
        <v>846</v>
      </c>
      <c r="B526" t="str">
        <f t="shared" si="18"/>
        <v>36-45</v>
      </c>
      <c r="C526">
        <v>40</v>
      </c>
      <c r="D526" t="s">
        <v>16</v>
      </c>
      <c r="E526" t="s">
        <v>65</v>
      </c>
      <c r="F526" t="s">
        <v>18</v>
      </c>
      <c r="G526" s="1">
        <v>44553</v>
      </c>
      <c r="H526" t="s">
        <v>847</v>
      </c>
      <c r="I526" t="s">
        <v>848</v>
      </c>
      <c r="J526" t="s">
        <v>59</v>
      </c>
      <c r="K526">
        <v>35791.956328527303</v>
      </c>
      <c r="L526">
        <v>238</v>
      </c>
      <c r="M526" t="s">
        <v>43</v>
      </c>
      <c r="N526" s="1">
        <v>44571</v>
      </c>
      <c r="O526" t="s">
        <v>44</v>
      </c>
      <c r="P526" t="s">
        <v>24</v>
      </c>
      <c r="Q526">
        <v>18</v>
      </c>
    </row>
    <row r="527" spans="1:17" x14ac:dyDescent="0.35">
      <c r="A527" t="s">
        <v>2163</v>
      </c>
      <c r="B527" t="str">
        <f t="shared" si="18"/>
        <v>46-55</v>
      </c>
      <c r="C527">
        <v>54</v>
      </c>
      <c r="D527" t="s">
        <v>16</v>
      </c>
      <c r="E527" t="s">
        <v>27</v>
      </c>
      <c r="F527" t="s">
        <v>18</v>
      </c>
      <c r="G527" s="1">
        <v>44450</v>
      </c>
      <c r="H527" t="s">
        <v>2164</v>
      </c>
      <c r="I527" t="s">
        <v>2165</v>
      </c>
      <c r="J527" t="s">
        <v>31</v>
      </c>
      <c r="K527">
        <v>22542.0479113644</v>
      </c>
      <c r="L527">
        <v>350</v>
      </c>
      <c r="M527" t="s">
        <v>22</v>
      </c>
      <c r="N527" s="1">
        <v>44480</v>
      </c>
      <c r="O527" t="s">
        <v>33</v>
      </c>
      <c r="P527" t="s">
        <v>24</v>
      </c>
      <c r="Q527">
        <v>30</v>
      </c>
    </row>
    <row r="528" spans="1:17" x14ac:dyDescent="0.35">
      <c r="A528" t="s">
        <v>159</v>
      </c>
      <c r="B528" t="str">
        <f t="shared" si="18"/>
        <v>26-35</v>
      </c>
      <c r="C528">
        <v>30</v>
      </c>
      <c r="D528" t="s">
        <v>26</v>
      </c>
      <c r="E528" t="s">
        <v>51</v>
      </c>
      <c r="F528" t="s">
        <v>18</v>
      </c>
      <c r="G528" s="1">
        <v>44251</v>
      </c>
      <c r="H528" t="s">
        <v>160</v>
      </c>
      <c r="I528" t="s">
        <v>161</v>
      </c>
      <c r="J528" t="s">
        <v>31</v>
      </c>
      <c r="K528">
        <v>24274.1416006244</v>
      </c>
      <c r="L528">
        <v>364</v>
      </c>
      <c r="M528" t="s">
        <v>22</v>
      </c>
      <c r="N528" s="1">
        <v>44276</v>
      </c>
      <c r="O528" t="s">
        <v>50</v>
      </c>
      <c r="P528" t="s">
        <v>34</v>
      </c>
      <c r="Q528">
        <v>25</v>
      </c>
    </row>
    <row r="529" spans="1:17" x14ac:dyDescent="0.35">
      <c r="A529" t="s">
        <v>2464</v>
      </c>
      <c r="B529" t="str">
        <f t="shared" si="18"/>
        <v>26-35</v>
      </c>
      <c r="C529">
        <v>34</v>
      </c>
      <c r="D529" t="s">
        <v>26</v>
      </c>
      <c r="E529" t="s">
        <v>92</v>
      </c>
      <c r="F529" t="s">
        <v>18</v>
      </c>
      <c r="G529" s="1">
        <v>43701</v>
      </c>
      <c r="H529" t="s">
        <v>2465</v>
      </c>
      <c r="I529" t="s">
        <v>2466</v>
      </c>
      <c r="J529" t="s">
        <v>63</v>
      </c>
      <c r="K529">
        <v>1318.43028055172</v>
      </c>
      <c r="L529">
        <v>129</v>
      </c>
      <c r="M529" t="s">
        <v>32</v>
      </c>
      <c r="N529" s="1">
        <v>43713</v>
      </c>
      <c r="O529" t="s">
        <v>44</v>
      </c>
      <c r="P529" t="s">
        <v>24</v>
      </c>
      <c r="Q529">
        <v>12</v>
      </c>
    </row>
    <row r="530" spans="1:17" x14ac:dyDescent="0.35">
      <c r="A530" t="s">
        <v>2280</v>
      </c>
      <c r="B530" t="str">
        <f t="shared" si="18"/>
        <v>76-85</v>
      </c>
      <c r="C530">
        <v>84</v>
      </c>
      <c r="D530" t="s">
        <v>26</v>
      </c>
      <c r="E530" t="s">
        <v>92</v>
      </c>
      <c r="F530" t="s">
        <v>18</v>
      </c>
      <c r="G530" s="1">
        <v>44952</v>
      </c>
      <c r="H530" t="s">
        <v>2281</v>
      </c>
      <c r="I530" t="s">
        <v>2282</v>
      </c>
      <c r="J530" t="s">
        <v>21</v>
      </c>
      <c r="K530">
        <v>31740.4913383698</v>
      </c>
      <c r="L530">
        <v>174</v>
      </c>
      <c r="M530" t="s">
        <v>32</v>
      </c>
      <c r="N530" s="1">
        <v>44955</v>
      </c>
      <c r="O530" t="s">
        <v>87</v>
      </c>
      <c r="P530" t="s">
        <v>24</v>
      </c>
      <c r="Q530">
        <v>3</v>
      </c>
    </row>
    <row r="531" spans="1:17" x14ac:dyDescent="0.35">
      <c r="A531" t="s">
        <v>2030</v>
      </c>
      <c r="B531" t="str">
        <f t="shared" si="18"/>
        <v>56-65</v>
      </c>
      <c r="C531">
        <v>60</v>
      </c>
      <c r="D531" t="s">
        <v>16</v>
      </c>
      <c r="E531" t="s">
        <v>51</v>
      </c>
      <c r="F531" t="s">
        <v>18</v>
      </c>
      <c r="G531" s="1">
        <v>44686</v>
      </c>
      <c r="H531" t="s">
        <v>2031</v>
      </c>
      <c r="I531" t="s">
        <v>2032</v>
      </c>
      <c r="J531" t="s">
        <v>63</v>
      </c>
      <c r="K531">
        <v>32288.973244691399</v>
      </c>
      <c r="L531">
        <v>191</v>
      </c>
      <c r="M531" t="s">
        <v>22</v>
      </c>
      <c r="N531" s="1">
        <v>44706</v>
      </c>
      <c r="O531" t="s">
        <v>50</v>
      </c>
      <c r="P531" t="s">
        <v>24</v>
      </c>
      <c r="Q531">
        <v>20</v>
      </c>
    </row>
    <row r="532" spans="1:17" x14ac:dyDescent="0.35">
      <c r="A532" t="s">
        <v>1805</v>
      </c>
      <c r="B532" t="str">
        <f t="shared" ref="B532:B595" si="19">VLOOKUP(C532,$T$3:$U$9,2,TRUE)</f>
        <v>76-85</v>
      </c>
      <c r="C532">
        <v>79</v>
      </c>
      <c r="D532" t="s">
        <v>16</v>
      </c>
      <c r="E532" t="s">
        <v>232</v>
      </c>
      <c r="F532" t="s">
        <v>18</v>
      </c>
      <c r="G532" s="1">
        <v>44059</v>
      </c>
      <c r="H532" t="s">
        <v>1806</v>
      </c>
      <c r="I532" t="s">
        <v>188</v>
      </c>
      <c r="J532" t="s">
        <v>31</v>
      </c>
      <c r="K532">
        <v>20190.809336263901</v>
      </c>
      <c r="L532">
        <v>287</v>
      </c>
      <c r="M532" t="s">
        <v>32</v>
      </c>
      <c r="N532" s="1">
        <v>44075</v>
      </c>
      <c r="O532" t="s">
        <v>33</v>
      </c>
      <c r="P532" t="s">
        <v>34</v>
      </c>
      <c r="Q532">
        <v>16</v>
      </c>
    </row>
    <row r="533" spans="1:17" x14ac:dyDescent="0.35">
      <c r="A533" t="s">
        <v>1078</v>
      </c>
      <c r="B533" t="str">
        <f t="shared" si="19"/>
        <v>76-85</v>
      </c>
      <c r="C533">
        <v>77</v>
      </c>
      <c r="D533" t="s">
        <v>26</v>
      </c>
      <c r="E533" t="s">
        <v>92</v>
      </c>
      <c r="F533" t="s">
        <v>18</v>
      </c>
      <c r="G533" s="1">
        <v>44598</v>
      </c>
      <c r="H533" t="s">
        <v>1079</v>
      </c>
      <c r="I533" t="s">
        <v>1080</v>
      </c>
      <c r="J533" t="s">
        <v>54</v>
      </c>
      <c r="K533">
        <v>22773.131100555202</v>
      </c>
      <c r="L533">
        <v>433</v>
      </c>
      <c r="M533" t="s">
        <v>32</v>
      </c>
      <c r="N533" s="1">
        <v>44613</v>
      </c>
      <c r="O533" t="s">
        <v>44</v>
      </c>
      <c r="P533" t="s">
        <v>34</v>
      </c>
      <c r="Q533">
        <v>15</v>
      </c>
    </row>
    <row r="534" spans="1:17" x14ac:dyDescent="0.35">
      <c r="A534" t="s">
        <v>661</v>
      </c>
      <c r="B534" t="str">
        <f t="shared" si="19"/>
        <v>26-35</v>
      </c>
      <c r="C534">
        <v>30</v>
      </c>
      <c r="D534" t="s">
        <v>16</v>
      </c>
      <c r="E534" t="s">
        <v>51</v>
      </c>
      <c r="F534" t="s">
        <v>18</v>
      </c>
      <c r="G534" s="1">
        <v>44785</v>
      </c>
      <c r="H534" t="s">
        <v>662</v>
      </c>
      <c r="I534" t="s">
        <v>663</v>
      </c>
      <c r="J534" t="s">
        <v>21</v>
      </c>
      <c r="K534">
        <v>24714.114762172401</v>
      </c>
      <c r="L534">
        <v>127</v>
      </c>
      <c r="M534" t="s">
        <v>32</v>
      </c>
      <c r="N534" s="1">
        <v>44801</v>
      </c>
      <c r="O534" t="s">
        <v>44</v>
      </c>
      <c r="P534" t="s">
        <v>24</v>
      </c>
      <c r="Q534">
        <v>16</v>
      </c>
    </row>
    <row r="535" spans="1:17" x14ac:dyDescent="0.35">
      <c r="A535" t="s">
        <v>1438</v>
      </c>
      <c r="B535" t="str">
        <f t="shared" si="19"/>
        <v>36-45</v>
      </c>
      <c r="C535">
        <v>43</v>
      </c>
      <c r="D535" t="s">
        <v>16</v>
      </c>
      <c r="E535" t="s">
        <v>27</v>
      </c>
      <c r="F535" t="s">
        <v>18</v>
      </c>
      <c r="G535" s="1">
        <v>44081</v>
      </c>
      <c r="H535" t="s">
        <v>1439</v>
      </c>
      <c r="I535" t="s">
        <v>1440</v>
      </c>
      <c r="J535" t="s">
        <v>31</v>
      </c>
      <c r="K535">
        <v>14722.0648697956</v>
      </c>
      <c r="L535">
        <v>441</v>
      </c>
      <c r="M535" t="s">
        <v>43</v>
      </c>
      <c r="N535" s="1">
        <v>44095</v>
      </c>
      <c r="O535" t="s">
        <v>33</v>
      </c>
      <c r="P535" t="s">
        <v>24</v>
      </c>
      <c r="Q535">
        <v>14</v>
      </c>
    </row>
    <row r="536" spans="1:17" x14ac:dyDescent="0.35">
      <c r="A536" t="s">
        <v>1277</v>
      </c>
      <c r="B536" t="str">
        <f t="shared" si="19"/>
        <v>46-55</v>
      </c>
      <c r="C536">
        <v>51</v>
      </c>
      <c r="D536" t="s">
        <v>26</v>
      </c>
      <c r="E536" t="s">
        <v>17</v>
      </c>
      <c r="F536" t="s">
        <v>18</v>
      </c>
      <c r="G536" s="1">
        <v>43640</v>
      </c>
      <c r="H536" t="s">
        <v>1278</v>
      </c>
      <c r="I536" t="s">
        <v>1279</v>
      </c>
      <c r="J536" t="s">
        <v>31</v>
      </c>
      <c r="K536">
        <v>9199.6683013407692</v>
      </c>
      <c r="L536">
        <v>291</v>
      </c>
      <c r="M536" t="s">
        <v>22</v>
      </c>
      <c r="N536" s="1">
        <v>43655</v>
      </c>
      <c r="O536" t="s">
        <v>44</v>
      </c>
      <c r="P536" t="s">
        <v>45</v>
      </c>
      <c r="Q536">
        <v>15</v>
      </c>
    </row>
    <row r="537" spans="1:17" x14ac:dyDescent="0.35">
      <c r="A537" t="s">
        <v>78</v>
      </c>
      <c r="B537" t="str">
        <f t="shared" si="19"/>
        <v>76-85</v>
      </c>
      <c r="C537">
        <v>85</v>
      </c>
      <c r="D537" t="s">
        <v>16</v>
      </c>
      <c r="E537" t="s">
        <v>65</v>
      </c>
      <c r="F537" t="s">
        <v>18</v>
      </c>
      <c r="G537" s="1">
        <v>44529</v>
      </c>
      <c r="H537" t="s">
        <v>79</v>
      </c>
      <c r="I537" t="s">
        <v>80</v>
      </c>
      <c r="J537" t="s">
        <v>54</v>
      </c>
      <c r="K537">
        <v>4835.9456495254099</v>
      </c>
      <c r="L537">
        <v>444</v>
      </c>
      <c r="M537" t="s">
        <v>22</v>
      </c>
      <c r="N537" s="1">
        <v>44544</v>
      </c>
      <c r="O537" t="s">
        <v>23</v>
      </c>
      <c r="P537" t="s">
        <v>24</v>
      </c>
      <c r="Q537">
        <v>15</v>
      </c>
    </row>
    <row r="538" spans="1:17" x14ac:dyDescent="0.35">
      <c r="A538" t="s">
        <v>2559</v>
      </c>
      <c r="B538" t="str">
        <f t="shared" si="19"/>
        <v>18-25</v>
      </c>
      <c r="C538">
        <v>21</v>
      </c>
      <c r="D538" t="s">
        <v>16</v>
      </c>
      <c r="E538" t="s">
        <v>36</v>
      </c>
      <c r="F538" t="s">
        <v>18</v>
      </c>
      <c r="G538" s="1">
        <v>44681</v>
      </c>
      <c r="H538" t="s">
        <v>2560</v>
      </c>
      <c r="I538" t="s">
        <v>2319</v>
      </c>
      <c r="J538" t="s">
        <v>59</v>
      </c>
      <c r="K538">
        <v>30810.306086750999</v>
      </c>
      <c r="L538">
        <v>429</v>
      </c>
      <c r="M538" t="s">
        <v>32</v>
      </c>
      <c r="N538" s="1">
        <v>44706</v>
      </c>
      <c r="O538" t="s">
        <v>23</v>
      </c>
      <c r="P538" t="s">
        <v>34</v>
      </c>
      <c r="Q538">
        <v>25</v>
      </c>
    </row>
    <row r="539" spans="1:17" x14ac:dyDescent="0.35">
      <c r="A539" t="s">
        <v>2533</v>
      </c>
      <c r="B539" t="str">
        <f t="shared" si="19"/>
        <v>76-85</v>
      </c>
      <c r="C539">
        <v>77</v>
      </c>
      <c r="D539" t="s">
        <v>26</v>
      </c>
      <c r="E539" t="s">
        <v>65</v>
      </c>
      <c r="F539" t="s">
        <v>18</v>
      </c>
      <c r="G539" s="1">
        <v>44934</v>
      </c>
      <c r="H539" t="s">
        <v>2534</v>
      </c>
      <c r="I539" t="s">
        <v>2535</v>
      </c>
      <c r="J539" t="s">
        <v>21</v>
      </c>
      <c r="K539">
        <v>32942.424029015201</v>
      </c>
      <c r="L539">
        <v>395</v>
      </c>
      <c r="M539" t="s">
        <v>22</v>
      </c>
      <c r="N539" s="1">
        <v>44949</v>
      </c>
      <c r="O539" t="s">
        <v>44</v>
      </c>
      <c r="P539" t="s">
        <v>34</v>
      </c>
      <c r="Q539">
        <v>15</v>
      </c>
    </row>
    <row r="540" spans="1:17" x14ac:dyDescent="0.35">
      <c r="A540" t="s">
        <v>1636</v>
      </c>
      <c r="B540" t="str">
        <f t="shared" si="19"/>
        <v>18-25</v>
      </c>
      <c r="C540">
        <v>25</v>
      </c>
      <c r="D540" t="s">
        <v>26</v>
      </c>
      <c r="E540" t="s">
        <v>17</v>
      </c>
      <c r="F540" t="s">
        <v>18</v>
      </c>
      <c r="G540" s="1">
        <v>44459</v>
      </c>
      <c r="H540" t="s">
        <v>1637</v>
      </c>
      <c r="I540" t="s">
        <v>1638</v>
      </c>
      <c r="J540" t="s">
        <v>21</v>
      </c>
      <c r="K540">
        <v>2843.95677061999</v>
      </c>
      <c r="L540">
        <v>223</v>
      </c>
      <c r="M540" t="s">
        <v>32</v>
      </c>
      <c r="N540" s="1">
        <v>44481</v>
      </c>
      <c r="O540" t="s">
        <v>44</v>
      </c>
      <c r="P540" t="s">
        <v>24</v>
      </c>
      <c r="Q540">
        <v>22</v>
      </c>
    </row>
    <row r="541" spans="1:17" x14ac:dyDescent="0.35">
      <c r="A541" t="s">
        <v>1998</v>
      </c>
      <c r="B541" t="str">
        <f t="shared" si="19"/>
        <v>76-85</v>
      </c>
      <c r="C541">
        <v>82</v>
      </c>
      <c r="D541" t="s">
        <v>16</v>
      </c>
      <c r="E541" t="s">
        <v>17</v>
      </c>
      <c r="F541" t="s">
        <v>18</v>
      </c>
      <c r="G541" s="1">
        <v>44427</v>
      </c>
      <c r="H541" t="s">
        <v>1999</v>
      </c>
      <c r="I541" t="s">
        <v>2000</v>
      </c>
      <c r="J541" t="s">
        <v>59</v>
      </c>
      <c r="K541">
        <v>22706.167498746101</v>
      </c>
      <c r="L541">
        <v>253</v>
      </c>
      <c r="M541" t="s">
        <v>32</v>
      </c>
      <c r="N541" s="1">
        <v>44430</v>
      </c>
      <c r="O541" t="s">
        <v>87</v>
      </c>
      <c r="P541" t="s">
        <v>45</v>
      </c>
      <c r="Q541">
        <v>3</v>
      </c>
    </row>
    <row r="542" spans="1:17" x14ac:dyDescent="0.35">
      <c r="A542" t="s">
        <v>2842</v>
      </c>
      <c r="B542" t="str">
        <f t="shared" si="19"/>
        <v>56-65</v>
      </c>
      <c r="C542">
        <v>63</v>
      </c>
      <c r="D542" t="s">
        <v>26</v>
      </c>
      <c r="E542" t="s">
        <v>36</v>
      </c>
      <c r="F542" t="s">
        <v>18</v>
      </c>
      <c r="G542" s="1">
        <v>44794</v>
      </c>
      <c r="H542" t="s">
        <v>2843</v>
      </c>
      <c r="I542" t="s">
        <v>2844</v>
      </c>
      <c r="J542" t="s">
        <v>59</v>
      </c>
      <c r="K542">
        <v>11762.2236337389</v>
      </c>
      <c r="L542">
        <v>237</v>
      </c>
      <c r="M542" t="s">
        <v>22</v>
      </c>
      <c r="N542" s="1">
        <v>44817</v>
      </c>
      <c r="O542" t="s">
        <v>33</v>
      </c>
      <c r="P542" t="s">
        <v>45</v>
      </c>
      <c r="Q542">
        <v>23</v>
      </c>
    </row>
    <row r="543" spans="1:17" x14ac:dyDescent="0.35">
      <c r="A543" t="s">
        <v>2904</v>
      </c>
      <c r="B543" t="str">
        <f t="shared" si="19"/>
        <v>36-45</v>
      </c>
      <c r="C543">
        <v>40</v>
      </c>
      <c r="D543" t="s">
        <v>26</v>
      </c>
      <c r="E543" t="s">
        <v>17</v>
      </c>
      <c r="F543" t="s">
        <v>18</v>
      </c>
      <c r="G543" s="1">
        <v>44481</v>
      </c>
      <c r="H543" t="s">
        <v>2905</v>
      </c>
      <c r="I543" t="s">
        <v>2906</v>
      </c>
      <c r="J543" t="s">
        <v>21</v>
      </c>
      <c r="K543">
        <v>3975.0745246014399</v>
      </c>
      <c r="L543">
        <v>310</v>
      </c>
      <c r="M543" t="s">
        <v>32</v>
      </c>
      <c r="N543" s="1">
        <v>44503</v>
      </c>
      <c r="O543" t="s">
        <v>23</v>
      </c>
      <c r="P543" t="s">
        <v>34</v>
      </c>
      <c r="Q543">
        <v>22</v>
      </c>
    </row>
    <row r="544" spans="1:17" x14ac:dyDescent="0.35">
      <c r="A544" t="s">
        <v>2107</v>
      </c>
      <c r="B544" t="str">
        <f t="shared" si="19"/>
        <v>66-75</v>
      </c>
      <c r="C544">
        <v>68</v>
      </c>
      <c r="D544" t="s">
        <v>16</v>
      </c>
      <c r="E544" t="s">
        <v>27</v>
      </c>
      <c r="F544" t="s">
        <v>18</v>
      </c>
      <c r="G544" s="1">
        <v>44206</v>
      </c>
      <c r="H544" t="s">
        <v>2108</v>
      </c>
      <c r="I544" t="s">
        <v>2109</v>
      </c>
      <c r="J544" t="s">
        <v>59</v>
      </c>
      <c r="K544">
        <v>44300.249721893102</v>
      </c>
      <c r="L544">
        <v>334</v>
      </c>
      <c r="M544" t="s">
        <v>32</v>
      </c>
      <c r="N544" s="1">
        <v>44217</v>
      </c>
      <c r="O544" t="s">
        <v>33</v>
      </c>
      <c r="P544" t="s">
        <v>34</v>
      </c>
      <c r="Q544">
        <v>11</v>
      </c>
    </row>
    <row r="545" spans="1:17" x14ac:dyDescent="0.35">
      <c r="A545" t="s">
        <v>1836</v>
      </c>
      <c r="B545" t="str">
        <f t="shared" si="19"/>
        <v>66-75</v>
      </c>
      <c r="C545">
        <v>67</v>
      </c>
      <c r="D545" t="s">
        <v>16</v>
      </c>
      <c r="E545" t="s">
        <v>92</v>
      </c>
      <c r="F545" t="s">
        <v>18</v>
      </c>
      <c r="G545" s="1">
        <v>44433</v>
      </c>
      <c r="H545" t="s">
        <v>1837</v>
      </c>
      <c r="I545" t="s">
        <v>1838</v>
      </c>
      <c r="J545" t="s">
        <v>63</v>
      </c>
      <c r="K545">
        <v>43137.280682502002</v>
      </c>
      <c r="L545">
        <v>291</v>
      </c>
      <c r="M545" t="s">
        <v>43</v>
      </c>
      <c r="N545" s="1">
        <v>44438</v>
      </c>
      <c r="O545" t="s">
        <v>23</v>
      </c>
      <c r="P545" t="s">
        <v>34</v>
      </c>
      <c r="Q545">
        <v>5</v>
      </c>
    </row>
    <row r="546" spans="1:17" x14ac:dyDescent="0.35">
      <c r="A546" t="s">
        <v>1865</v>
      </c>
      <c r="B546" t="str">
        <f t="shared" si="19"/>
        <v>76-85</v>
      </c>
      <c r="C546">
        <v>83</v>
      </c>
      <c r="D546" t="s">
        <v>26</v>
      </c>
      <c r="E546" t="s">
        <v>65</v>
      </c>
      <c r="F546" t="s">
        <v>18</v>
      </c>
      <c r="G546" s="1">
        <v>43862</v>
      </c>
      <c r="H546" t="s">
        <v>1866</v>
      </c>
      <c r="I546" t="s">
        <v>1867</v>
      </c>
      <c r="J546" t="s">
        <v>31</v>
      </c>
      <c r="K546">
        <v>21787.948212606501</v>
      </c>
      <c r="L546">
        <v>221</v>
      </c>
      <c r="M546" t="s">
        <v>32</v>
      </c>
      <c r="N546" s="1">
        <v>43886</v>
      </c>
      <c r="O546" t="s">
        <v>50</v>
      </c>
      <c r="P546" t="s">
        <v>34</v>
      </c>
      <c r="Q546">
        <v>24</v>
      </c>
    </row>
    <row r="547" spans="1:17" x14ac:dyDescent="0.35">
      <c r="A547" t="s">
        <v>2175</v>
      </c>
      <c r="B547" t="str">
        <f t="shared" si="19"/>
        <v>46-55</v>
      </c>
      <c r="C547">
        <v>48</v>
      </c>
      <c r="D547" t="s">
        <v>16</v>
      </c>
      <c r="E547" t="s">
        <v>27</v>
      </c>
      <c r="F547" t="s">
        <v>18</v>
      </c>
      <c r="G547" s="1">
        <v>44441</v>
      </c>
      <c r="H547" t="s">
        <v>2176</v>
      </c>
      <c r="I547" t="s">
        <v>2177</v>
      </c>
      <c r="J547" t="s">
        <v>21</v>
      </c>
      <c r="K547">
        <v>2023.5218195800101</v>
      </c>
      <c r="L547">
        <v>499</v>
      </c>
      <c r="M547" t="s">
        <v>32</v>
      </c>
      <c r="N547" s="1">
        <v>44466</v>
      </c>
      <c r="O547" t="s">
        <v>87</v>
      </c>
      <c r="P547" t="s">
        <v>45</v>
      </c>
      <c r="Q547">
        <v>25</v>
      </c>
    </row>
    <row r="548" spans="1:17" x14ac:dyDescent="0.35">
      <c r="A548" t="s">
        <v>1265</v>
      </c>
      <c r="B548" t="str">
        <f t="shared" si="19"/>
        <v>46-55</v>
      </c>
      <c r="C548">
        <v>49</v>
      </c>
      <c r="D548" t="s">
        <v>26</v>
      </c>
      <c r="E548" t="s">
        <v>117</v>
      </c>
      <c r="F548" t="s">
        <v>18</v>
      </c>
      <c r="G548" s="1">
        <v>45115</v>
      </c>
      <c r="H548" t="s">
        <v>1266</v>
      </c>
      <c r="I548" t="s">
        <v>1267</v>
      </c>
      <c r="J548" t="s">
        <v>31</v>
      </c>
      <c r="K548">
        <v>31587.212506815002</v>
      </c>
      <c r="L548">
        <v>406</v>
      </c>
      <c r="M548" t="s">
        <v>43</v>
      </c>
      <c r="N548" s="1">
        <v>45124</v>
      </c>
      <c r="O548" t="s">
        <v>23</v>
      </c>
      <c r="P548" t="s">
        <v>45</v>
      </c>
      <c r="Q548">
        <v>9</v>
      </c>
    </row>
    <row r="549" spans="1:17" x14ac:dyDescent="0.35">
      <c r="A549" t="s">
        <v>893</v>
      </c>
      <c r="B549" t="str">
        <f t="shared" si="19"/>
        <v>46-55</v>
      </c>
      <c r="C549">
        <v>46</v>
      </c>
      <c r="D549" t="s">
        <v>26</v>
      </c>
      <c r="E549" t="s">
        <v>117</v>
      </c>
      <c r="F549" t="s">
        <v>18</v>
      </c>
      <c r="G549" s="1">
        <v>43449</v>
      </c>
      <c r="H549" t="s">
        <v>894</v>
      </c>
      <c r="I549" t="s">
        <v>895</v>
      </c>
      <c r="J549" t="s">
        <v>54</v>
      </c>
      <c r="K549">
        <v>5901.1451563276796</v>
      </c>
      <c r="L549">
        <v>104</v>
      </c>
      <c r="M549" t="s">
        <v>43</v>
      </c>
      <c r="N549" s="1">
        <v>43453</v>
      </c>
      <c r="O549" t="s">
        <v>87</v>
      </c>
      <c r="P549" t="s">
        <v>24</v>
      </c>
      <c r="Q549">
        <v>4</v>
      </c>
    </row>
    <row r="550" spans="1:17" x14ac:dyDescent="0.35">
      <c r="A550" t="s">
        <v>813</v>
      </c>
      <c r="B550" t="str">
        <f t="shared" si="19"/>
        <v>36-45</v>
      </c>
      <c r="C550">
        <v>37</v>
      </c>
      <c r="D550" t="s">
        <v>16</v>
      </c>
      <c r="E550" t="s">
        <v>36</v>
      </c>
      <c r="F550" t="s">
        <v>18</v>
      </c>
      <c r="G550" s="1">
        <v>44300</v>
      </c>
      <c r="H550" t="s">
        <v>814</v>
      </c>
      <c r="I550" t="s">
        <v>815</v>
      </c>
      <c r="J550" t="s">
        <v>63</v>
      </c>
      <c r="K550">
        <v>33811.6857725144</v>
      </c>
      <c r="L550">
        <v>234</v>
      </c>
      <c r="M550" t="s">
        <v>22</v>
      </c>
      <c r="N550" s="1">
        <v>44314</v>
      </c>
      <c r="O550" t="s">
        <v>44</v>
      </c>
      <c r="P550" t="s">
        <v>45</v>
      </c>
      <c r="Q550">
        <v>14</v>
      </c>
    </row>
    <row r="551" spans="1:17" x14ac:dyDescent="0.35">
      <c r="A551" t="s">
        <v>2931</v>
      </c>
      <c r="B551" t="str">
        <f t="shared" si="19"/>
        <v>26-35</v>
      </c>
      <c r="C551">
        <v>32</v>
      </c>
      <c r="D551" t="s">
        <v>16</v>
      </c>
      <c r="E551" t="s">
        <v>92</v>
      </c>
      <c r="F551" t="s">
        <v>18</v>
      </c>
      <c r="G551" s="1">
        <v>43863</v>
      </c>
      <c r="H551" t="s">
        <v>2932</v>
      </c>
      <c r="I551" t="s">
        <v>2933</v>
      </c>
      <c r="J551" t="s">
        <v>21</v>
      </c>
      <c r="K551">
        <v>47443.997596779598</v>
      </c>
      <c r="L551">
        <v>210</v>
      </c>
      <c r="M551" t="s">
        <v>22</v>
      </c>
      <c r="N551" s="1">
        <v>43887</v>
      </c>
      <c r="O551" t="s">
        <v>50</v>
      </c>
      <c r="P551" t="s">
        <v>34</v>
      </c>
      <c r="Q551">
        <v>24</v>
      </c>
    </row>
    <row r="552" spans="1:17" x14ac:dyDescent="0.35">
      <c r="A552" t="s">
        <v>1005</v>
      </c>
      <c r="B552" t="str">
        <f t="shared" si="19"/>
        <v>66-75</v>
      </c>
      <c r="C552">
        <v>66</v>
      </c>
      <c r="D552" t="s">
        <v>16</v>
      </c>
      <c r="E552" t="s">
        <v>17</v>
      </c>
      <c r="F552" t="s">
        <v>18</v>
      </c>
      <c r="G552" s="1">
        <v>45113</v>
      </c>
      <c r="H552" t="s">
        <v>1006</v>
      </c>
      <c r="I552" t="s">
        <v>1007</v>
      </c>
      <c r="J552" t="s">
        <v>21</v>
      </c>
      <c r="K552">
        <v>11610.3934897167</v>
      </c>
      <c r="L552">
        <v>390</v>
      </c>
      <c r="M552" t="s">
        <v>43</v>
      </c>
      <c r="N552" s="1">
        <v>45114</v>
      </c>
      <c r="O552" t="s">
        <v>87</v>
      </c>
      <c r="P552" t="s">
        <v>45</v>
      </c>
      <c r="Q552">
        <v>1</v>
      </c>
    </row>
    <row r="553" spans="1:17" x14ac:dyDescent="0.35">
      <c r="A553" t="s">
        <v>2577</v>
      </c>
      <c r="B553" t="str">
        <f t="shared" si="19"/>
        <v>76-85</v>
      </c>
      <c r="C553">
        <v>78</v>
      </c>
      <c r="D553" t="s">
        <v>16</v>
      </c>
      <c r="E553" t="s">
        <v>65</v>
      </c>
      <c r="F553" t="s">
        <v>18</v>
      </c>
      <c r="G553" s="1">
        <v>45049</v>
      </c>
      <c r="H553" t="s">
        <v>2578</v>
      </c>
      <c r="I553" t="s">
        <v>2579</v>
      </c>
      <c r="J553" t="s">
        <v>21</v>
      </c>
      <c r="K553">
        <v>14317.3807033377</v>
      </c>
      <c r="L553">
        <v>186</v>
      </c>
      <c r="M553" t="s">
        <v>43</v>
      </c>
      <c r="N553" s="1">
        <v>45069</v>
      </c>
      <c r="O553" t="s">
        <v>33</v>
      </c>
      <c r="P553" t="s">
        <v>34</v>
      </c>
      <c r="Q553">
        <v>20</v>
      </c>
    </row>
    <row r="554" spans="1:17" x14ac:dyDescent="0.35">
      <c r="A554" t="s">
        <v>745</v>
      </c>
      <c r="B554" t="str">
        <f t="shared" si="19"/>
        <v>26-35</v>
      </c>
      <c r="C554">
        <v>32</v>
      </c>
      <c r="D554" t="s">
        <v>16</v>
      </c>
      <c r="E554" t="s">
        <v>65</v>
      </c>
      <c r="F554" t="s">
        <v>18</v>
      </c>
      <c r="G554" s="1">
        <v>44564</v>
      </c>
      <c r="H554" t="s">
        <v>746</v>
      </c>
      <c r="I554" t="s">
        <v>747</v>
      </c>
      <c r="J554" t="s">
        <v>31</v>
      </c>
      <c r="K554">
        <v>44033.886315806201</v>
      </c>
      <c r="L554">
        <v>272</v>
      </c>
      <c r="M554" t="s">
        <v>32</v>
      </c>
      <c r="N554" s="1">
        <v>44573</v>
      </c>
      <c r="O554" t="s">
        <v>50</v>
      </c>
      <c r="P554" t="s">
        <v>45</v>
      </c>
      <c r="Q554">
        <v>9</v>
      </c>
    </row>
    <row r="555" spans="1:17" x14ac:dyDescent="0.35">
      <c r="A555" t="s">
        <v>1390</v>
      </c>
      <c r="B555" t="str">
        <f t="shared" si="19"/>
        <v>18-25</v>
      </c>
      <c r="C555">
        <v>20</v>
      </c>
      <c r="D555" t="s">
        <v>26</v>
      </c>
      <c r="E555" t="s">
        <v>36</v>
      </c>
      <c r="F555" t="s">
        <v>18</v>
      </c>
      <c r="G555" s="1">
        <v>44744</v>
      </c>
      <c r="H555" t="s">
        <v>1391</v>
      </c>
      <c r="I555" t="s">
        <v>1392</v>
      </c>
      <c r="J555" t="s">
        <v>31</v>
      </c>
      <c r="K555">
        <v>42419.108944818698</v>
      </c>
      <c r="L555">
        <v>443</v>
      </c>
      <c r="M555" t="s">
        <v>43</v>
      </c>
      <c r="N555" s="1">
        <v>44764</v>
      </c>
      <c r="O555" t="s">
        <v>33</v>
      </c>
      <c r="P555" t="s">
        <v>45</v>
      </c>
      <c r="Q555">
        <v>20</v>
      </c>
    </row>
    <row r="556" spans="1:17" x14ac:dyDescent="0.35">
      <c r="A556" t="s">
        <v>1943</v>
      </c>
      <c r="B556" t="str">
        <f t="shared" si="19"/>
        <v>26-35</v>
      </c>
      <c r="C556">
        <v>27</v>
      </c>
      <c r="D556" t="s">
        <v>26</v>
      </c>
      <c r="E556" t="s">
        <v>51</v>
      </c>
      <c r="F556" t="s">
        <v>18</v>
      </c>
      <c r="G556" s="1">
        <v>43995</v>
      </c>
      <c r="H556" t="s">
        <v>1944</v>
      </c>
      <c r="I556" t="s">
        <v>1945</v>
      </c>
      <c r="J556" t="s">
        <v>59</v>
      </c>
      <c r="K556">
        <v>5859.6333361780398</v>
      </c>
      <c r="L556">
        <v>136</v>
      </c>
      <c r="M556" t="s">
        <v>32</v>
      </c>
      <c r="N556" s="1">
        <v>44006</v>
      </c>
      <c r="O556" t="s">
        <v>50</v>
      </c>
      <c r="P556" t="s">
        <v>45</v>
      </c>
      <c r="Q556">
        <v>11</v>
      </c>
    </row>
    <row r="557" spans="1:17" x14ac:dyDescent="0.35">
      <c r="A557" t="s">
        <v>1489</v>
      </c>
      <c r="B557" t="str">
        <f t="shared" si="19"/>
        <v>26-35</v>
      </c>
      <c r="C557">
        <v>29</v>
      </c>
      <c r="D557" t="s">
        <v>16</v>
      </c>
      <c r="E557" t="s">
        <v>36</v>
      </c>
      <c r="F557" t="s">
        <v>18</v>
      </c>
      <c r="G557" s="1">
        <v>45122</v>
      </c>
      <c r="H557" t="s">
        <v>1490</v>
      </c>
      <c r="I557" t="s">
        <v>1491</v>
      </c>
      <c r="J557" t="s">
        <v>21</v>
      </c>
      <c r="K557">
        <v>47022.685315857801</v>
      </c>
      <c r="L557">
        <v>304</v>
      </c>
      <c r="M557" t="s">
        <v>43</v>
      </c>
      <c r="N557" s="1">
        <v>45141</v>
      </c>
      <c r="O557" t="s">
        <v>23</v>
      </c>
      <c r="P557" t="s">
        <v>45</v>
      </c>
      <c r="Q557">
        <v>19</v>
      </c>
    </row>
    <row r="558" spans="1:17" x14ac:dyDescent="0.35">
      <c r="A558" t="s">
        <v>1627</v>
      </c>
      <c r="B558" t="str">
        <f t="shared" si="19"/>
        <v>26-35</v>
      </c>
      <c r="C558">
        <v>31</v>
      </c>
      <c r="D558" t="s">
        <v>16</v>
      </c>
      <c r="E558" t="s">
        <v>117</v>
      </c>
      <c r="F558" t="s">
        <v>18</v>
      </c>
      <c r="G558" s="1">
        <v>44270</v>
      </c>
      <c r="H558" t="s">
        <v>1628</v>
      </c>
      <c r="I558" t="s">
        <v>1629</v>
      </c>
      <c r="J558" t="s">
        <v>63</v>
      </c>
      <c r="K558">
        <v>29642.721664368699</v>
      </c>
      <c r="L558">
        <v>349</v>
      </c>
      <c r="M558" t="s">
        <v>43</v>
      </c>
      <c r="N558" s="1">
        <v>44283</v>
      </c>
      <c r="O558" t="s">
        <v>23</v>
      </c>
      <c r="P558" t="s">
        <v>45</v>
      </c>
      <c r="Q558">
        <v>13</v>
      </c>
    </row>
    <row r="559" spans="1:17" x14ac:dyDescent="0.35">
      <c r="A559" t="s">
        <v>2913</v>
      </c>
      <c r="B559" t="str">
        <f t="shared" si="19"/>
        <v>76-85</v>
      </c>
      <c r="C559">
        <v>78</v>
      </c>
      <c r="D559" t="s">
        <v>26</v>
      </c>
      <c r="E559" t="s">
        <v>65</v>
      </c>
      <c r="F559" t="s">
        <v>18</v>
      </c>
      <c r="G559" s="1">
        <v>44396</v>
      </c>
      <c r="H559" t="s">
        <v>2914</v>
      </c>
      <c r="I559" t="s">
        <v>2915</v>
      </c>
      <c r="J559" t="s">
        <v>31</v>
      </c>
      <c r="K559">
        <v>37662.669620134002</v>
      </c>
      <c r="L559">
        <v>308</v>
      </c>
      <c r="M559" t="s">
        <v>43</v>
      </c>
      <c r="N559" s="1">
        <v>44409</v>
      </c>
      <c r="O559" t="s">
        <v>33</v>
      </c>
      <c r="P559" t="s">
        <v>45</v>
      </c>
      <c r="Q559">
        <v>13</v>
      </c>
    </row>
    <row r="560" spans="1:17" x14ac:dyDescent="0.35">
      <c r="A560" t="s">
        <v>584</v>
      </c>
      <c r="B560" t="str">
        <f t="shared" si="19"/>
        <v>76-85</v>
      </c>
      <c r="C560">
        <v>77</v>
      </c>
      <c r="D560" t="s">
        <v>16</v>
      </c>
      <c r="E560" t="s">
        <v>17</v>
      </c>
      <c r="F560" t="s">
        <v>18</v>
      </c>
      <c r="G560" s="1">
        <v>44902</v>
      </c>
      <c r="H560" t="s">
        <v>585</v>
      </c>
      <c r="I560" t="s">
        <v>586</v>
      </c>
      <c r="J560" t="s">
        <v>59</v>
      </c>
      <c r="K560">
        <v>36744.037879934702</v>
      </c>
      <c r="L560">
        <v>187</v>
      </c>
      <c r="M560" t="s">
        <v>43</v>
      </c>
      <c r="N560" s="1">
        <v>44917</v>
      </c>
      <c r="O560" t="s">
        <v>23</v>
      </c>
      <c r="P560" t="s">
        <v>45</v>
      </c>
      <c r="Q560">
        <v>15</v>
      </c>
    </row>
    <row r="561" spans="1:17" x14ac:dyDescent="0.35">
      <c r="A561" t="s">
        <v>2839</v>
      </c>
      <c r="B561" t="str">
        <f t="shared" si="19"/>
        <v>18-25</v>
      </c>
      <c r="C561">
        <v>20</v>
      </c>
      <c r="D561" t="s">
        <v>16</v>
      </c>
      <c r="E561" t="s">
        <v>232</v>
      </c>
      <c r="F561" t="s">
        <v>18</v>
      </c>
      <c r="G561" s="1">
        <v>45156</v>
      </c>
      <c r="H561" t="s">
        <v>2840</v>
      </c>
      <c r="I561" t="s">
        <v>2841</v>
      </c>
      <c r="J561" t="s">
        <v>31</v>
      </c>
      <c r="K561">
        <v>47902.623834897502</v>
      </c>
      <c r="L561">
        <v>314</v>
      </c>
      <c r="M561" t="s">
        <v>32</v>
      </c>
      <c r="N561" s="1">
        <v>45175</v>
      </c>
      <c r="O561" t="s">
        <v>50</v>
      </c>
      <c r="P561" t="s">
        <v>34</v>
      </c>
      <c r="Q561">
        <v>19</v>
      </c>
    </row>
    <row r="562" spans="1:17" x14ac:dyDescent="0.35">
      <c r="A562" t="s">
        <v>2583</v>
      </c>
      <c r="B562" t="str">
        <f t="shared" si="19"/>
        <v>18-25</v>
      </c>
      <c r="C562">
        <v>24</v>
      </c>
      <c r="D562" t="s">
        <v>26</v>
      </c>
      <c r="E562" t="s">
        <v>92</v>
      </c>
      <c r="F562" t="s">
        <v>18</v>
      </c>
      <c r="G562" s="1">
        <v>43726</v>
      </c>
      <c r="H562" t="s">
        <v>2584</v>
      </c>
      <c r="I562" t="s">
        <v>2585</v>
      </c>
      <c r="J562" t="s">
        <v>63</v>
      </c>
      <c r="K562">
        <v>43281.866852347302</v>
      </c>
      <c r="L562">
        <v>452</v>
      </c>
      <c r="M562" t="s">
        <v>43</v>
      </c>
      <c r="N562" s="1">
        <v>43743</v>
      </c>
      <c r="O562" t="s">
        <v>23</v>
      </c>
      <c r="P562" t="s">
        <v>45</v>
      </c>
      <c r="Q562">
        <v>17</v>
      </c>
    </row>
    <row r="563" spans="1:17" x14ac:dyDescent="0.35">
      <c r="A563" t="s">
        <v>1426</v>
      </c>
      <c r="B563" t="str">
        <f t="shared" si="19"/>
        <v>66-75</v>
      </c>
      <c r="C563">
        <v>71</v>
      </c>
      <c r="D563" t="s">
        <v>16</v>
      </c>
      <c r="E563" t="s">
        <v>51</v>
      </c>
      <c r="F563" t="s">
        <v>18</v>
      </c>
      <c r="G563" s="1">
        <v>44872</v>
      </c>
      <c r="H563" t="s">
        <v>1427</v>
      </c>
      <c r="I563" t="s">
        <v>1428</v>
      </c>
      <c r="J563" t="s">
        <v>63</v>
      </c>
      <c r="K563">
        <v>13364.2847821496</v>
      </c>
      <c r="L563">
        <v>233</v>
      </c>
      <c r="M563" t="s">
        <v>32</v>
      </c>
      <c r="N563" s="1">
        <v>44886</v>
      </c>
      <c r="O563" t="s">
        <v>87</v>
      </c>
      <c r="P563" t="s">
        <v>34</v>
      </c>
      <c r="Q563">
        <v>14</v>
      </c>
    </row>
    <row r="564" spans="1:17" x14ac:dyDescent="0.35">
      <c r="A564" t="s">
        <v>395</v>
      </c>
      <c r="B564" t="str">
        <f t="shared" si="19"/>
        <v>56-65</v>
      </c>
      <c r="C564">
        <v>64</v>
      </c>
      <c r="D564" t="s">
        <v>26</v>
      </c>
      <c r="E564" t="s">
        <v>232</v>
      </c>
      <c r="F564" t="s">
        <v>18</v>
      </c>
      <c r="G564" s="1">
        <v>43721</v>
      </c>
      <c r="H564" t="s">
        <v>396</v>
      </c>
      <c r="I564" t="s">
        <v>397</v>
      </c>
      <c r="J564" t="s">
        <v>63</v>
      </c>
      <c r="K564">
        <v>19279.2602148195</v>
      </c>
      <c r="L564">
        <v>140</v>
      </c>
      <c r="M564" t="s">
        <v>32</v>
      </c>
      <c r="N564" s="1">
        <v>43724</v>
      </c>
      <c r="O564" t="s">
        <v>23</v>
      </c>
      <c r="P564" t="s">
        <v>45</v>
      </c>
      <c r="Q564">
        <v>3</v>
      </c>
    </row>
    <row r="565" spans="1:17" x14ac:dyDescent="0.35">
      <c r="A565" t="s">
        <v>2384</v>
      </c>
      <c r="B565" t="str">
        <f t="shared" si="19"/>
        <v>66-75</v>
      </c>
      <c r="C565">
        <v>71</v>
      </c>
      <c r="D565" t="s">
        <v>26</v>
      </c>
      <c r="E565" t="s">
        <v>232</v>
      </c>
      <c r="F565" t="s">
        <v>18</v>
      </c>
      <c r="G565" s="1">
        <v>44191</v>
      </c>
      <c r="H565" t="s">
        <v>2385</v>
      </c>
      <c r="I565" t="s">
        <v>2386</v>
      </c>
      <c r="J565" t="s">
        <v>54</v>
      </c>
      <c r="K565">
        <v>17232.967197593702</v>
      </c>
      <c r="L565">
        <v>143</v>
      </c>
      <c r="M565" t="s">
        <v>43</v>
      </c>
      <c r="N565" s="1">
        <v>44204</v>
      </c>
      <c r="O565" t="s">
        <v>23</v>
      </c>
      <c r="P565" t="s">
        <v>24</v>
      </c>
      <c r="Q565">
        <v>13</v>
      </c>
    </row>
    <row r="566" spans="1:17" x14ac:dyDescent="0.35">
      <c r="A566" t="s">
        <v>2305</v>
      </c>
      <c r="B566" t="str">
        <f t="shared" si="19"/>
        <v>46-55</v>
      </c>
      <c r="C566">
        <v>52</v>
      </c>
      <c r="D566" t="s">
        <v>16</v>
      </c>
      <c r="E566" t="s">
        <v>92</v>
      </c>
      <c r="F566" t="s">
        <v>18</v>
      </c>
      <c r="G566" s="1">
        <v>43488</v>
      </c>
      <c r="H566" t="s">
        <v>2306</v>
      </c>
      <c r="I566" t="s">
        <v>2307</v>
      </c>
      <c r="J566" t="s">
        <v>21</v>
      </c>
      <c r="K566">
        <v>24921.3156336795</v>
      </c>
      <c r="L566">
        <v>235</v>
      </c>
      <c r="M566" t="s">
        <v>32</v>
      </c>
      <c r="N566" s="1">
        <v>43507</v>
      </c>
      <c r="O566" t="s">
        <v>33</v>
      </c>
      <c r="P566" t="s">
        <v>34</v>
      </c>
      <c r="Q566">
        <v>19</v>
      </c>
    </row>
    <row r="567" spans="1:17" x14ac:dyDescent="0.35">
      <c r="A567" t="s">
        <v>380</v>
      </c>
      <c r="B567" t="str">
        <f t="shared" si="19"/>
        <v>56-65</v>
      </c>
      <c r="C567">
        <v>56</v>
      </c>
      <c r="D567" t="s">
        <v>26</v>
      </c>
      <c r="E567" t="s">
        <v>117</v>
      </c>
      <c r="F567" t="s">
        <v>18</v>
      </c>
      <c r="G567" s="1">
        <v>43804</v>
      </c>
      <c r="H567" t="s">
        <v>381</v>
      </c>
      <c r="I567" t="s">
        <v>382</v>
      </c>
      <c r="J567" t="s">
        <v>21</v>
      </c>
      <c r="K567">
        <v>41814.424468231598</v>
      </c>
      <c r="L567">
        <v>267</v>
      </c>
      <c r="M567" t="s">
        <v>32</v>
      </c>
      <c r="N567" s="1">
        <v>43812</v>
      </c>
      <c r="O567" t="s">
        <v>44</v>
      </c>
      <c r="P567" t="s">
        <v>24</v>
      </c>
      <c r="Q567">
        <v>8</v>
      </c>
    </row>
    <row r="568" spans="1:17" x14ac:dyDescent="0.35">
      <c r="A568" t="s">
        <v>312</v>
      </c>
      <c r="B568" t="str">
        <f t="shared" si="19"/>
        <v>66-75</v>
      </c>
      <c r="C568">
        <v>74</v>
      </c>
      <c r="D568" t="s">
        <v>16</v>
      </c>
      <c r="E568" t="s">
        <v>17</v>
      </c>
      <c r="F568" t="s">
        <v>18</v>
      </c>
      <c r="G568" s="1">
        <v>44058</v>
      </c>
      <c r="H568" t="s">
        <v>313</v>
      </c>
      <c r="I568" t="s">
        <v>314</v>
      </c>
      <c r="J568" t="s">
        <v>31</v>
      </c>
      <c r="K568">
        <v>35869.406412032302</v>
      </c>
      <c r="L568">
        <v>143</v>
      </c>
      <c r="M568" t="s">
        <v>22</v>
      </c>
      <c r="N568" s="1">
        <v>44072</v>
      </c>
      <c r="O568" t="s">
        <v>50</v>
      </c>
      <c r="P568" t="s">
        <v>34</v>
      </c>
      <c r="Q568">
        <v>14</v>
      </c>
    </row>
    <row r="569" spans="1:17" x14ac:dyDescent="0.35">
      <c r="A569" t="s">
        <v>2800</v>
      </c>
      <c r="B569" t="str">
        <f t="shared" si="19"/>
        <v>26-35</v>
      </c>
      <c r="C569">
        <v>31</v>
      </c>
      <c r="D569" t="s">
        <v>26</v>
      </c>
      <c r="E569" t="s">
        <v>51</v>
      </c>
      <c r="F569" t="s">
        <v>18</v>
      </c>
      <c r="G569" s="1">
        <v>44531</v>
      </c>
      <c r="H569" t="s">
        <v>2801</v>
      </c>
      <c r="I569" t="s">
        <v>2802</v>
      </c>
      <c r="J569" t="s">
        <v>21</v>
      </c>
      <c r="K569">
        <v>47788.800990939402</v>
      </c>
      <c r="L569">
        <v>354</v>
      </c>
      <c r="M569" t="s">
        <v>43</v>
      </c>
      <c r="N569" s="1">
        <v>44543</v>
      </c>
      <c r="O569" t="s">
        <v>23</v>
      </c>
      <c r="P569" t="s">
        <v>34</v>
      </c>
      <c r="Q569">
        <v>12</v>
      </c>
    </row>
    <row r="570" spans="1:17" x14ac:dyDescent="0.35">
      <c r="A570" t="s">
        <v>1847</v>
      </c>
      <c r="B570" t="str">
        <f t="shared" si="19"/>
        <v>26-35</v>
      </c>
      <c r="C570">
        <v>30</v>
      </c>
      <c r="D570" t="s">
        <v>26</v>
      </c>
      <c r="E570" t="s">
        <v>27</v>
      </c>
      <c r="F570" t="s">
        <v>18</v>
      </c>
      <c r="G570" s="1">
        <v>44304</v>
      </c>
      <c r="H570" t="s">
        <v>1848</v>
      </c>
      <c r="I570" t="s">
        <v>1849</v>
      </c>
      <c r="J570" t="s">
        <v>21</v>
      </c>
      <c r="K570">
        <v>7898.4103950542303</v>
      </c>
      <c r="L570">
        <v>152</v>
      </c>
      <c r="M570" t="s">
        <v>32</v>
      </c>
      <c r="N570" s="1">
        <v>44319</v>
      </c>
      <c r="O570" t="s">
        <v>23</v>
      </c>
      <c r="P570" t="s">
        <v>24</v>
      </c>
      <c r="Q570">
        <v>15</v>
      </c>
    </row>
    <row r="571" spans="1:17" x14ac:dyDescent="0.35">
      <c r="A571" t="s">
        <v>801</v>
      </c>
      <c r="B571" t="str">
        <f t="shared" si="19"/>
        <v>76-85</v>
      </c>
      <c r="C571">
        <v>80</v>
      </c>
      <c r="D571" t="s">
        <v>16</v>
      </c>
      <c r="E571" t="s">
        <v>51</v>
      </c>
      <c r="F571" t="s">
        <v>18</v>
      </c>
      <c r="G571" s="1">
        <v>44303</v>
      </c>
      <c r="H571" t="s">
        <v>802</v>
      </c>
      <c r="I571" t="s">
        <v>803</v>
      </c>
      <c r="J571" t="s">
        <v>31</v>
      </c>
      <c r="K571">
        <v>43535.022572040398</v>
      </c>
      <c r="L571">
        <v>237</v>
      </c>
      <c r="M571" t="s">
        <v>22</v>
      </c>
      <c r="N571" s="1">
        <v>44332</v>
      </c>
      <c r="O571" t="s">
        <v>33</v>
      </c>
      <c r="P571" t="s">
        <v>24</v>
      </c>
      <c r="Q571">
        <v>29</v>
      </c>
    </row>
    <row r="572" spans="1:17" x14ac:dyDescent="0.35">
      <c r="A572" t="s">
        <v>1313</v>
      </c>
      <c r="B572" t="str">
        <f t="shared" si="19"/>
        <v>18-25</v>
      </c>
      <c r="C572">
        <v>23</v>
      </c>
      <c r="D572" t="s">
        <v>16</v>
      </c>
      <c r="E572" t="s">
        <v>65</v>
      </c>
      <c r="F572" t="s">
        <v>18</v>
      </c>
      <c r="G572" s="1">
        <v>44619</v>
      </c>
      <c r="H572" t="s">
        <v>1314</v>
      </c>
      <c r="I572" t="s">
        <v>1315</v>
      </c>
      <c r="J572" t="s">
        <v>59</v>
      </c>
      <c r="K572">
        <v>49213.851670691998</v>
      </c>
      <c r="L572">
        <v>406</v>
      </c>
      <c r="M572" t="s">
        <v>22</v>
      </c>
      <c r="N572" s="1">
        <v>44641</v>
      </c>
      <c r="O572" t="s">
        <v>50</v>
      </c>
      <c r="P572" t="s">
        <v>24</v>
      </c>
      <c r="Q572">
        <v>22</v>
      </c>
    </row>
    <row r="573" spans="1:17" x14ac:dyDescent="0.35">
      <c r="A573" t="s">
        <v>2272</v>
      </c>
      <c r="B573" t="str">
        <f t="shared" si="19"/>
        <v>46-55</v>
      </c>
      <c r="C573">
        <v>52</v>
      </c>
      <c r="D573" t="s">
        <v>26</v>
      </c>
      <c r="E573" t="s">
        <v>51</v>
      </c>
      <c r="F573" t="s">
        <v>18</v>
      </c>
      <c r="G573" s="1">
        <v>43797</v>
      </c>
      <c r="H573" t="s">
        <v>2273</v>
      </c>
      <c r="I573" t="s">
        <v>2274</v>
      </c>
      <c r="J573" t="s">
        <v>21</v>
      </c>
      <c r="K573">
        <v>19972.934865547501</v>
      </c>
      <c r="L573">
        <v>139</v>
      </c>
      <c r="M573" t="s">
        <v>32</v>
      </c>
      <c r="N573" s="1">
        <v>43811</v>
      </c>
      <c r="O573" t="s">
        <v>23</v>
      </c>
      <c r="P573" t="s">
        <v>34</v>
      </c>
      <c r="Q573">
        <v>14</v>
      </c>
    </row>
    <row r="574" spans="1:17" x14ac:dyDescent="0.35">
      <c r="A574" t="s">
        <v>1951</v>
      </c>
      <c r="B574" t="str">
        <f t="shared" si="19"/>
        <v>66-75</v>
      </c>
      <c r="C574">
        <v>70</v>
      </c>
      <c r="D574" t="s">
        <v>16</v>
      </c>
      <c r="E574" t="s">
        <v>27</v>
      </c>
      <c r="F574" t="s">
        <v>18</v>
      </c>
      <c r="G574" s="1">
        <v>44753</v>
      </c>
      <c r="H574" t="s">
        <v>1952</v>
      </c>
      <c r="I574" t="s">
        <v>1953</v>
      </c>
      <c r="J574" t="s">
        <v>31</v>
      </c>
      <c r="K574">
        <v>12779.4190671751</v>
      </c>
      <c r="L574">
        <v>139</v>
      </c>
      <c r="M574" t="s">
        <v>43</v>
      </c>
      <c r="N574" s="1">
        <v>44757</v>
      </c>
      <c r="O574" t="s">
        <v>33</v>
      </c>
      <c r="P574" t="s">
        <v>34</v>
      </c>
      <c r="Q574">
        <v>4</v>
      </c>
    </row>
    <row r="575" spans="1:17" x14ac:dyDescent="0.35">
      <c r="A575" t="s">
        <v>1486</v>
      </c>
      <c r="B575" t="str">
        <f t="shared" si="19"/>
        <v>66-75</v>
      </c>
      <c r="C575">
        <v>75</v>
      </c>
      <c r="D575" t="s">
        <v>16</v>
      </c>
      <c r="E575" t="s">
        <v>92</v>
      </c>
      <c r="F575" t="s">
        <v>18</v>
      </c>
      <c r="G575" s="1">
        <v>43931</v>
      </c>
      <c r="H575" t="s">
        <v>2798</v>
      </c>
      <c r="I575" t="s">
        <v>2799</v>
      </c>
      <c r="J575" t="s">
        <v>31</v>
      </c>
      <c r="K575">
        <v>30453.292560833601</v>
      </c>
      <c r="L575">
        <v>481</v>
      </c>
      <c r="M575" t="s">
        <v>32</v>
      </c>
      <c r="N575" s="1">
        <v>43961</v>
      </c>
      <c r="O575" t="s">
        <v>23</v>
      </c>
      <c r="P575" t="s">
        <v>24</v>
      </c>
      <c r="Q575">
        <v>30</v>
      </c>
    </row>
    <row r="576" spans="1:17" x14ac:dyDescent="0.35">
      <c r="A576" t="s">
        <v>1070</v>
      </c>
      <c r="B576" t="str">
        <f t="shared" si="19"/>
        <v>76-85</v>
      </c>
      <c r="C576">
        <v>84</v>
      </c>
      <c r="D576" t="s">
        <v>26</v>
      </c>
      <c r="E576" t="s">
        <v>27</v>
      </c>
      <c r="F576" t="s">
        <v>18</v>
      </c>
      <c r="G576" s="1">
        <v>44477</v>
      </c>
      <c r="H576" t="s">
        <v>1071</v>
      </c>
      <c r="I576" t="s">
        <v>1072</v>
      </c>
      <c r="J576" t="s">
        <v>21</v>
      </c>
      <c r="K576">
        <v>45537.194394455299</v>
      </c>
      <c r="L576">
        <v>110</v>
      </c>
      <c r="M576" t="s">
        <v>43</v>
      </c>
      <c r="N576" s="1">
        <v>44501</v>
      </c>
      <c r="O576" t="s">
        <v>50</v>
      </c>
      <c r="P576" t="s">
        <v>34</v>
      </c>
      <c r="Q576">
        <v>24</v>
      </c>
    </row>
    <row r="577" spans="1:17" x14ac:dyDescent="0.35">
      <c r="A577" t="s">
        <v>321</v>
      </c>
      <c r="B577" t="str">
        <f t="shared" si="19"/>
        <v>26-35</v>
      </c>
      <c r="C577">
        <v>33</v>
      </c>
      <c r="D577" t="s">
        <v>26</v>
      </c>
      <c r="E577" t="s">
        <v>17</v>
      </c>
      <c r="F577" t="s">
        <v>18</v>
      </c>
      <c r="G577" s="1">
        <v>44461</v>
      </c>
      <c r="H577" t="s">
        <v>322</v>
      </c>
      <c r="I577" t="s">
        <v>323</v>
      </c>
      <c r="J577" t="s">
        <v>54</v>
      </c>
      <c r="K577">
        <v>16931.636008434802</v>
      </c>
      <c r="L577">
        <v>108</v>
      </c>
      <c r="M577" t="s">
        <v>32</v>
      </c>
      <c r="N577" s="1">
        <v>44491</v>
      </c>
      <c r="O577" t="s">
        <v>33</v>
      </c>
      <c r="P577" t="s">
        <v>34</v>
      </c>
      <c r="Q577">
        <v>30</v>
      </c>
    </row>
    <row r="578" spans="1:17" x14ac:dyDescent="0.35">
      <c r="A578" t="s">
        <v>268</v>
      </c>
      <c r="B578" t="str">
        <f t="shared" si="19"/>
        <v>66-75</v>
      </c>
      <c r="C578">
        <v>66</v>
      </c>
      <c r="D578" t="s">
        <v>16</v>
      </c>
      <c r="E578" t="s">
        <v>92</v>
      </c>
      <c r="F578" t="s">
        <v>18</v>
      </c>
      <c r="G578" s="1">
        <v>44407</v>
      </c>
      <c r="H578" t="s">
        <v>269</v>
      </c>
      <c r="I578" t="s">
        <v>270</v>
      </c>
      <c r="J578" t="s">
        <v>54</v>
      </c>
      <c r="K578">
        <v>22787.279244194298</v>
      </c>
      <c r="L578">
        <v>147</v>
      </c>
      <c r="M578" t="s">
        <v>43</v>
      </c>
      <c r="N578" s="1">
        <v>44435</v>
      </c>
      <c r="O578" t="s">
        <v>50</v>
      </c>
      <c r="P578" t="s">
        <v>45</v>
      </c>
      <c r="Q578">
        <v>28</v>
      </c>
    </row>
    <row r="579" spans="1:17" x14ac:dyDescent="0.35">
      <c r="A579" t="s">
        <v>1747</v>
      </c>
      <c r="B579" t="str">
        <f t="shared" si="19"/>
        <v>26-35</v>
      </c>
      <c r="C579">
        <v>29</v>
      </c>
      <c r="D579" t="s">
        <v>16</v>
      </c>
      <c r="E579" t="s">
        <v>65</v>
      </c>
      <c r="F579" t="s">
        <v>18</v>
      </c>
      <c r="G579" s="1">
        <v>44117</v>
      </c>
      <c r="H579" t="s">
        <v>1748</v>
      </c>
      <c r="I579" t="s">
        <v>1749</v>
      </c>
      <c r="J579" t="s">
        <v>63</v>
      </c>
      <c r="K579">
        <v>18198.873724591798</v>
      </c>
      <c r="L579">
        <v>353</v>
      </c>
      <c r="M579" t="s">
        <v>43</v>
      </c>
      <c r="N579" s="1">
        <v>44139</v>
      </c>
      <c r="O579" t="s">
        <v>23</v>
      </c>
      <c r="P579" t="s">
        <v>45</v>
      </c>
      <c r="Q579">
        <v>22</v>
      </c>
    </row>
    <row r="580" spans="1:17" x14ac:dyDescent="0.35">
      <c r="A580" t="s">
        <v>2518</v>
      </c>
      <c r="B580" t="str">
        <f t="shared" si="19"/>
        <v>18-25</v>
      </c>
      <c r="C580">
        <v>19</v>
      </c>
      <c r="D580" t="s">
        <v>26</v>
      </c>
      <c r="E580" t="s">
        <v>51</v>
      </c>
      <c r="F580" t="s">
        <v>18</v>
      </c>
      <c r="G580" s="1">
        <v>44544</v>
      </c>
      <c r="H580" t="s">
        <v>2519</v>
      </c>
      <c r="I580" t="s">
        <v>2520</v>
      </c>
      <c r="J580" t="s">
        <v>31</v>
      </c>
      <c r="K580">
        <v>14964.071601818399</v>
      </c>
      <c r="L580">
        <v>376</v>
      </c>
      <c r="M580" t="s">
        <v>22</v>
      </c>
      <c r="N580" s="1">
        <v>44571</v>
      </c>
      <c r="O580" t="s">
        <v>50</v>
      </c>
      <c r="P580" t="s">
        <v>24</v>
      </c>
      <c r="Q580">
        <v>27</v>
      </c>
    </row>
    <row r="581" spans="1:17" x14ac:dyDescent="0.35">
      <c r="A581" t="s">
        <v>2700</v>
      </c>
      <c r="B581" t="str">
        <f t="shared" si="19"/>
        <v>66-75</v>
      </c>
      <c r="C581">
        <v>72</v>
      </c>
      <c r="D581" t="s">
        <v>26</v>
      </c>
      <c r="E581" t="s">
        <v>65</v>
      </c>
      <c r="F581" t="s">
        <v>18</v>
      </c>
      <c r="G581" s="1">
        <v>44580</v>
      </c>
      <c r="H581" t="s">
        <v>2701</v>
      </c>
      <c r="I581" t="s">
        <v>2702</v>
      </c>
      <c r="J581" t="s">
        <v>59</v>
      </c>
      <c r="K581">
        <v>30711.598690891798</v>
      </c>
      <c r="L581">
        <v>370</v>
      </c>
      <c r="M581" t="s">
        <v>22</v>
      </c>
      <c r="N581" s="1">
        <v>44609</v>
      </c>
      <c r="O581" t="s">
        <v>44</v>
      </c>
      <c r="P581" t="s">
        <v>45</v>
      </c>
      <c r="Q581">
        <v>29</v>
      </c>
    </row>
    <row r="582" spans="1:17" x14ac:dyDescent="0.35">
      <c r="A582" t="s">
        <v>192</v>
      </c>
      <c r="B582" t="str">
        <f t="shared" si="19"/>
        <v>76-85</v>
      </c>
      <c r="C582">
        <v>82</v>
      </c>
      <c r="D582" t="s">
        <v>16</v>
      </c>
      <c r="E582" t="s">
        <v>92</v>
      </c>
      <c r="F582" t="s">
        <v>18</v>
      </c>
      <c r="G582" s="1">
        <v>44245</v>
      </c>
      <c r="H582" t="s">
        <v>193</v>
      </c>
      <c r="I582" t="s">
        <v>194</v>
      </c>
      <c r="J582" t="s">
        <v>59</v>
      </c>
      <c r="K582">
        <v>46461.822523561801</v>
      </c>
      <c r="L582">
        <v>186</v>
      </c>
      <c r="M582" t="s">
        <v>43</v>
      </c>
      <c r="N582" s="1">
        <v>44261</v>
      </c>
      <c r="O582" t="s">
        <v>33</v>
      </c>
      <c r="P582" t="s">
        <v>45</v>
      </c>
      <c r="Q582">
        <v>16</v>
      </c>
    </row>
    <row r="583" spans="1:17" x14ac:dyDescent="0.35">
      <c r="A583" t="s">
        <v>715</v>
      </c>
      <c r="B583" t="str">
        <f t="shared" si="19"/>
        <v>66-75</v>
      </c>
      <c r="C583">
        <v>72</v>
      </c>
      <c r="D583" t="s">
        <v>16</v>
      </c>
      <c r="E583" t="s">
        <v>92</v>
      </c>
      <c r="F583" t="s">
        <v>18</v>
      </c>
      <c r="G583" s="1">
        <v>44121</v>
      </c>
      <c r="H583" t="s">
        <v>716</v>
      </c>
      <c r="I583" t="s">
        <v>717</v>
      </c>
      <c r="J583" t="s">
        <v>54</v>
      </c>
      <c r="K583">
        <v>37374.026136089</v>
      </c>
      <c r="L583">
        <v>488</v>
      </c>
      <c r="M583" t="s">
        <v>32</v>
      </c>
      <c r="N583" s="1">
        <v>44149</v>
      </c>
      <c r="O583" t="s">
        <v>33</v>
      </c>
      <c r="P583" t="s">
        <v>45</v>
      </c>
      <c r="Q583">
        <v>28</v>
      </c>
    </row>
    <row r="584" spans="1:17" x14ac:dyDescent="0.35">
      <c r="A584" t="s">
        <v>2278</v>
      </c>
      <c r="B584" t="str">
        <f t="shared" si="19"/>
        <v>36-45</v>
      </c>
      <c r="C584">
        <v>40</v>
      </c>
      <c r="D584" t="s">
        <v>26</v>
      </c>
      <c r="E584" t="s">
        <v>51</v>
      </c>
      <c r="F584" t="s">
        <v>18</v>
      </c>
      <c r="G584" s="1">
        <v>45211</v>
      </c>
      <c r="H584" t="s">
        <v>2279</v>
      </c>
      <c r="I584" t="s">
        <v>230</v>
      </c>
      <c r="J584" t="s">
        <v>31</v>
      </c>
      <c r="K584">
        <v>11287.4155066394</v>
      </c>
      <c r="L584">
        <v>447</v>
      </c>
      <c r="M584" t="s">
        <v>43</v>
      </c>
      <c r="N584" s="1">
        <v>45220</v>
      </c>
      <c r="O584" t="s">
        <v>50</v>
      </c>
      <c r="P584" t="s">
        <v>45</v>
      </c>
      <c r="Q584">
        <v>9</v>
      </c>
    </row>
    <row r="585" spans="1:17" x14ac:dyDescent="0.35">
      <c r="A585" t="s">
        <v>1704</v>
      </c>
      <c r="B585" t="str">
        <f t="shared" si="19"/>
        <v>56-65</v>
      </c>
      <c r="C585">
        <v>61</v>
      </c>
      <c r="D585" t="s">
        <v>26</v>
      </c>
      <c r="E585" t="s">
        <v>92</v>
      </c>
      <c r="F585" t="s">
        <v>18</v>
      </c>
      <c r="G585" s="1">
        <v>43563</v>
      </c>
      <c r="H585" t="s">
        <v>1705</v>
      </c>
      <c r="I585" t="s">
        <v>1706</v>
      </c>
      <c r="J585" t="s">
        <v>54</v>
      </c>
      <c r="K585">
        <v>46515.229091929803</v>
      </c>
      <c r="L585">
        <v>309</v>
      </c>
      <c r="M585" t="s">
        <v>32</v>
      </c>
      <c r="N585" s="1">
        <v>43589</v>
      </c>
      <c r="O585" t="s">
        <v>44</v>
      </c>
      <c r="P585" t="s">
        <v>24</v>
      </c>
      <c r="Q585">
        <v>26</v>
      </c>
    </row>
    <row r="586" spans="1:17" x14ac:dyDescent="0.35">
      <c r="A586" t="s">
        <v>1668</v>
      </c>
      <c r="B586" t="str">
        <f t="shared" si="19"/>
        <v>18-25</v>
      </c>
      <c r="C586">
        <v>21</v>
      </c>
      <c r="D586" t="s">
        <v>26</v>
      </c>
      <c r="E586" t="s">
        <v>36</v>
      </c>
      <c r="F586" t="s">
        <v>18</v>
      </c>
      <c r="G586" s="1">
        <v>44267</v>
      </c>
      <c r="H586" t="s">
        <v>1669</v>
      </c>
      <c r="I586" t="s">
        <v>1670</v>
      </c>
      <c r="J586" t="s">
        <v>63</v>
      </c>
      <c r="K586">
        <v>41468.332017550601</v>
      </c>
      <c r="L586">
        <v>486</v>
      </c>
      <c r="M586" t="s">
        <v>43</v>
      </c>
      <c r="N586" s="1">
        <v>44268</v>
      </c>
      <c r="O586" t="s">
        <v>50</v>
      </c>
      <c r="P586" t="s">
        <v>24</v>
      </c>
      <c r="Q586">
        <v>1</v>
      </c>
    </row>
    <row r="587" spans="1:17" x14ac:dyDescent="0.35">
      <c r="A587" t="s">
        <v>2099</v>
      </c>
      <c r="B587" t="str">
        <f t="shared" si="19"/>
        <v>18-25</v>
      </c>
      <c r="C587">
        <v>21</v>
      </c>
      <c r="D587" t="s">
        <v>16</v>
      </c>
      <c r="E587" t="s">
        <v>117</v>
      </c>
      <c r="F587" t="s">
        <v>18</v>
      </c>
      <c r="G587" s="1">
        <v>43764</v>
      </c>
      <c r="H587" t="s">
        <v>2100</v>
      </c>
      <c r="I587" t="s">
        <v>2101</v>
      </c>
      <c r="J587" t="s">
        <v>21</v>
      </c>
      <c r="K587">
        <v>26193.2085927064</v>
      </c>
      <c r="L587">
        <v>324</v>
      </c>
      <c r="M587" t="s">
        <v>43</v>
      </c>
      <c r="N587" s="1">
        <v>43766</v>
      </c>
      <c r="O587" t="s">
        <v>33</v>
      </c>
      <c r="P587" t="s">
        <v>24</v>
      </c>
      <c r="Q587">
        <v>2</v>
      </c>
    </row>
    <row r="588" spans="1:17" x14ac:dyDescent="0.35">
      <c r="A588" t="s">
        <v>1562</v>
      </c>
      <c r="B588" t="str">
        <f t="shared" si="19"/>
        <v>66-75</v>
      </c>
      <c r="C588">
        <v>74</v>
      </c>
      <c r="D588" t="s">
        <v>26</v>
      </c>
      <c r="E588" t="s">
        <v>92</v>
      </c>
      <c r="F588" t="s">
        <v>18</v>
      </c>
      <c r="G588" s="1">
        <v>44745</v>
      </c>
      <c r="H588" t="s">
        <v>1563</v>
      </c>
      <c r="I588" t="s">
        <v>1564</v>
      </c>
      <c r="J588" t="s">
        <v>54</v>
      </c>
      <c r="K588">
        <v>26790.385718866801</v>
      </c>
      <c r="L588">
        <v>228</v>
      </c>
      <c r="M588" t="s">
        <v>43</v>
      </c>
      <c r="N588" s="1">
        <v>44754</v>
      </c>
      <c r="O588" t="s">
        <v>44</v>
      </c>
      <c r="P588" t="s">
        <v>34</v>
      </c>
      <c r="Q588">
        <v>9</v>
      </c>
    </row>
    <row r="589" spans="1:17" x14ac:dyDescent="0.35">
      <c r="A589" t="s">
        <v>303</v>
      </c>
      <c r="B589" t="str">
        <f t="shared" si="19"/>
        <v>56-65</v>
      </c>
      <c r="C589">
        <v>56</v>
      </c>
      <c r="D589" t="s">
        <v>16</v>
      </c>
      <c r="E589" t="s">
        <v>36</v>
      </c>
      <c r="F589" t="s">
        <v>18</v>
      </c>
      <c r="G589" s="1">
        <v>44177</v>
      </c>
      <c r="H589" t="s">
        <v>304</v>
      </c>
      <c r="I589" t="s">
        <v>305</v>
      </c>
      <c r="J589" t="s">
        <v>31</v>
      </c>
      <c r="K589">
        <v>34056.929869869899</v>
      </c>
      <c r="L589">
        <v>397</v>
      </c>
      <c r="M589" t="s">
        <v>32</v>
      </c>
      <c r="N589" s="1">
        <v>44194</v>
      </c>
      <c r="O589" t="s">
        <v>50</v>
      </c>
      <c r="P589" t="s">
        <v>34</v>
      </c>
      <c r="Q589">
        <v>17</v>
      </c>
    </row>
    <row r="590" spans="1:17" x14ac:dyDescent="0.35">
      <c r="A590" t="s">
        <v>1850</v>
      </c>
      <c r="B590" t="str">
        <f t="shared" si="19"/>
        <v>56-65</v>
      </c>
      <c r="C590">
        <v>56</v>
      </c>
      <c r="D590" t="s">
        <v>16</v>
      </c>
      <c r="E590" t="s">
        <v>17</v>
      </c>
      <c r="F590" t="s">
        <v>18</v>
      </c>
      <c r="G590" s="1">
        <v>43435</v>
      </c>
      <c r="H590" t="s">
        <v>1851</v>
      </c>
      <c r="I590" t="s">
        <v>1852</v>
      </c>
      <c r="J590" t="s">
        <v>63</v>
      </c>
      <c r="K590">
        <v>26652.026299642599</v>
      </c>
      <c r="L590">
        <v>339</v>
      </c>
      <c r="M590" t="s">
        <v>32</v>
      </c>
      <c r="N590" s="1">
        <v>43436</v>
      </c>
      <c r="O590" t="s">
        <v>44</v>
      </c>
      <c r="P590" t="s">
        <v>24</v>
      </c>
      <c r="Q590">
        <v>1</v>
      </c>
    </row>
    <row r="591" spans="1:17" x14ac:dyDescent="0.35">
      <c r="A591" t="s">
        <v>2166</v>
      </c>
      <c r="B591" t="str">
        <f t="shared" si="19"/>
        <v>76-85</v>
      </c>
      <c r="C591">
        <v>82</v>
      </c>
      <c r="D591" t="s">
        <v>16</v>
      </c>
      <c r="E591" t="s">
        <v>51</v>
      </c>
      <c r="F591" t="s">
        <v>18</v>
      </c>
      <c r="G591" s="1">
        <v>43840</v>
      </c>
      <c r="H591" t="s">
        <v>2167</v>
      </c>
      <c r="I591" t="s">
        <v>2168</v>
      </c>
      <c r="J591" t="s">
        <v>54</v>
      </c>
      <c r="K591">
        <v>36610.928816561398</v>
      </c>
      <c r="L591">
        <v>445</v>
      </c>
      <c r="M591" t="s">
        <v>43</v>
      </c>
      <c r="N591" s="1">
        <v>43855</v>
      </c>
      <c r="O591" t="s">
        <v>50</v>
      </c>
      <c r="P591" t="s">
        <v>34</v>
      </c>
      <c r="Q591">
        <v>15</v>
      </c>
    </row>
    <row r="592" spans="1:17" x14ac:dyDescent="0.35">
      <c r="A592" t="s">
        <v>2473</v>
      </c>
      <c r="B592" t="str">
        <f t="shared" si="19"/>
        <v>76-85</v>
      </c>
      <c r="C592">
        <v>78</v>
      </c>
      <c r="D592" t="s">
        <v>26</v>
      </c>
      <c r="E592" t="s">
        <v>36</v>
      </c>
      <c r="F592" t="s">
        <v>18</v>
      </c>
      <c r="G592" s="1">
        <v>45001</v>
      </c>
      <c r="H592" t="s">
        <v>2474</v>
      </c>
      <c r="I592" t="s">
        <v>2475</v>
      </c>
      <c r="J592" t="s">
        <v>21</v>
      </c>
      <c r="K592">
        <v>19562.897808925401</v>
      </c>
      <c r="L592">
        <v>326</v>
      </c>
      <c r="M592" t="s">
        <v>32</v>
      </c>
      <c r="N592" s="1">
        <v>45014</v>
      </c>
      <c r="O592" t="s">
        <v>87</v>
      </c>
      <c r="P592" t="s">
        <v>24</v>
      </c>
      <c r="Q592">
        <v>13</v>
      </c>
    </row>
    <row r="593" spans="1:17" x14ac:dyDescent="0.35">
      <c r="A593" t="s">
        <v>2759</v>
      </c>
      <c r="B593" t="str">
        <f t="shared" si="19"/>
        <v>66-75</v>
      </c>
      <c r="C593">
        <v>72</v>
      </c>
      <c r="D593" t="s">
        <v>16</v>
      </c>
      <c r="E593" t="s">
        <v>232</v>
      </c>
      <c r="F593" t="s">
        <v>18</v>
      </c>
      <c r="G593" s="1">
        <v>45012</v>
      </c>
      <c r="H593" t="s">
        <v>2760</v>
      </c>
      <c r="I593" t="s">
        <v>2761</v>
      </c>
      <c r="J593" t="s">
        <v>54</v>
      </c>
      <c r="K593">
        <v>3345.5786412335001</v>
      </c>
      <c r="L593">
        <v>467</v>
      </c>
      <c r="M593" t="s">
        <v>32</v>
      </c>
      <c r="N593" s="1">
        <v>45029</v>
      </c>
      <c r="O593" t="s">
        <v>33</v>
      </c>
      <c r="P593" t="s">
        <v>45</v>
      </c>
      <c r="Q593">
        <v>17</v>
      </c>
    </row>
    <row r="594" spans="1:17" x14ac:dyDescent="0.35">
      <c r="A594" t="s">
        <v>1901</v>
      </c>
      <c r="B594" t="str">
        <f t="shared" si="19"/>
        <v>36-45</v>
      </c>
      <c r="C594">
        <v>40</v>
      </c>
      <c r="D594" t="s">
        <v>26</v>
      </c>
      <c r="E594" t="s">
        <v>117</v>
      </c>
      <c r="F594" t="s">
        <v>18</v>
      </c>
      <c r="G594" s="1">
        <v>44089</v>
      </c>
      <c r="H594" t="s">
        <v>1902</v>
      </c>
      <c r="I594" t="s">
        <v>1903</v>
      </c>
      <c r="J594" t="s">
        <v>21</v>
      </c>
      <c r="K594">
        <v>40368.630785273599</v>
      </c>
      <c r="L594">
        <v>467</v>
      </c>
      <c r="M594" t="s">
        <v>32</v>
      </c>
      <c r="N594" s="1">
        <v>44102</v>
      </c>
      <c r="O594" t="s">
        <v>33</v>
      </c>
      <c r="P594" t="s">
        <v>45</v>
      </c>
      <c r="Q594">
        <v>13</v>
      </c>
    </row>
    <row r="595" spans="1:17" x14ac:dyDescent="0.35">
      <c r="A595" t="s">
        <v>174</v>
      </c>
      <c r="B595" t="str">
        <f t="shared" si="19"/>
        <v>46-55</v>
      </c>
      <c r="C595">
        <v>48</v>
      </c>
      <c r="D595" t="s">
        <v>16</v>
      </c>
      <c r="E595" t="s">
        <v>36</v>
      </c>
      <c r="F595" t="s">
        <v>18</v>
      </c>
      <c r="G595" s="1">
        <v>44415</v>
      </c>
      <c r="H595" t="s">
        <v>175</v>
      </c>
      <c r="I595" t="s">
        <v>176</v>
      </c>
      <c r="J595" t="s">
        <v>59</v>
      </c>
      <c r="K595">
        <v>5470.2096868912504</v>
      </c>
      <c r="L595">
        <v>182</v>
      </c>
      <c r="M595" t="s">
        <v>32</v>
      </c>
      <c r="N595" s="1">
        <v>44417</v>
      </c>
      <c r="O595" t="s">
        <v>87</v>
      </c>
      <c r="P595" t="s">
        <v>24</v>
      </c>
      <c r="Q595">
        <v>2</v>
      </c>
    </row>
    <row r="596" spans="1:17" x14ac:dyDescent="0.35">
      <c r="A596" t="s">
        <v>1244</v>
      </c>
      <c r="B596" t="str">
        <f t="shared" ref="B596:B659" si="20">VLOOKUP(C596,$T$3:$U$9,2,TRUE)</f>
        <v>46-55</v>
      </c>
      <c r="C596">
        <v>52</v>
      </c>
      <c r="D596" t="s">
        <v>16</v>
      </c>
      <c r="E596" t="s">
        <v>51</v>
      </c>
      <c r="F596" t="s">
        <v>18</v>
      </c>
      <c r="G596" s="1">
        <v>44241</v>
      </c>
      <c r="H596" t="s">
        <v>1245</v>
      </c>
      <c r="I596" t="s">
        <v>1246</v>
      </c>
      <c r="J596" t="s">
        <v>31</v>
      </c>
      <c r="K596">
        <v>28835.350190062702</v>
      </c>
      <c r="L596">
        <v>205</v>
      </c>
      <c r="M596" t="s">
        <v>32</v>
      </c>
      <c r="N596" s="1">
        <v>44251</v>
      </c>
      <c r="O596" t="s">
        <v>87</v>
      </c>
      <c r="P596" t="s">
        <v>45</v>
      </c>
      <c r="Q596">
        <v>10</v>
      </c>
    </row>
    <row r="597" spans="1:17" x14ac:dyDescent="0.35">
      <c r="A597" t="s">
        <v>2572</v>
      </c>
      <c r="B597" t="str">
        <f t="shared" si="20"/>
        <v>46-55</v>
      </c>
      <c r="C597">
        <v>50</v>
      </c>
      <c r="D597" t="s">
        <v>26</v>
      </c>
      <c r="E597" t="s">
        <v>51</v>
      </c>
      <c r="F597" t="s">
        <v>18</v>
      </c>
      <c r="G597" s="1">
        <v>44700</v>
      </c>
      <c r="H597" t="s">
        <v>2573</v>
      </c>
      <c r="I597" t="s">
        <v>2574</v>
      </c>
      <c r="J597" t="s">
        <v>59</v>
      </c>
      <c r="K597">
        <v>43266.509988288599</v>
      </c>
      <c r="L597">
        <v>435</v>
      </c>
      <c r="M597" t="s">
        <v>22</v>
      </c>
      <c r="N597" s="1">
        <v>44718</v>
      </c>
      <c r="O597" t="s">
        <v>33</v>
      </c>
      <c r="P597" t="s">
        <v>45</v>
      </c>
      <c r="Q597">
        <v>18</v>
      </c>
    </row>
    <row r="598" spans="1:17" x14ac:dyDescent="0.35">
      <c r="A598" t="s">
        <v>825</v>
      </c>
      <c r="B598" t="str">
        <f t="shared" si="20"/>
        <v>46-55</v>
      </c>
      <c r="C598">
        <v>51</v>
      </c>
      <c r="D598" t="s">
        <v>26</v>
      </c>
      <c r="E598" t="s">
        <v>51</v>
      </c>
      <c r="F598" t="s">
        <v>18</v>
      </c>
      <c r="G598" s="1">
        <v>45014</v>
      </c>
      <c r="H598" t="s">
        <v>826</v>
      </c>
      <c r="I598" t="s">
        <v>827</v>
      </c>
      <c r="J598" t="s">
        <v>21</v>
      </c>
      <c r="K598">
        <v>26525.9938053716</v>
      </c>
      <c r="L598">
        <v>204</v>
      </c>
      <c r="M598" t="s">
        <v>43</v>
      </c>
      <c r="N598" s="1">
        <v>45038</v>
      </c>
      <c r="O598" t="s">
        <v>50</v>
      </c>
      <c r="P598" t="s">
        <v>45</v>
      </c>
      <c r="Q598">
        <v>24</v>
      </c>
    </row>
    <row r="599" spans="1:17" x14ac:dyDescent="0.35">
      <c r="A599" t="s">
        <v>1995</v>
      </c>
      <c r="B599" t="str">
        <f t="shared" si="20"/>
        <v>26-35</v>
      </c>
      <c r="C599">
        <v>26</v>
      </c>
      <c r="D599" t="s">
        <v>26</v>
      </c>
      <c r="E599" t="s">
        <v>17</v>
      </c>
      <c r="F599" t="s">
        <v>18</v>
      </c>
      <c r="G599" s="1">
        <v>44384</v>
      </c>
      <c r="H599" t="s">
        <v>1996</v>
      </c>
      <c r="I599" t="s">
        <v>1997</v>
      </c>
      <c r="J599" t="s">
        <v>63</v>
      </c>
      <c r="K599">
        <v>28319.6755694606</v>
      </c>
      <c r="L599">
        <v>223</v>
      </c>
      <c r="M599" t="s">
        <v>22</v>
      </c>
      <c r="N599" s="1">
        <v>44398</v>
      </c>
      <c r="O599" t="s">
        <v>50</v>
      </c>
      <c r="P599" t="s">
        <v>34</v>
      </c>
      <c r="Q599">
        <v>14</v>
      </c>
    </row>
    <row r="600" spans="1:17" x14ac:dyDescent="0.35">
      <c r="A600" t="s">
        <v>277</v>
      </c>
      <c r="B600" t="str">
        <f t="shared" si="20"/>
        <v>26-35</v>
      </c>
      <c r="C600">
        <v>32</v>
      </c>
      <c r="D600" t="s">
        <v>26</v>
      </c>
      <c r="E600" t="s">
        <v>36</v>
      </c>
      <c r="F600" t="s">
        <v>18</v>
      </c>
      <c r="G600" s="1">
        <v>44067</v>
      </c>
      <c r="H600" t="s">
        <v>278</v>
      </c>
      <c r="I600" t="s">
        <v>279</v>
      </c>
      <c r="J600" t="s">
        <v>21</v>
      </c>
      <c r="K600">
        <v>9029.1262906193097</v>
      </c>
      <c r="L600">
        <v>263</v>
      </c>
      <c r="M600" t="s">
        <v>32</v>
      </c>
      <c r="N600" s="1">
        <v>44079</v>
      </c>
      <c r="O600" t="s">
        <v>87</v>
      </c>
      <c r="P600" t="s">
        <v>34</v>
      </c>
      <c r="Q600">
        <v>12</v>
      </c>
    </row>
    <row r="601" spans="1:17" x14ac:dyDescent="0.35">
      <c r="A601" t="s">
        <v>1986</v>
      </c>
      <c r="B601" t="str">
        <f t="shared" si="20"/>
        <v>56-65</v>
      </c>
      <c r="C601">
        <v>65</v>
      </c>
      <c r="D601" t="s">
        <v>26</v>
      </c>
      <c r="E601" t="s">
        <v>232</v>
      </c>
      <c r="F601" t="s">
        <v>18</v>
      </c>
      <c r="G601" s="1">
        <v>44490</v>
      </c>
      <c r="H601" t="s">
        <v>1987</v>
      </c>
      <c r="I601" t="s">
        <v>1988</v>
      </c>
      <c r="J601" t="s">
        <v>31</v>
      </c>
      <c r="K601">
        <v>1832.9666020570901</v>
      </c>
      <c r="L601">
        <v>308</v>
      </c>
      <c r="M601" t="s">
        <v>43</v>
      </c>
      <c r="N601" s="1">
        <v>44514</v>
      </c>
      <c r="O601" t="s">
        <v>87</v>
      </c>
      <c r="P601" t="s">
        <v>45</v>
      </c>
      <c r="Q601">
        <v>24</v>
      </c>
    </row>
    <row r="602" spans="1:17" x14ac:dyDescent="0.35">
      <c r="A602" t="s">
        <v>887</v>
      </c>
      <c r="B602" t="str">
        <f t="shared" si="20"/>
        <v>26-35</v>
      </c>
      <c r="C602">
        <v>33</v>
      </c>
      <c r="D602" t="s">
        <v>16</v>
      </c>
      <c r="E602" t="s">
        <v>92</v>
      </c>
      <c r="F602" t="s">
        <v>18</v>
      </c>
      <c r="G602" s="1">
        <v>43509</v>
      </c>
      <c r="H602" t="s">
        <v>888</v>
      </c>
      <c r="I602" t="s">
        <v>889</v>
      </c>
      <c r="J602" t="s">
        <v>63</v>
      </c>
      <c r="K602">
        <v>42550.621840623397</v>
      </c>
      <c r="L602">
        <v>119</v>
      </c>
      <c r="M602" t="s">
        <v>43</v>
      </c>
      <c r="N602" s="1">
        <v>43519</v>
      </c>
      <c r="O602" t="s">
        <v>33</v>
      </c>
      <c r="P602" t="s">
        <v>45</v>
      </c>
      <c r="Q602">
        <v>10</v>
      </c>
    </row>
    <row r="603" spans="1:17" x14ac:dyDescent="0.35">
      <c r="A603" t="s">
        <v>2294</v>
      </c>
      <c r="B603" t="str">
        <f t="shared" si="20"/>
        <v>46-55</v>
      </c>
      <c r="C603">
        <v>50</v>
      </c>
      <c r="D603" t="s">
        <v>16</v>
      </c>
      <c r="E603" t="s">
        <v>92</v>
      </c>
      <c r="F603" t="s">
        <v>18</v>
      </c>
      <c r="G603" s="1">
        <v>44607</v>
      </c>
      <c r="H603" t="s">
        <v>2295</v>
      </c>
      <c r="I603" t="s">
        <v>2296</v>
      </c>
      <c r="J603" t="s">
        <v>54</v>
      </c>
      <c r="K603">
        <v>17426.341356949</v>
      </c>
      <c r="L603">
        <v>341</v>
      </c>
      <c r="M603" t="s">
        <v>22</v>
      </c>
      <c r="N603" s="1">
        <v>44630</v>
      </c>
      <c r="O603" t="s">
        <v>23</v>
      </c>
      <c r="P603" t="s">
        <v>24</v>
      </c>
      <c r="Q603">
        <v>23</v>
      </c>
    </row>
    <row r="604" spans="1:17" x14ac:dyDescent="0.35">
      <c r="A604" t="s">
        <v>2389</v>
      </c>
      <c r="B604" t="str">
        <f t="shared" si="20"/>
        <v>26-35</v>
      </c>
      <c r="C604">
        <v>34</v>
      </c>
      <c r="D604" t="s">
        <v>26</v>
      </c>
      <c r="E604" t="s">
        <v>65</v>
      </c>
      <c r="F604" t="s">
        <v>18</v>
      </c>
      <c r="G604" s="1">
        <v>44585</v>
      </c>
      <c r="H604" t="s">
        <v>2390</v>
      </c>
      <c r="I604" t="s">
        <v>2391</v>
      </c>
      <c r="J604" t="s">
        <v>54</v>
      </c>
      <c r="K604">
        <v>43237.628114582098</v>
      </c>
      <c r="L604">
        <v>472</v>
      </c>
      <c r="M604" t="s">
        <v>22</v>
      </c>
      <c r="N604" s="1">
        <v>44597</v>
      </c>
      <c r="O604" t="s">
        <v>87</v>
      </c>
      <c r="P604" t="s">
        <v>34</v>
      </c>
      <c r="Q604">
        <v>12</v>
      </c>
    </row>
    <row r="605" spans="1:17" x14ac:dyDescent="0.35">
      <c r="A605" t="s">
        <v>2444</v>
      </c>
      <c r="B605" t="str">
        <f t="shared" si="20"/>
        <v>76-85</v>
      </c>
      <c r="C605">
        <v>78</v>
      </c>
      <c r="D605" t="s">
        <v>26</v>
      </c>
      <c r="E605" t="s">
        <v>17</v>
      </c>
      <c r="F605" t="s">
        <v>18</v>
      </c>
      <c r="G605" s="1">
        <v>44623</v>
      </c>
      <c r="H605" t="s">
        <v>2445</v>
      </c>
      <c r="I605" t="s">
        <v>2446</v>
      </c>
      <c r="J605" t="s">
        <v>59</v>
      </c>
      <c r="K605">
        <v>34572.735332712298</v>
      </c>
      <c r="L605">
        <v>393</v>
      </c>
      <c r="M605" t="s">
        <v>43</v>
      </c>
      <c r="N605" s="1">
        <v>44636</v>
      </c>
      <c r="O605" t="s">
        <v>44</v>
      </c>
      <c r="P605" t="s">
        <v>45</v>
      </c>
      <c r="Q605">
        <v>13</v>
      </c>
    </row>
    <row r="606" spans="1:17" x14ac:dyDescent="0.35">
      <c r="A606" t="s">
        <v>156</v>
      </c>
      <c r="B606" t="str">
        <f t="shared" si="20"/>
        <v>66-75</v>
      </c>
      <c r="C606">
        <v>72</v>
      </c>
      <c r="D606" t="s">
        <v>26</v>
      </c>
      <c r="E606" t="s">
        <v>117</v>
      </c>
      <c r="F606" t="s">
        <v>18</v>
      </c>
      <c r="G606" s="1">
        <v>44274</v>
      </c>
      <c r="H606" t="s">
        <v>157</v>
      </c>
      <c r="I606" t="s">
        <v>158</v>
      </c>
      <c r="J606" t="s">
        <v>63</v>
      </c>
      <c r="K606">
        <v>24913.552651652499</v>
      </c>
      <c r="L606">
        <v>219</v>
      </c>
      <c r="M606" t="s">
        <v>22</v>
      </c>
      <c r="N606" s="1">
        <v>44275</v>
      </c>
      <c r="O606" t="s">
        <v>44</v>
      </c>
      <c r="P606" t="s">
        <v>34</v>
      </c>
      <c r="Q606">
        <v>1</v>
      </c>
    </row>
    <row r="607" spans="1:17" x14ac:dyDescent="0.35">
      <c r="A607" t="s">
        <v>2015</v>
      </c>
      <c r="B607" t="str">
        <f t="shared" si="20"/>
        <v>76-85</v>
      </c>
      <c r="C607">
        <v>77</v>
      </c>
      <c r="D607" t="s">
        <v>26</v>
      </c>
      <c r="E607" t="s">
        <v>51</v>
      </c>
      <c r="F607" t="s">
        <v>18</v>
      </c>
      <c r="G607" s="1">
        <v>43617</v>
      </c>
      <c r="H607" t="s">
        <v>2016</v>
      </c>
      <c r="I607" t="s">
        <v>2017</v>
      </c>
      <c r="J607" t="s">
        <v>59</v>
      </c>
      <c r="K607">
        <v>38992.272171401397</v>
      </c>
      <c r="L607">
        <v>471</v>
      </c>
      <c r="M607" t="s">
        <v>22</v>
      </c>
      <c r="N607" s="1">
        <v>43631</v>
      </c>
      <c r="O607" t="s">
        <v>23</v>
      </c>
      <c r="P607" t="s">
        <v>34</v>
      </c>
      <c r="Q607">
        <v>14</v>
      </c>
    </row>
    <row r="608" spans="1:17" x14ac:dyDescent="0.35">
      <c r="A608" t="s">
        <v>1712</v>
      </c>
      <c r="B608" t="str">
        <f t="shared" si="20"/>
        <v>66-75</v>
      </c>
      <c r="C608">
        <v>67</v>
      </c>
      <c r="D608" t="s">
        <v>16</v>
      </c>
      <c r="E608" t="s">
        <v>51</v>
      </c>
      <c r="F608" t="s">
        <v>18</v>
      </c>
      <c r="G608" s="1">
        <v>43932</v>
      </c>
      <c r="H608" t="s">
        <v>1713</v>
      </c>
      <c r="I608" t="s">
        <v>1714</v>
      </c>
      <c r="J608" t="s">
        <v>63</v>
      </c>
      <c r="K608">
        <v>31263.338122602599</v>
      </c>
      <c r="L608">
        <v>359</v>
      </c>
      <c r="M608" t="s">
        <v>43</v>
      </c>
      <c r="N608" s="1">
        <v>43942</v>
      </c>
      <c r="O608" t="s">
        <v>44</v>
      </c>
      <c r="P608" t="s">
        <v>45</v>
      </c>
      <c r="Q608">
        <v>10</v>
      </c>
    </row>
    <row r="609" spans="1:17" x14ac:dyDescent="0.35">
      <c r="A609" t="s">
        <v>2512</v>
      </c>
      <c r="B609" t="str">
        <f t="shared" si="20"/>
        <v>66-75</v>
      </c>
      <c r="C609">
        <v>73</v>
      </c>
      <c r="D609" t="s">
        <v>26</v>
      </c>
      <c r="E609" t="s">
        <v>27</v>
      </c>
      <c r="F609" t="s">
        <v>18</v>
      </c>
      <c r="G609" s="1">
        <v>43520</v>
      </c>
      <c r="H609" t="s">
        <v>2513</v>
      </c>
      <c r="I609" t="s">
        <v>2514</v>
      </c>
      <c r="J609" t="s">
        <v>59</v>
      </c>
      <c r="K609">
        <v>8945.8235481350603</v>
      </c>
      <c r="L609">
        <v>146</v>
      </c>
      <c r="M609" t="s">
        <v>43</v>
      </c>
      <c r="N609" s="1">
        <v>43547</v>
      </c>
      <c r="O609" t="s">
        <v>23</v>
      </c>
      <c r="P609" t="s">
        <v>45</v>
      </c>
      <c r="Q609">
        <v>27</v>
      </c>
    </row>
    <row r="610" spans="1:17" x14ac:dyDescent="0.35">
      <c r="A610" t="s">
        <v>431</v>
      </c>
      <c r="B610" t="str">
        <f t="shared" si="20"/>
        <v>36-45</v>
      </c>
      <c r="C610">
        <v>36</v>
      </c>
      <c r="D610" t="s">
        <v>26</v>
      </c>
      <c r="E610" t="s">
        <v>17</v>
      </c>
      <c r="F610" t="s">
        <v>18</v>
      </c>
      <c r="G610" s="1">
        <v>44681</v>
      </c>
      <c r="H610" t="s">
        <v>432</v>
      </c>
      <c r="I610" t="s">
        <v>433</v>
      </c>
      <c r="J610" t="s">
        <v>59</v>
      </c>
      <c r="K610">
        <v>22862.2085047568</v>
      </c>
      <c r="L610">
        <v>215</v>
      </c>
      <c r="M610" t="s">
        <v>43</v>
      </c>
      <c r="N610" s="1">
        <v>44692</v>
      </c>
      <c r="O610" t="s">
        <v>87</v>
      </c>
      <c r="P610" t="s">
        <v>34</v>
      </c>
      <c r="Q610">
        <v>11</v>
      </c>
    </row>
    <row r="611" spans="1:17" x14ac:dyDescent="0.35">
      <c r="A611" t="s">
        <v>2453</v>
      </c>
      <c r="B611" t="str">
        <f t="shared" si="20"/>
        <v>56-65</v>
      </c>
      <c r="C611">
        <v>62</v>
      </c>
      <c r="D611" t="s">
        <v>26</v>
      </c>
      <c r="E611" t="s">
        <v>65</v>
      </c>
      <c r="F611" t="s">
        <v>18</v>
      </c>
      <c r="G611" s="1">
        <v>45136</v>
      </c>
      <c r="H611" t="s">
        <v>2454</v>
      </c>
      <c r="I611" t="s">
        <v>2455</v>
      </c>
      <c r="J611" t="s">
        <v>54</v>
      </c>
      <c r="K611">
        <v>41011.119021858598</v>
      </c>
      <c r="L611">
        <v>268</v>
      </c>
      <c r="M611" t="s">
        <v>22</v>
      </c>
      <c r="N611" s="1">
        <v>45159</v>
      </c>
      <c r="O611" t="s">
        <v>33</v>
      </c>
      <c r="P611" t="s">
        <v>24</v>
      </c>
      <c r="Q611">
        <v>23</v>
      </c>
    </row>
    <row r="612" spans="1:17" x14ac:dyDescent="0.35">
      <c r="A612" t="s">
        <v>1735</v>
      </c>
      <c r="B612" t="str">
        <f t="shared" si="20"/>
        <v>56-65</v>
      </c>
      <c r="C612">
        <v>65</v>
      </c>
      <c r="D612" t="s">
        <v>16</v>
      </c>
      <c r="E612" t="s">
        <v>117</v>
      </c>
      <c r="F612" t="s">
        <v>18</v>
      </c>
      <c r="G612" s="1">
        <v>43884</v>
      </c>
      <c r="H612" t="s">
        <v>1736</v>
      </c>
      <c r="I612" t="s">
        <v>1737</v>
      </c>
      <c r="J612" t="s">
        <v>54</v>
      </c>
      <c r="K612">
        <v>11798.2726351124</v>
      </c>
      <c r="L612">
        <v>120</v>
      </c>
      <c r="M612" t="s">
        <v>43</v>
      </c>
      <c r="N612" s="1">
        <v>43890</v>
      </c>
      <c r="O612" t="s">
        <v>33</v>
      </c>
      <c r="P612" t="s">
        <v>34</v>
      </c>
      <c r="Q612">
        <v>6</v>
      </c>
    </row>
    <row r="613" spans="1:17" x14ac:dyDescent="0.35">
      <c r="A613" t="s">
        <v>2922</v>
      </c>
      <c r="B613" t="str">
        <f t="shared" si="20"/>
        <v>26-35</v>
      </c>
      <c r="C613">
        <v>33</v>
      </c>
      <c r="D613" t="s">
        <v>16</v>
      </c>
      <c r="E613" t="s">
        <v>51</v>
      </c>
      <c r="F613" t="s">
        <v>18</v>
      </c>
      <c r="G613" s="1">
        <v>44592</v>
      </c>
      <c r="H613" t="s">
        <v>2923</v>
      </c>
      <c r="I613" t="s">
        <v>2924</v>
      </c>
      <c r="J613" t="s">
        <v>31</v>
      </c>
      <c r="K613">
        <v>3882.0701209196</v>
      </c>
      <c r="L613">
        <v>284</v>
      </c>
      <c r="M613" t="s">
        <v>22</v>
      </c>
      <c r="N613" s="1">
        <v>44594</v>
      </c>
      <c r="O613" t="s">
        <v>50</v>
      </c>
      <c r="P613" t="s">
        <v>45</v>
      </c>
      <c r="Q613">
        <v>2</v>
      </c>
    </row>
    <row r="614" spans="1:17" x14ac:dyDescent="0.35">
      <c r="A614" t="s">
        <v>727</v>
      </c>
      <c r="B614" t="str">
        <f t="shared" si="20"/>
        <v>36-45</v>
      </c>
      <c r="C614">
        <v>38</v>
      </c>
      <c r="D614" t="s">
        <v>16</v>
      </c>
      <c r="E614" t="s">
        <v>27</v>
      </c>
      <c r="F614" t="s">
        <v>18</v>
      </c>
      <c r="G614" s="1">
        <v>43409</v>
      </c>
      <c r="H614" t="s">
        <v>728</v>
      </c>
      <c r="I614" t="s">
        <v>729</v>
      </c>
      <c r="J614" t="s">
        <v>21</v>
      </c>
      <c r="K614">
        <v>44256.649307948101</v>
      </c>
      <c r="L614">
        <v>186</v>
      </c>
      <c r="M614" t="s">
        <v>43</v>
      </c>
      <c r="N614" s="1">
        <v>43422</v>
      </c>
      <c r="O614" t="s">
        <v>33</v>
      </c>
      <c r="P614" t="s">
        <v>34</v>
      </c>
      <c r="Q614">
        <v>13</v>
      </c>
    </row>
    <row r="615" spans="1:17" x14ac:dyDescent="0.35">
      <c r="A615" t="s">
        <v>219</v>
      </c>
      <c r="B615" t="str">
        <f t="shared" si="20"/>
        <v>56-65</v>
      </c>
      <c r="C615">
        <v>61</v>
      </c>
      <c r="D615" t="s">
        <v>26</v>
      </c>
      <c r="E615" t="s">
        <v>65</v>
      </c>
      <c r="F615" t="s">
        <v>18</v>
      </c>
      <c r="G615" s="1">
        <v>45022</v>
      </c>
      <c r="H615" t="s">
        <v>220</v>
      </c>
      <c r="I615" t="s">
        <v>221</v>
      </c>
      <c r="J615" t="s">
        <v>63</v>
      </c>
      <c r="K615">
        <v>14691.2500422577</v>
      </c>
      <c r="L615">
        <v>438</v>
      </c>
      <c r="M615" t="s">
        <v>22</v>
      </c>
      <c r="N615" s="1">
        <v>45038</v>
      </c>
      <c r="O615" t="s">
        <v>44</v>
      </c>
      <c r="P615" t="s">
        <v>24</v>
      </c>
      <c r="Q615">
        <v>16</v>
      </c>
    </row>
    <row r="616" spans="1:17" x14ac:dyDescent="0.35">
      <c r="A616" t="s">
        <v>2589</v>
      </c>
      <c r="B616" t="str">
        <f t="shared" si="20"/>
        <v>56-65</v>
      </c>
      <c r="C616">
        <v>60</v>
      </c>
      <c r="D616" t="s">
        <v>26</v>
      </c>
      <c r="E616" t="s">
        <v>232</v>
      </c>
      <c r="F616" t="s">
        <v>18</v>
      </c>
      <c r="G616" s="1">
        <v>44353</v>
      </c>
      <c r="H616" t="s">
        <v>2590</v>
      </c>
      <c r="I616" t="s">
        <v>2591</v>
      </c>
      <c r="J616" t="s">
        <v>54</v>
      </c>
      <c r="K616">
        <v>16817.144711016401</v>
      </c>
      <c r="L616">
        <v>228</v>
      </c>
      <c r="M616" t="s">
        <v>32</v>
      </c>
      <c r="N616" s="1">
        <v>44383</v>
      </c>
      <c r="O616" t="s">
        <v>44</v>
      </c>
      <c r="P616" t="s">
        <v>45</v>
      </c>
      <c r="Q616">
        <v>30</v>
      </c>
    </row>
    <row r="617" spans="1:17" x14ac:dyDescent="0.35">
      <c r="A617" t="s">
        <v>271</v>
      </c>
      <c r="B617" t="str">
        <f t="shared" si="20"/>
        <v>56-65</v>
      </c>
      <c r="C617">
        <v>56</v>
      </c>
      <c r="D617" t="s">
        <v>16</v>
      </c>
      <c r="E617" t="s">
        <v>36</v>
      </c>
      <c r="F617" t="s">
        <v>18</v>
      </c>
      <c r="G617" s="1">
        <v>45150</v>
      </c>
      <c r="H617" t="s">
        <v>272</v>
      </c>
      <c r="I617" t="s">
        <v>273</v>
      </c>
      <c r="J617" t="s">
        <v>59</v>
      </c>
      <c r="K617">
        <v>33925.020143291396</v>
      </c>
      <c r="L617">
        <v>115</v>
      </c>
      <c r="M617" t="s">
        <v>22</v>
      </c>
      <c r="N617" s="1">
        <v>45167</v>
      </c>
      <c r="O617" t="s">
        <v>23</v>
      </c>
      <c r="P617" t="s">
        <v>34</v>
      </c>
      <c r="Q617">
        <v>17</v>
      </c>
    </row>
    <row r="618" spans="1:17" x14ac:dyDescent="0.35">
      <c r="A618" t="s">
        <v>2925</v>
      </c>
      <c r="B618" t="str">
        <f t="shared" si="20"/>
        <v>46-55</v>
      </c>
      <c r="C618">
        <v>47</v>
      </c>
      <c r="D618" t="s">
        <v>26</v>
      </c>
      <c r="E618" t="s">
        <v>27</v>
      </c>
      <c r="F618" t="s">
        <v>18</v>
      </c>
      <c r="G618" s="1">
        <v>43897</v>
      </c>
      <c r="H618" t="s">
        <v>2926</v>
      </c>
      <c r="I618" t="s">
        <v>2927</v>
      </c>
      <c r="J618" t="s">
        <v>54</v>
      </c>
      <c r="K618">
        <v>39221.777868764701</v>
      </c>
      <c r="L618">
        <v>304</v>
      </c>
      <c r="M618" t="s">
        <v>22</v>
      </c>
      <c r="N618" s="1">
        <v>43910</v>
      </c>
      <c r="O618" t="s">
        <v>44</v>
      </c>
      <c r="P618" t="s">
        <v>45</v>
      </c>
      <c r="Q618">
        <v>13</v>
      </c>
    </row>
    <row r="619" spans="1:17" x14ac:dyDescent="0.35">
      <c r="A619" t="s">
        <v>560</v>
      </c>
      <c r="B619" t="str">
        <f t="shared" si="20"/>
        <v>18-25</v>
      </c>
      <c r="C619">
        <v>23</v>
      </c>
      <c r="D619" t="s">
        <v>16</v>
      </c>
      <c r="E619" t="s">
        <v>27</v>
      </c>
      <c r="F619" t="s">
        <v>18</v>
      </c>
      <c r="G619" s="1">
        <v>44169</v>
      </c>
      <c r="H619" t="s">
        <v>561</v>
      </c>
      <c r="I619" t="s">
        <v>562</v>
      </c>
      <c r="J619" t="s">
        <v>59</v>
      </c>
      <c r="K619">
        <v>47034.494024767497</v>
      </c>
      <c r="L619">
        <v>499</v>
      </c>
      <c r="M619" t="s">
        <v>32</v>
      </c>
      <c r="N619" s="1">
        <v>44177</v>
      </c>
      <c r="O619" t="s">
        <v>50</v>
      </c>
      <c r="P619" t="s">
        <v>34</v>
      </c>
      <c r="Q619">
        <v>8</v>
      </c>
    </row>
    <row r="620" spans="1:17" x14ac:dyDescent="0.35">
      <c r="A620" t="s">
        <v>1328</v>
      </c>
      <c r="B620" t="str">
        <f t="shared" si="20"/>
        <v>36-45</v>
      </c>
      <c r="C620">
        <v>39</v>
      </c>
      <c r="D620" t="s">
        <v>16</v>
      </c>
      <c r="E620" t="s">
        <v>232</v>
      </c>
      <c r="F620" t="s">
        <v>18</v>
      </c>
      <c r="G620" s="1">
        <v>45173</v>
      </c>
      <c r="H620" t="s">
        <v>1329</v>
      </c>
      <c r="I620" t="s">
        <v>1330</v>
      </c>
      <c r="J620" t="s">
        <v>59</v>
      </c>
      <c r="K620">
        <v>22314.3939445703</v>
      </c>
      <c r="L620">
        <v>386</v>
      </c>
      <c r="M620" t="s">
        <v>22</v>
      </c>
      <c r="N620" s="1">
        <v>45186</v>
      </c>
      <c r="O620" t="s">
        <v>50</v>
      </c>
      <c r="P620" t="s">
        <v>45</v>
      </c>
      <c r="Q620">
        <v>13</v>
      </c>
    </row>
    <row r="621" spans="1:17" x14ac:dyDescent="0.35">
      <c r="A621" t="s">
        <v>1978</v>
      </c>
      <c r="B621" t="str">
        <f t="shared" si="20"/>
        <v>26-35</v>
      </c>
      <c r="C621">
        <v>29</v>
      </c>
      <c r="D621" t="s">
        <v>16</v>
      </c>
      <c r="E621" t="s">
        <v>36</v>
      </c>
      <c r="F621" t="s">
        <v>18</v>
      </c>
      <c r="G621" s="1">
        <v>44592</v>
      </c>
      <c r="H621" t="s">
        <v>1979</v>
      </c>
      <c r="I621" t="s">
        <v>1190</v>
      </c>
      <c r="J621" t="s">
        <v>54</v>
      </c>
      <c r="K621">
        <v>13906.8694714536</v>
      </c>
      <c r="L621">
        <v>254</v>
      </c>
      <c r="M621" t="s">
        <v>43</v>
      </c>
      <c r="N621" s="1">
        <v>44613</v>
      </c>
      <c r="O621" t="s">
        <v>44</v>
      </c>
      <c r="P621" t="s">
        <v>45</v>
      </c>
      <c r="Q621">
        <v>21</v>
      </c>
    </row>
    <row r="622" spans="1:17" x14ac:dyDescent="0.35">
      <c r="A622" t="s">
        <v>1081</v>
      </c>
      <c r="B622" t="str">
        <f t="shared" si="20"/>
        <v>26-35</v>
      </c>
      <c r="C622">
        <v>29</v>
      </c>
      <c r="D622" t="s">
        <v>16</v>
      </c>
      <c r="E622" t="s">
        <v>51</v>
      </c>
      <c r="F622" t="s">
        <v>18</v>
      </c>
      <c r="G622" s="1">
        <v>44525</v>
      </c>
      <c r="H622" t="s">
        <v>1082</v>
      </c>
      <c r="I622" t="s">
        <v>1083</v>
      </c>
      <c r="J622" t="s">
        <v>54</v>
      </c>
      <c r="K622">
        <v>31303.647868426298</v>
      </c>
      <c r="L622">
        <v>116</v>
      </c>
      <c r="M622" t="s">
        <v>22</v>
      </c>
      <c r="N622" s="1">
        <v>44554</v>
      </c>
      <c r="O622" t="s">
        <v>23</v>
      </c>
      <c r="P622" t="s">
        <v>45</v>
      </c>
      <c r="Q622">
        <v>29</v>
      </c>
    </row>
    <row r="623" spans="1:17" x14ac:dyDescent="0.35">
      <c r="A623" t="s">
        <v>2223</v>
      </c>
      <c r="B623" t="str">
        <f t="shared" si="20"/>
        <v>76-85</v>
      </c>
      <c r="C623">
        <v>79</v>
      </c>
      <c r="D623" t="s">
        <v>26</v>
      </c>
      <c r="E623" t="s">
        <v>232</v>
      </c>
      <c r="F623" t="s">
        <v>18</v>
      </c>
      <c r="G623" s="1">
        <v>44992</v>
      </c>
      <c r="H623" t="s">
        <v>713</v>
      </c>
      <c r="I623" t="s">
        <v>2224</v>
      </c>
      <c r="J623" t="s">
        <v>31</v>
      </c>
      <c r="K623">
        <v>33335.1130679091</v>
      </c>
      <c r="L623">
        <v>341</v>
      </c>
      <c r="M623" t="s">
        <v>32</v>
      </c>
      <c r="N623" s="1">
        <v>45011</v>
      </c>
      <c r="O623" t="s">
        <v>23</v>
      </c>
      <c r="P623" t="s">
        <v>24</v>
      </c>
      <c r="Q623">
        <v>19</v>
      </c>
    </row>
    <row r="624" spans="1:17" x14ac:dyDescent="0.35">
      <c r="A624" t="s">
        <v>91</v>
      </c>
      <c r="B624" t="str">
        <f t="shared" si="20"/>
        <v>56-65</v>
      </c>
      <c r="C624">
        <v>64</v>
      </c>
      <c r="D624" t="s">
        <v>26</v>
      </c>
      <c r="E624" t="s">
        <v>92</v>
      </c>
      <c r="F624" t="s">
        <v>18</v>
      </c>
      <c r="G624" s="1">
        <v>43784</v>
      </c>
      <c r="H624" t="s">
        <v>93</v>
      </c>
      <c r="I624" t="s">
        <v>94</v>
      </c>
      <c r="J624" t="s">
        <v>54</v>
      </c>
      <c r="K624">
        <v>17394.994264453198</v>
      </c>
      <c r="L624">
        <v>315</v>
      </c>
      <c r="M624" t="s">
        <v>22</v>
      </c>
      <c r="N624" s="1">
        <v>43803</v>
      </c>
      <c r="O624" t="s">
        <v>23</v>
      </c>
      <c r="P624" t="s">
        <v>24</v>
      </c>
      <c r="Q624">
        <v>19</v>
      </c>
    </row>
    <row r="625" spans="1:17" x14ac:dyDescent="0.35">
      <c r="A625" t="s">
        <v>1483</v>
      </c>
      <c r="B625" t="str">
        <f t="shared" si="20"/>
        <v>26-35</v>
      </c>
      <c r="C625">
        <v>35</v>
      </c>
      <c r="D625" t="s">
        <v>16</v>
      </c>
      <c r="E625" t="s">
        <v>36</v>
      </c>
      <c r="F625" t="s">
        <v>18</v>
      </c>
      <c r="G625" s="1">
        <v>43429</v>
      </c>
      <c r="H625" t="s">
        <v>1484</v>
      </c>
      <c r="I625" t="s">
        <v>1485</v>
      </c>
      <c r="J625" t="s">
        <v>54</v>
      </c>
      <c r="K625">
        <v>2095.1559258625798</v>
      </c>
      <c r="L625">
        <v>433</v>
      </c>
      <c r="M625" t="s">
        <v>22</v>
      </c>
      <c r="N625" s="1">
        <v>43452</v>
      </c>
      <c r="O625" t="s">
        <v>33</v>
      </c>
      <c r="P625" t="s">
        <v>45</v>
      </c>
      <c r="Q625">
        <v>23</v>
      </c>
    </row>
    <row r="626" spans="1:17" x14ac:dyDescent="0.35">
      <c r="A626" t="s">
        <v>2358</v>
      </c>
      <c r="B626" t="str">
        <f t="shared" si="20"/>
        <v>18-25</v>
      </c>
      <c r="C626">
        <v>21</v>
      </c>
      <c r="D626" t="s">
        <v>16</v>
      </c>
      <c r="E626" t="s">
        <v>17</v>
      </c>
      <c r="F626" t="s">
        <v>18</v>
      </c>
      <c r="G626" s="1">
        <v>44159</v>
      </c>
      <c r="H626" t="s">
        <v>2359</v>
      </c>
      <c r="I626" t="s">
        <v>2360</v>
      </c>
      <c r="J626" t="s">
        <v>54</v>
      </c>
      <c r="K626">
        <v>47704.581793904799</v>
      </c>
      <c r="L626">
        <v>296</v>
      </c>
      <c r="M626" t="s">
        <v>43</v>
      </c>
      <c r="N626" s="1">
        <v>44164</v>
      </c>
      <c r="O626" t="s">
        <v>50</v>
      </c>
      <c r="P626" t="s">
        <v>24</v>
      </c>
      <c r="Q626">
        <v>5</v>
      </c>
    </row>
    <row r="627" spans="1:17" x14ac:dyDescent="0.35">
      <c r="A627" t="s">
        <v>2706</v>
      </c>
      <c r="B627" t="str">
        <f t="shared" si="20"/>
        <v>46-55</v>
      </c>
      <c r="C627">
        <v>54</v>
      </c>
      <c r="D627" t="s">
        <v>26</v>
      </c>
      <c r="E627" t="s">
        <v>117</v>
      </c>
      <c r="F627" t="s">
        <v>18</v>
      </c>
      <c r="G627" s="1">
        <v>43813</v>
      </c>
      <c r="H627" t="s">
        <v>2707</v>
      </c>
      <c r="I627" t="s">
        <v>2708</v>
      </c>
      <c r="J627" t="s">
        <v>21</v>
      </c>
      <c r="K627">
        <v>47813.995206288702</v>
      </c>
      <c r="L627">
        <v>382</v>
      </c>
      <c r="M627" t="s">
        <v>22</v>
      </c>
      <c r="N627" s="1">
        <v>43828</v>
      </c>
      <c r="O627" t="s">
        <v>50</v>
      </c>
      <c r="P627" t="s">
        <v>24</v>
      </c>
      <c r="Q627">
        <v>15</v>
      </c>
    </row>
    <row r="628" spans="1:17" x14ac:dyDescent="0.35">
      <c r="A628" t="s">
        <v>1346</v>
      </c>
      <c r="B628" t="str">
        <f t="shared" si="20"/>
        <v>46-55</v>
      </c>
      <c r="C628">
        <v>55</v>
      </c>
      <c r="D628" t="s">
        <v>26</v>
      </c>
      <c r="E628" t="s">
        <v>92</v>
      </c>
      <c r="F628" t="s">
        <v>18</v>
      </c>
      <c r="G628" s="1">
        <v>44048</v>
      </c>
      <c r="H628" t="s">
        <v>1347</v>
      </c>
      <c r="I628" t="s">
        <v>1348</v>
      </c>
      <c r="J628" t="s">
        <v>63</v>
      </c>
      <c r="K628">
        <v>24371.732446723701</v>
      </c>
      <c r="L628">
        <v>234</v>
      </c>
      <c r="M628" t="s">
        <v>32</v>
      </c>
      <c r="N628" s="1">
        <v>44056</v>
      </c>
      <c r="O628" t="s">
        <v>50</v>
      </c>
      <c r="P628" t="s">
        <v>34</v>
      </c>
      <c r="Q628">
        <v>8</v>
      </c>
    </row>
    <row r="629" spans="1:17" x14ac:dyDescent="0.35">
      <c r="A629" t="s">
        <v>1411</v>
      </c>
      <c r="B629" t="str">
        <f t="shared" si="20"/>
        <v>56-65</v>
      </c>
      <c r="C629">
        <v>59</v>
      </c>
      <c r="D629" t="s">
        <v>16</v>
      </c>
      <c r="E629" t="s">
        <v>36</v>
      </c>
      <c r="F629" t="s">
        <v>18</v>
      </c>
      <c r="G629" s="1">
        <v>44644</v>
      </c>
      <c r="H629" t="s">
        <v>1412</v>
      </c>
      <c r="I629" t="s">
        <v>1413</v>
      </c>
      <c r="J629" t="s">
        <v>63</v>
      </c>
      <c r="K629">
        <v>11837.391382902901</v>
      </c>
      <c r="L629">
        <v>439</v>
      </c>
      <c r="M629" t="s">
        <v>32</v>
      </c>
      <c r="N629" s="1">
        <v>44664</v>
      </c>
      <c r="O629" t="s">
        <v>23</v>
      </c>
      <c r="P629" t="s">
        <v>24</v>
      </c>
      <c r="Q629">
        <v>20</v>
      </c>
    </row>
    <row r="630" spans="1:17" x14ac:dyDescent="0.35">
      <c r="A630" t="s">
        <v>1656</v>
      </c>
      <c r="B630" t="str">
        <f t="shared" si="20"/>
        <v>76-85</v>
      </c>
      <c r="C630">
        <v>78</v>
      </c>
      <c r="D630" t="s">
        <v>16</v>
      </c>
      <c r="E630" t="s">
        <v>51</v>
      </c>
      <c r="F630" t="s">
        <v>18</v>
      </c>
      <c r="G630" s="1">
        <v>44245</v>
      </c>
      <c r="H630" t="s">
        <v>1657</v>
      </c>
      <c r="I630" t="s">
        <v>1658</v>
      </c>
      <c r="J630" t="s">
        <v>31</v>
      </c>
      <c r="K630">
        <v>26673.328841946299</v>
      </c>
      <c r="L630">
        <v>151</v>
      </c>
      <c r="M630" t="s">
        <v>22</v>
      </c>
      <c r="N630" s="1">
        <v>44252</v>
      </c>
      <c r="O630" t="s">
        <v>44</v>
      </c>
      <c r="P630" t="s">
        <v>45</v>
      </c>
      <c r="Q630">
        <v>7</v>
      </c>
    </row>
    <row r="631" spans="1:17" x14ac:dyDescent="0.35">
      <c r="A631" t="s">
        <v>2081</v>
      </c>
      <c r="B631" t="str">
        <f t="shared" si="20"/>
        <v>46-55</v>
      </c>
      <c r="C631">
        <v>52</v>
      </c>
      <c r="D631" t="s">
        <v>26</v>
      </c>
      <c r="E631" t="s">
        <v>92</v>
      </c>
      <c r="F631" t="s">
        <v>18</v>
      </c>
      <c r="G631" s="1">
        <v>44831</v>
      </c>
      <c r="H631" t="s">
        <v>2082</v>
      </c>
      <c r="I631" t="s">
        <v>288</v>
      </c>
      <c r="J631" t="s">
        <v>54</v>
      </c>
      <c r="K631">
        <v>26553.981812972201</v>
      </c>
      <c r="L631">
        <v>268</v>
      </c>
      <c r="M631" t="s">
        <v>22</v>
      </c>
      <c r="N631" s="1">
        <v>44861</v>
      </c>
      <c r="O631" t="s">
        <v>50</v>
      </c>
      <c r="P631" t="s">
        <v>45</v>
      </c>
      <c r="Q631">
        <v>30</v>
      </c>
    </row>
    <row r="632" spans="1:17" x14ac:dyDescent="0.35">
      <c r="A632" t="s">
        <v>1196</v>
      </c>
      <c r="B632" t="str">
        <f t="shared" si="20"/>
        <v>76-85</v>
      </c>
      <c r="C632">
        <v>79</v>
      </c>
      <c r="D632" t="s">
        <v>26</v>
      </c>
      <c r="E632" t="s">
        <v>36</v>
      </c>
      <c r="F632" t="s">
        <v>18</v>
      </c>
      <c r="G632" s="1">
        <v>44285</v>
      </c>
      <c r="H632" t="s">
        <v>1197</v>
      </c>
      <c r="I632" t="s">
        <v>1198</v>
      </c>
      <c r="J632" t="s">
        <v>63</v>
      </c>
      <c r="K632">
        <v>2485.6164321579599</v>
      </c>
      <c r="L632">
        <v>145</v>
      </c>
      <c r="M632" t="s">
        <v>32</v>
      </c>
      <c r="N632" s="1">
        <v>44303</v>
      </c>
      <c r="O632" t="s">
        <v>50</v>
      </c>
      <c r="P632" t="s">
        <v>34</v>
      </c>
      <c r="Q632">
        <v>18</v>
      </c>
    </row>
    <row r="633" spans="1:17" x14ac:dyDescent="0.35">
      <c r="A633" t="s">
        <v>64</v>
      </c>
      <c r="B633" t="str">
        <f t="shared" si="20"/>
        <v>26-35</v>
      </c>
      <c r="C633">
        <v>33</v>
      </c>
      <c r="D633" t="s">
        <v>26</v>
      </c>
      <c r="E633" t="s">
        <v>65</v>
      </c>
      <c r="F633" t="s">
        <v>18</v>
      </c>
      <c r="G633" s="1">
        <v>44182</v>
      </c>
      <c r="H633" t="s">
        <v>66</v>
      </c>
      <c r="I633" t="s">
        <v>67</v>
      </c>
      <c r="J633" t="s">
        <v>54</v>
      </c>
      <c r="K633">
        <v>24903.037269738601</v>
      </c>
      <c r="L633">
        <v>215</v>
      </c>
      <c r="M633" t="s">
        <v>22</v>
      </c>
      <c r="N633" s="1">
        <v>44187</v>
      </c>
      <c r="O633" t="s">
        <v>23</v>
      </c>
      <c r="P633" t="s">
        <v>45</v>
      </c>
      <c r="Q633">
        <v>5</v>
      </c>
    </row>
    <row r="634" spans="1:17" x14ac:dyDescent="0.35">
      <c r="A634" t="s">
        <v>2809</v>
      </c>
      <c r="B634" t="str">
        <f t="shared" si="20"/>
        <v>46-55</v>
      </c>
      <c r="C634">
        <v>53</v>
      </c>
      <c r="D634" t="s">
        <v>26</v>
      </c>
      <c r="E634" t="s">
        <v>117</v>
      </c>
      <c r="F634" t="s">
        <v>18</v>
      </c>
      <c r="G634" s="1">
        <v>44860</v>
      </c>
      <c r="H634" t="s">
        <v>2810</v>
      </c>
      <c r="I634" t="s">
        <v>2811</v>
      </c>
      <c r="J634" t="s">
        <v>31</v>
      </c>
      <c r="K634">
        <v>47776.286882583197</v>
      </c>
      <c r="L634">
        <v>247</v>
      </c>
      <c r="M634" t="s">
        <v>32</v>
      </c>
      <c r="N634" s="1">
        <v>44871</v>
      </c>
      <c r="O634" t="s">
        <v>23</v>
      </c>
      <c r="P634" t="s">
        <v>34</v>
      </c>
      <c r="Q634">
        <v>11</v>
      </c>
    </row>
    <row r="635" spans="1:17" x14ac:dyDescent="0.35">
      <c r="A635" t="s">
        <v>2220</v>
      </c>
      <c r="B635" t="str">
        <f t="shared" si="20"/>
        <v>76-85</v>
      </c>
      <c r="C635">
        <v>82</v>
      </c>
      <c r="D635" t="s">
        <v>26</v>
      </c>
      <c r="E635" t="s">
        <v>232</v>
      </c>
      <c r="F635" t="s">
        <v>18</v>
      </c>
      <c r="G635" s="1">
        <v>44478</v>
      </c>
      <c r="H635" t="s">
        <v>2221</v>
      </c>
      <c r="I635" t="s">
        <v>2222</v>
      </c>
      <c r="J635" t="s">
        <v>63</v>
      </c>
      <c r="K635">
        <v>21078.4949198867</v>
      </c>
      <c r="L635">
        <v>154</v>
      </c>
      <c r="M635" t="s">
        <v>22</v>
      </c>
      <c r="N635" s="1">
        <v>44508</v>
      </c>
      <c r="O635" t="s">
        <v>23</v>
      </c>
      <c r="P635" t="s">
        <v>45</v>
      </c>
      <c r="Q635">
        <v>30</v>
      </c>
    </row>
    <row r="636" spans="1:17" x14ac:dyDescent="0.35">
      <c r="A636" t="s">
        <v>1274</v>
      </c>
      <c r="B636" t="str">
        <f t="shared" si="20"/>
        <v>26-35</v>
      </c>
      <c r="C636">
        <v>34</v>
      </c>
      <c r="D636" t="s">
        <v>16</v>
      </c>
      <c r="E636" t="s">
        <v>117</v>
      </c>
      <c r="F636" t="s">
        <v>18</v>
      </c>
      <c r="G636" s="1">
        <v>43531</v>
      </c>
      <c r="H636" t="s">
        <v>1275</v>
      </c>
      <c r="I636" t="s">
        <v>1276</v>
      </c>
      <c r="J636" t="s">
        <v>63</v>
      </c>
      <c r="K636">
        <v>39757.648726368701</v>
      </c>
      <c r="L636">
        <v>330</v>
      </c>
      <c r="M636" t="s">
        <v>22</v>
      </c>
      <c r="N636" s="1">
        <v>43544</v>
      </c>
      <c r="O636" t="s">
        <v>33</v>
      </c>
      <c r="P636" t="s">
        <v>34</v>
      </c>
      <c r="Q636">
        <v>13</v>
      </c>
    </row>
    <row r="637" spans="1:17" x14ac:dyDescent="0.35">
      <c r="A637" t="s">
        <v>351</v>
      </c>
      <c r="B637" t="str">
        <f t="shared" si="20"/>
        <v>36-45</v>
      </c>
      <c r="C637">
        <v>41</v>
      </c>
      <c r="D637" t="s">
        <v>26</v>
      </c>
      <c r="E637" t="s">
        <v>27</v>
      </c>
      <c r="F637" t="s">
        <v>18</v>
      </c>
      <c r="G637" s="1">
        <v>44865</v>
      </c>
      <c r="H637" t="s">
        <v>352</v>
      </c>
      <c r="I637" t="s">
        <v>353</v>
      </c>
      <c r="J637" t="s">
        <v>21</v>
      </c>
      <c r="K637">
        <v>18161.7519776521</v>
      </c>
      <c r="L637">
        <v>309</v>
      </c>
      <c r="M637" t="s">
        <v>32</v>
      </c>
      <c r="N637" s="1">
        <v>44894</v>
      </c>
      <c r="O637" t="s">
        <v>44</v>
      </c>
      <c r="P637" t="s">
        <v>24</v>
      </c>
      <c r="Q637">
        <v>29</v>
      </c>
    </row>
    <row r="638" spans="1:17" x14ac:dyDescent="0.35">
      <c r="A638" t="s">
        <v>1322</v>
      </c>
      <c r="B638" t="str">
        <f t="shared" si="20"/>
        <v>46-55</v>
      </c>
      <c r="C638">
        <v>52</v>
      </c>
      <c r="D638" t="s">
        <v>16</v>
      </c>
      <c r="E638" t="s">
        <v>36</v>
      </c>
      <c r="F638" t="s">
        <v>18</v>
      </c>
      <c r="G638" s="1">
        <v>44665</v>
      </c>
      <c r="H638" t="s">
        <v>1323</v>
      </c>
      <c r="I638" t="s">
        <v>1324</v>
      </c>
      <c r="J638" t="s">
        <v>21</v>
      </c>
      <c r="K638">
        <v>23888.3566790236</v>
      </c>
      <c r="L638">
        <v>336</v>
      </c>
      <c r="M638" t="s">
        <v>43</v>
      </c>
      <c r="N638" s="1">
        <v>44670</v>
      </c>
      <c r="O638" t="s">
        <v>23</v>
      </c>
      <c r="P638" t="s">
        <v>45</v>
      </c>
      <c r="Q638">
        <v>5</v>
      </c>
    </row>
    <row r="639" spans="1:17" x14ac:dyDescent="0.35">
      <c r="A639" t="s">
        <v>461</v>
      </c>
      <c r="B639" t="str">
        <f t="shared" si="20"/>
        <v>76-85</v>
      </c>
      <c r="C639">
        <v>85</v>
      </c>
      <c r="D639" t="s">
        <v>16</v>
      </c>
      <c r="E639" t="s">
        <v>92</v>
      </c>
      <c r="F639" t="s">
        <v>18</v>
      </c>
      <c r="G639" s="1">
        <v>45157</v>
      </c>
      <c r="H639" t="s">
        <v>462</v>
      </c>
      <c r="I639" t="s">
        <v>463</v>
      </c>
      <c r="J639" t="s">
        <v>21</v>
      </c>
      <c r="K639">
        <v>10591.269644030701</v>
      </c>
      <c r="L639">
        <v>115</v>
      </c>
      <c r="M639" t="s">
        <v>32</v>
      </c>
      <c r="N639" s="1">
        <v>45165</v>
      </c>
      <c r="O639" t="s">
        <v>44</v>
      </c>
      <c r="P639" t="s">
        <v>24</v>
      </c>
      <c r="Q639">
        <v>8</v>
      </c>
    </row>
    <row r="640" spans="1:17" x14ac:dyDescent="0.35">
      <c r="A640" t="s">
        <v>1361</v>
      </c>
      <c r="B640" t="str">
        <f t="shared" si="20"/>
        <v>46-55</v>
      </c>
      <c r="C640">
        <v>50</v>
      </c>
      <c r="D640" t="s">
        <v>26</v>
      </c>
      <c r="E640" t="s">
        <v>232</v>
      </c>
      <c r="F640" t="s">
        <v>18</v>
      </c>
      <c r="G640" s="1">
        <v>44003</v>
      </c>
      <c r="H640" t="s">
        <v>1362</v>
      </c>
      <c r="I640" t="s">
        <v>1363</v>
      </c>
      <c r="J640" t="s">
        <v>31</v>
      </c>
      <c r="K640">
        <v>13137.632496612699</v>
      </c>
      <c r="L640">
        <v>145</v>
      </c>
      <c r="M640" t="s">
        <v>43</v>
      </c>
      <c r="N640" s="1">
        <v>44032</v>
      </c>
      <c r="O640" t="s">
        <v>23</v>
      </c>
      <c r="P640" t="s">
        <v>45</v>
      </c>
      <c r="Q640">
        <v>29</v>
      </c>
    </row>
    <row r="641" spans="1:17" x14ac:dyDescent="0.35">
      <c r="A641" t="s">
        <v>625</v>
      </c>
      <c r="B641" t="str">
        <f t="shared" si="20"/>
        <v>36-45</v>
      </c>
      <c r="C641">
        <v>42</v>
      </c>
      <c r="D641" t="s">
        <v>16</v>
      </c>
      <c r="E641" t="s">
        <v>232</v>
      </c>
      <c r="F641" t="s">
        <v>18</v>
      </c>
      <c r="G641" s="1">
        <v>44616</v>
      </c>
      <c r="H641" t="s">
        <v>626</v>
      </c>
      <c r="I641" t="s">
        <v>627</v>
      </c>
      <c r="J641" t="s">
        <v>63</v>
      </c>
      <c r="K641">
        <v>28710.513951077999</v>
      </c>
      <c r="L641">
        <v>134</v>
      </c>
      <c r="M641" t="s">
        <v>22</v>
      </c>
      <c r="N641" s="1">
        <v>44618</v>
      </c>
      <c r="O641" t="s">
        <v>50</v>
      </c>
      <c r="P641" t="s">
        <v>45</v>
      </c>
      <c r="Q641">
        <v>2</v>
      </c>
    </row>
    <row r="642" spans="1:17" x14ac:dyDescent="0.35">
      <c r="A642" t="s">
        <v>2178</v>
      </c>
      <c r="B642" t="str">
        <f t="shared" si="20"/>
        <v>46-55</v>
      </c>
      <c r="C642">
        <v>50</v>
      </c>
      <c r="D642" t="s">
        <v>16</v>
      </c>
      <c r="E642" t="s">
        <v>92</v>
      </c>
      <c r="F642" t="s">
        <v>18</v>
      </c>
      <c r="G642" s="1">
        <v>44261</v>
      </c>
      <c r="H642" t="s">
        <v>2179</v>
      </c>
      <c r="I642" t="s">
        <v>2180</v>
      </c>
      <c r="J642" t="s">
        <v>54</v>
      </c>
      <c r="K642">
        <v>8596.5544156842207</v>
      </c>
      <c r="L642">
        <v>498</v>
      </c>
      <c r="M642" t="s">
        <v>32</v>
      </c>
      <c r="N642" s="1">
        <v>44286</v>
      </c>
      <c r="O642" t="s">
        <v>44</v>
      </c>
      <c r="P642" t="s">
        <v>24</v>
      </c>
      <c r="Q642">
        <v>25</v>
      </c>
    </row>
    <row r="643" spans="1:17" x14ac:dyDescent="0.35">
      <c r="A643" t="s">
        <v>1931</v>
      </c>
      <c r="B643" t="str">
        <f t="shared" si="20"/>
        <v>46-55</v>
      </c>
      <c r="C643">
        <v>46</v>
      </c>
      <c r="D643" t="s">
        <v>16</v>
      </c>
      <c r="E643" t="s">
        <v>36</v>
      </c>
      <c r="F643" t="s">
        <v>18</v>
      </c>
      <c r="G643" s="1">
        <v>44353</v>
      </c>
      <c r="H643" t="s">
        <v>1932</v>
      </c>
      <c r="I643" t="s">
        <v>1933</v>
      </c>
      <c r="J643" t="s">
        <v>63</v>
      </c>
      <c r="K643">
        <v>7277.3983593862704</v>
      </c>
      <c r="L643">
        <v>450</v>
      </c>
      <c r="M643" t="s">
        <v>32</v>
      </c>
      <c r="N643" s="1">
        <v>44371</v>
      </c>
      <c r="O643" t="s">
        <v>44</v>
      </c>
      <c r="P643" t="s">
        <v>45</v>
      </c>
      <c r="Q643">
        <v>18</v>
      </c>
    </row>
    <row r="644" spans="1:17" x14ac:dyDescent="0.35">
      <c r="A644" t="s">
        <v>2344</v>
      </c>
      <c r="B644" t="str">
        <f t="shared" si="20"/>
        <v>46-55</v>
      </c>
      <c r="C644">
        <v>48</v>
      </c>
      <c r="D644" t="s">
        <v>26</v>
      </c>
      <c r="E644" t="s">
        <v>27</v>
      </c>
      <c r="F644" t="s">
        <v>18</v>
      </c>
      <c r="G644" s="1">
        <v>44566</v>
      </c>
      <c r="H644" t="s">
        <v>2361</v>
      </c>
      <c r="I644" t="s">
        <v>2362</v>
      </c>
      <c r="J644" t="s">
        <v>63</v>
      </c>
      <c r="K644">
        <v>48627.347605697702</v>
      </c>
      <c r="L644">
        <v>300</v>
      </c>
      <c r="M644" t="s">
        <v>43</v>
      </c>
      <c r="N644" s="1">
        <v>44571</v>
      </c>
      <c r="O644" t="s">
        <v>87</v>
      </c>
      <c r="P644" t="s">
        <v>34</v>
      </c>
      <c r="Q644">
        <v>5</v>
      </c>
    </row>
    <row r="645" spans="1:17" x14ac:dyDescent="0.35">
      <c r="A645" t="s">
        <v>2344</v>
      </c>
      <c r="B645" t="str">
        <f t="shared" si="20"/>
        <v>46-55</v>
      </c>
      <c r="C645">
        <v>48</v>
      </c>
      <c r="D645" t="s">
        <v>16</v>
      </c>
      <c r="E645" t="s">
        <v>92</v>
      </c>
      <c r="F645" t="s">
        <v>18</v>
      </c>
      <c r="G645" s="1">
        <v>45029</v>
      </c>
      <c r="H645" t="s">
        <v>2345</v>
      </c>
      <c r="I645" t="s">
        <v>2346</v>
      </c>
      <c r="J645" t="s">
        <v>31</v>
      </c>
      <c r="K645">
        <v>37722.509427610697</v>
      </c>
      <c r="L645">
        <v>257</v>
      </c>
      <c r="M645" t="s">
        <v>32</v>
      </c>
      <c r="N645" s="1">
        <v>45052</v>
      </c>
      <c r="O645" t="s">
        <v>87</v>
      </c>
      <c r="P645" t="s">
        <v>45</v>
      </c>
      <c r="Q645">
        <v>23</v>
      </c>
    </row>
    <row r="646" spans="1:17" x14ac:dyDescent="0.35">
      <c r="A646" t="s">
        <v>2604</v>
      </c>
      <c r="B646" t="str">
        <f t="shared" si="20"/>
        <v>36-45</v>
      </c>
      <c r="C646">
        <v>38</v>
      </c>
      <c r="D646" t="s">
        <v>16</v>
      </c>
      <c r="E646" t="s">
        <v>65</v>
      </c>
      <c r="F646" t="s">
        <v>18</v>
      </c>
      <c r="G646" s="1">
        <v>44658</v>
      </c>
      <c r="H646" t="s">
        <v>2605</v>
      </c>
      <c r="I646" t="s">
        <v>2606</v>
      </c>
      <c r="J646" t="s">
        <v>63</v>
      </c>
      <c r="K646">
        <v>42041.612745959399</v>
      </c>
      <c r="L646">
        <v>455</v>
      </c>
      <c r="M646" t="s">
        <v>43</v>
      </c>
      <c r="N646" s="1">
        <v>44665</v>
      </c>
      <c r="O646" t="s">
        <v>44</v>
      </c>
      <c r="P646" t="s">
        <v>34</v>
      </c>
      <c r="Q646">
        <v>7</v>
      </c>
    </row>
    <row r="647" spans="1:17" x14ac:dyDescent="0.35">
      <c r="A647" t="s">
        <v>1576</v>
      </c>
      <c r="B647" t="str">
        <f t="shared" si="20"/>
        <v>36-45</v>
      </c>
      <c r="C647">
        <v>43</v>
      </c>
      <c r="D647" t="s">
        <v>26</v>
      </c>
      <c r="E647" t="s">
        <v>92</v>
      </c>
      <c r="F647" t="s">
        <v>18</v>
      </c>
      <c r="G647" s="1">
        <v>44691</v>
      </c>
      <c r="H647" t="s">
        <v>1577</v>
      </c>
      <c r="I647" t="s">
        <v>1578</v>
      </c>
      <c r="J647" t="s">
        <v>21</v>
      </c>
      <c r="K647">
        <v>24406.045621389701</v>
      </c>
      <c r="L647">
        <v>417</v>
      </c>
      <c r="M647" t="s">
        <v>32</v>
      </c>
      <c r="N647" s="1">
        <v>44708</v>
      </c>
      <c r="O647" t="s">
        <v>50</v>
      </c>
      <c r="P647" t="s">
        <v>45</v>
      </c>
      <c r="Q647">
        <v>17</v>
      </c>
    </row>
    <row r="648" spans="1:17" x14ac:dyDescent="0.35">
      <c r="A648" t="s">
        <v>386</v>
      </c>
      <c r="B648" t="str">
        <f t="shared" si="20"/>
        <v>56-65</v>
      </c>
      <c r="C648">
        <v>59</v>
      </c>
      <c r="D648" t="s">
        <v>26</v>
      </c>
      <c r="E648" t="s">
        <v>27</v>
      </c>
      <c r="F648" t="s">
        <v>18</v>
      </c>
      <c r="G648" s="1">
        <v>43898</v>
      </c>
      <c r="H648" t="s">
        <v>387</v>
      </c>
      <c r="I648" t="s">
        <v>388</v>
      </c>
      <c r="J648" t="s">
        <v>63</v>
      </c>
      <c r="K648">
        <v>22139.971997018201</v>
      </c>
      <c r="L648">
        <v>247</v>
      </c>
      <c r="M648" t="s">
        <v>22</v>
      </c>
      <c r="N648" s="1">
        <v>43927</v>
      </c>
      <c r="O648" t="s">
        <v>50</v>
      </c>
      <c r="P648" t="s">
        <v>34</v>
      </c>
      <c r="Q648">
        <v>29</v>
      </c>
    </row>
    <row r="649" spans="1:17" x14ac:dyDescent="0.35">
      <c r="A649" t="s">
        <v>2676</v>
      </c>
      <c r="B649" t="str">
        <f t="shared" si="20"/>
        <v>36-45</v>
      </c>
      <c r="C649">
        <v>38</v>
      </c>
      <c r="D649" t="s">
        <v>26</v>
      </c>
      <c r="E649" t="s">
        <v>232</v>
      </c>
      <c r="F649" t="s">
        <v>18</v>
      </c>
      <c r="G649" s="1">
        <v>43951</v>
      </c>
      <c r="H649" t="s">
        <v>2677</v>
      </c>
      <c r="I649" t="s">
        <v>2678</v>
      </c>
      <c r="J649" t="s">
        <v>63</v>
      </c>
      <c r="K649">
        <v>16774.274514532801</v>
      </c>
      <c r="L649">
        <v>255</v>
      </c>
      <c r="M649" t="s">
        <v>32</v>
      </c>
      <c r="N649" s="1">
        <v>43965</v>
      </c>
      <c r="O649" t="s">
        <v>87</v>
      </c>
      <c r="P649" t="s">
        <v>24</v>
      </c>
      <c r="Q649">
        <v>14</v>
      </c>
    </row>
    <row r="650" spans="1:17" x14ac:dyDescent="0.35">
      <c r="A650" t="s">
        <v>1450</v>
      </c>
      <c r="B650" t="str">
        <f t="shared" si="20"/>
        <v>36-45</v>
      </c>
      <c r="C650">
        <v>42</v>
      </c>
      <c r="D650" t="s">
        <v>16</v>
      </c>
      <c r="E650" t="s">
        <v>51</v>
      </c>
      <c r="F650" t="s">
        <v>18</v>
      </c>
      <c r="G650" s="1">
        <v>44551</v>
      </c>
      <c r="H650" t="s">
        <v>1451</v>
      </c>
      <c r="I650" t="s">
        <v>1452</v>
      </c>
      <c r="J650" t="s">
        <v>31</v>
      </c>
      <c r="K650">
        <v>28830.350438624198</v>
      </c>
      <c r="L650">
        <v>173</v>
      </c>
      <c r="M650" t="s">
        <v>22</v>
      </c>
      <c r="N650" s="1">
        <v>44555</v>
      </c>
      <c r="O650" t="s">
        <v>44</v>
      </c>
      <c r="P650" t="s">
        <v>45</v>
      </c>
      <c r="Q650">
        <v>4</v>
      </c>
    </row>
    <row r="651" spans="1:17" x14ac:dyDescent="0.35">
      <c r="A651" t="s">
        <v>509</v>
      </c>
      <c r="B651" t="str">
        <f t="shared" si="20"/>
        <v>18-25</v>
      </c>
      <c r="C651">
        <v>19</v>
      </c>
      <c r="D651" t="s">
        <v>16</v>
      </c>
      <c r="E651" t="s">
        <v>51</v>
      </c>
      <c r="F651" t="s">
        <v>18</v>
      </c>
      <c r="G651" s="1">
        <v>44651</v>
      </c>
      <c r="H651" t="s">
        <v>510</v>
      </c>
      <c r="I651" t="s">
        <v>511</v>
      </c>
      <c r="J651" t="s">
        <v>21</v>
      </c>
      <c r="K651">
        <v>18200.7579970607</v>
      </c>
      <c r="L651">
        <v>261</v>
      </c>
      <c r="M651" t="s">
        <v>22</v>
      </c>
      <c r="N651" s="1">
        <v>44657</v>
      </c>
      <c r="O651" t="s">
        <v>87</v>
      </c>
      <c r="P651" t="s">
        <v>45</v>
      </c>
      <c r="Q651">
        <v>6</v>
      </c>
    </row>
    <row r="652" spans="1:17" x14ac:dyDescent="0.35">
      <c r="A652" t="s">
        <v>2812</v>
      </c>
      <c r="B652" t="str">
        <f t="shared" si="20"/>
        <v>66-75</v>
      </c>
      <c r="C652">
        <v>71</v>
      </c>
      <c r="D652" t="s">
        <v>16</v>
      </c>
      <c r="E652" t="s">
        <v>232</v>
      </c>
      <c r="F652" t="s">
        <v>18</v>
      </c>
      <c r="G652" s="1">
        <v>44533</v>
      </c>
      <c r="H652" t="s">
        <v>2813</v>
      </c>
      <c r="I652" t="s">
        <v>2814</v>
      </c>
      <c r="J652" t="s">
        <v>54</v>
      </c>
      <c r="K652">
        <v>28830.111661622199</v>
      </c>
      <c r="L652">
        <v>293</v>
      </c>
      <c r="M652" t="s">
        <v>43</v>
      </c>
      <c r="N652" s="1">
        <v>44557</v>
      </c>
      <c r="O652" t="s">
        <v>50</v>
      </c>
      <c r="P652" t="s">
        <v>34</v>
      </c>
      <c r="Q652">
        <v>24</v>
      </c>
    </row>
    <row r="653" spans="1:17" x14ac:dyDescent="0.35">
      <c r="A653" t="s">
        <v>1830</v>
      </c>
      <c r="B653" t="str">
        <f t="shared" si="20"/>
        <v>66-75</v>
      </c>
      <c r="C653">
        <v>68</v>
      </c>
      <c r="D653" t="s">
        <v>16</v>
      </c>
      <c r="E653" t="s">
        <v>92</v>
      </c>
      <c r="F653" t="s">
        <v>18</v>
      </c>
      <c r="G653" s="1">
        <v>44923</v>
      </c>
      <c r="H653" t="s">
        <v>1831</v>
      </c>
      <c r="I653" t="s">
        <v>1832</v>
      </c>
      <c r="J653" t="s">
        <v>63</v>
      </c>
      <c r="K653">
        <v>15723.024459754</v>
      </c>
      <c r="L653">
        <v>104</v>
      </c>
      <c r="M653" t="s">
        <v>32</v>
      </c>
      <c r="N653" s="1">
        <v>44952</v>
      </c>
      <c r="O653" t="s">
        <v>23</v>
      </c>
      <c r="P653" t="s">
        <v>34</v>
      </c>
      <c r="Q653">
        <v>29</v>
      </c>
    </row>
    <row r="654" spans="1:17" x14ac:dyDescent="0.35">
      <c r="A654" t="s">
        <v>2753</v>
      </c>
      <c r="B654" t="str">
        <f t="shared" si="20"/>
        <v>26-35</v>
      </c>
      <c r="C654">
        <v>26</v>
      </c>
      <c r="D654" t="s">
        <v>26</v>
      </c>
      <c r="E654" t="s">
        <v>232</v>
      </c>
      <c r="F654" t="s">
        <v>18</v>
      </c>
      <c r="G654" s="1">
        <v>44280</v>
      </c>
      <c r="H654" t="s">
        <v>2754</v>
      </c>
      <c r="I654" t="s">
        <v>2755</v>
      </c>
      <c r="J654" t="s">
        <v>54</v>
      </c>
      <c r="K654">
        <v>21498.028085345701</v>
      </c>
      <c r="L654">
        <v>193</v>
      </c>
      <c r="M654" t="s">
        <v>32</v>
      </c>
      <c r="N654" s="1">
        <v>44304</v>
      </c>
      <c r="O654" t="s">
        <v>87</v>
      </c>
      <c r="P654" t="s">
        <v>45</v>
      </c>
      <c r="Q654">
        <v>24</v>
      </c>
    </row>
    <row r="655" spans="1:17" x14ac:dyDescent="0.35">
      <c r="A655" t="s">
        <v>700</v>
      </c>
      <c r="B655" t="str">
        <f t="shared" si="20"/>
        <v>46-55</v>
      </c>
      <c r="C655">
        <v>52</v>
      </c>
      <c r="D655" t="s">
        <v>16</v>
      </c>
      <c r="E655" t="s">
        <v>232</v>
      </c>
      <c r="F655" t="s">
        <v>18</v>
      </c>
      <c r="G655" s="1">
        <v>43836</v>
      </c>
      <c r="H655" t="s">
        <v>701</v>
      </c>
      <c r="I655" t="s">
        <v>702</v>
      </c>
      <c r="J655" t="s">
        <v>59</v>
      </c>
      <c r="K655">
        <v>3973.8494321007702</v>
      </c>
      <c r="L655">
        <v>265</v>
      </c>
      <c r="M655" t="s">
        <v>43</v>
      </c>
      <c r="N655" s="1">
        <v>43840</v>
      </c>
      <c r="O655" t="s">
        <v>87</v>
      </c>
      <c r="P655" t="s">
        <v>45</v>
      </c>
      <c r="Q655">
        <v>4</v>
      </c>
    </row>
    <row r="656" spans="1:17" x14ac:dyDescent="0.35">
      <c r="A656" t="s">
        <v>2193</v>
      </c>
      <c r="B656" t="str">
        <f t="shared" si="20"/>
        <v>36-45</v>
      </c>
      <c r="C656">
        <v>44</v>
      </c>
      <c r="D656" t="s">
        <v>16</v>
      </c>
      <c r="E656" t="s">
        <v>92</v>
      </c>
      <c r="F656" t="s">
        <v>18</v>
      </c>
      <c r="G656" s="1">
        <v>43506</v>
      </c>
      <c r="H656" t="s">
        <v>2194</v>
      </c>
      <c r="I656" t="s">
        <v>2195</v>
      </c>
      <c r="J656" t="s">
        <v>54</v>
      </c>
      <c r="K656">
        <v>41850.874957626198</v>
      </c>
      <c r="L656">
        <v>180</v>
      </c>
      <c r="M656" t="s">
        <v>43</v>
      </c>
      <c r="N656" s="1">
        <v>43509</v>
      </c>
      <c r="O656" t="s">
        <v>23</v>
      </c>
      <c r="P656" t="s">
        <v>34</v>
      </c>
      <c r="Q656">
        <v>3</v>
      </c>
    </row>
    <row r="657" spans="1:17" x14ac:dyDescent="0.35">
      <c r="A657" t="s">
        <v>2786</v>
      </c>
      <c r="B657" t="str">
        <f t="shared" si="20"/>
        <v>76-85</v>
      </c>
      <c r="C657">
        <v>80</v>
      </c>
      <c r="D657" t="s">
        <v>26</v>
      </c>
      <c r="E657" t="s">
        <v>17</v>
      </c>
      <c r="F657" t="s">
        <v>18</v>
      </c>
      <c r="G657" s="1">
        <v>44055</v>
      </c>
      <c r="H657" t="s">
        <v>2787</v>
      </c>
      <c r="I657" t="s">
        <v>2788</v>
      </c>
      <c r="J657" t="s">
        <v>21</v>
      </c>
      <c r="K657">
        <v>7878.6178145092799</v>
      </c>
      <c r="L657">
        <v>145</v>
      </c>
      <c r="M657" t="s">
        <v>32</v>
      </c>
      <c r="N657" s="1">
        <v>44070</v>
      </c>
      <c r="O657" t="s">
        <v>23</v>
      </c>
      <c r="P657" t="s">
        <v>34</v>
      </c>
      <c r="Q657">
        <v>15</v>
      </c>
    </row>
    <row r="658" spans="1:17" x14ac:dyDescent="0.35">
      <c r="A658" t="s">
        <v>1304</v>
      </c>
      <c r="B658" t="str">
        <f t="shared" si="20"/>
        <v>36-45</v>
      </c>
      <c r="C658">
        <v>42</v>
      </c>
      <c r="D658" t="s">
        <v>16</v>
      </c>
      <c r="E658" t="s">
        <v>92</v>
      </c>
      <c r="F658" t="s">
        <v>18</v>
      </c>
      <c r="G658" s="1">
        <v>44865</v>
      </c>
      <c r="H658" t="s">
        <v>1305</v>
      </c>
      <c r="I658" t="s">
        <v>1306</v>
      </c>
      <c r="J658" t="s">
        <v>59</v>
      </c>
      <c r="K658">
        <v>32052.2246306741</v>
      </c>
      <c r="L658">
        <v>213</v>
      </c>
      <c r="M658" t="s">
        <v>32</v>
      </c>
      <c r="N658" s="1">
        <v>44881</v>
      </c>
      <c r="O658" t="s">
        <v>87</v>
      </c>
      <c r="P658" t="s">
        <v>45</v>
      </c>
      <c r="Q658">
        <v>16</v>
      </c>
    </row>
    <row r="659" spans="1:17" x14ac:dyDescent="0.35">
      <c r="A659" s="2" t="s">
        <v>15</v>
      </c>
      <c r="B659" t="str">
        <f t="shared" si="20"/>
        <v>76-85</v>
      </c>
      <c r="C659" s="2">
        <v>81</v>
      </c>
      <c r="D659" s="2" t="s">
        <v>16</v>
      </c>
      <c r="E659" s="2" t="s">
        <v>17</v>
      </c>
      <c r="F659" s="2" t="s">
        <v>18</v>
      </c>
      <c r="G659" s="3">
        <v>44882</v>
      </c>
      <c r="H659" s="2" t="s">
        <v>19</v>
      </c>
      <c r="I659" s="2" t="s">
        <v>20</v>
      </c>
      <c r="J659" s="2" t="s">
        <v>21</v>
      </c>
      <c r="K659" s="2">
        <v>37490.983363528103</v>
      </c>
      <c r="L659" s="2">
        <v>146</v>
      </c>
      <c r="M659" s="2" t="s">
        <v>22</v>
      </c>
      <c r="N659" s="3">
        <v>44896</v>
      </c>
      <c r="O659" s="2" t="s">
        <v>23</v>
      </c>
      <c r="P659" s="2" t="s">
        <v>24</v>
      </c>
      <c r="Q659">
        <v>14</v>
      </c>
    </row>
    <row r="660" spans="1:17" x14ac:dyDescent="0.35">
      <c r="A660" t="s">
        <v>1559</v>
      </c>
      <c r="B660" t="str">
        <f t="shared" ref="B660:B723" si="21">VLOOKUP(C660,$T$3:$U$9,2,TRUE)</f>
        <v>46-55</v>
      </c>
      <c r="C660">
        <v>54</v>
      </c>
      <c r="D660" t="s">
        <v>26</v>
      </c>
      <c r="E660" t="s">
        <v>232</v>
      </c>
      <c r="F660" t="s">
        <v>18</v>
      </c>
      <c r="G660" s="1">
        <v>44464</v>
      </c>
      <c r="H660" t="s">
        <v>1560</v>
      </c>
      <c r="I660" t="s">
        <v>1561</v>
      </c>
      <c r="J660" t="s">
        <v>59</v>
      </c>
      <c r="K660">
        <v>20832.6812831565</v>
      </c>
      <c r="L660">
        <v>461</v>
      </c>
      <c r="M660" t="s">
        <v>32</v>
      </c>
      <c r="N660" s="1">
        <v>44490</v>
      </c>
      <c r="O660" t="s">
        <v>33</v>
      </c>
      <c r="P660" t="s">
        <v>24</v>
      </c>
      <c r="Q660">
        <v>26</v>
      </c>
    </row>
    <row r="661" spans="1:17" x14ac:dyDescent="0.35">
      <c r="A661" t="s">
        <v>607</v>
      </c>
      <c r="B661" t="str">
        <f t="shared" si="21"/>
        <v>66-75</v>
      </c>
      <c r="C661">
        <v>67</v>
      </c>
      <c r="D661" t="s">
        <v>16</v>
      </c>
      <c r="E661" t="s">
        <v>92</v>
      </c>
      <c r="F661" t="s">
        <v>18</v>
      </c>
      <c r="G661" s="1">
        <v>44882</v>
      </c>
      <c r="H661" t="s">
        <v>608</v>
      </c>
      <c r="I661" t="s">
        <v>609</v>
      </c>
      <c r="J661" t="s">
        <v>31</v>
      </c>
      <c r="K661">
        <v>38068.852152684798</v>
      </c>
      <c r="L661">
        <v>106</v>
      </c>
      <c r="M661" t="s">
        <v>32</v>
      </c>
      <c r="N661" s="1">
        <v>44891</v>
      </c>
      <c r="O661" t="s">
        <v>23</v>
      </c>
      <c r="P661" t="s">
        <v>45</v>
      </c>
      <c r="Q661">
        <v>9</v>
      </c>
    </row>
    <row r="662" spans="1:17" x14ac:dyDescent="0.35">
      <c r="A662" t="s">
        <v>1521</v>
      </c>
      <c r="B662" t="str">
        <f t="shared" si="21"/>
        <v>66-75</v>
      </c>
      <c r="C662">
        <v>71</v>
      </c>
      <c r="D662" t="s">
        <v>16</v>
      </c>
      <c r="E662" t="s">
        <v>36</v>
      </c>
      <c r="F662" t="s">
        <v>18</v>
      </c>
      <c r="G662" s="1">
        <v>43572</v>
      </c>
      <c r="H662" t="s">
        <v>1522</v>
      </c>
      <c r="I662" t="s">
        <v>1523</v>
      </c>
      <c r="J662" t="s">
        <v>21</v>
      </c>
      <c r="K662">
        <v>14630.921981044001</v>
      </c>
      <c r="L662">
        <v>243</v>
      </c>
      <c r="M662" t="s">
        <v>22</v>
      </c>
      <c r="N662" s="1">
        <v>43574</v>
      </c>
      <c r="O662" t="s">
        <v>44</v>
      </c>
      <c r="P662" t="s">
        <v>24</v>
      </c>
      <c r="Q662">
        <v>2</v>
      </c>
    </row>
    <row r="663" spans="1:17" x14ac:dyDescent="0.35">
      <c r="A663" t="s">
        <v>1788</v>
      </c>
      <c r="B663" t="str">
        <f t="shared" si="21"/>
        <v>36-45</v>
      </c>
      <c r="C663">
        <v>38</v>
      </c>
      <c r="D663" t="s">
        <v>16</v>
      </c>
      <c r="E663" t="s">
        <v>65</v>
      </c>
      <c r="F663" t="s">
        <v>18</v>
      </c>
      <c r="G663" s="1">
        <v>45094</v>
      </c>
      <c r="H663" t="s">
        <v>1789</v>
      </c>
      <c r="I663" t="s">
        <v>1790</v>
      </c>
      <c r="J663" t="s">
        <v>63</v>
      </c>
      <c r="K663">
        <v>10942.246708037699</v>
      </c>
      <c r="L663">
        <v>308</v>
      </c>
      <c r="M663" t="s">
        <v>43</v>
      </c>
      <c r="N663" s="1">
        <v>45112</v>
      </c>
      <c r="O663" t="s">
        <v>50</v>
      </c>
      <c r="P663" t="s">
        <v>34</v>
      </c>
      <c r="Q663">
        <v>18</v>
      </c>
    </row>
    <row r="664" spans="1:17" x14ac:dyDescent="0.35">
      <c r="A664" t="s">
        <v>2482</v>
      </c>
      <c r="B664" t="str">
        <f t="shared" si="21"/>
        <v>66-75</v>
      </c>
      <c r="C664">
        <v>74</v>
      </c>
      <c r="D664" t="s">
        <v>26</v>
      </c>
      <c r="E664" t="s">
        <v>65</v>
      </c>
      <c r="F664" t="s">
        <v>18</v>
      </c>
      <c r="G664" s="1">
        <v>43620</v>
      </c>
      <c r="H664" t="s">
        <v>2483</v>
      </c>
      <c r="I664" t="s">
        <v>2484</v>
      </c>
      <c r="J664" t="s">
        <v>54</v>
      </c>
      <c r="K664">
        <v>45936.951134160001</v>
      </c>
      <c r="L664">
        <v>244</v>
      </c>
      <c r="M664" t="s">
        <v>22</v>
      </c>
      <c r="N664" s="1">
        <v>43634</v>
      </c>
      <c r="O664" t="s">
        <v>23</v>
      </c>
      <c r="P664" t="s">
        <v>34</v>
      </c>
      <c r="Q664">
        <v>14</v>
      </c>
    </row>
    <row r="665" spans="1:17" x14ac:dyDescent="0.35">
      <c r="A665" t="s">
        <v>2401</v>
      </c>
      <c r="B665" t="str">
        <f t="shared" si="21"/>
        <v>66-75</v>
      </c>
      <c r="C665">
        <v>74</v>
      </c>
      <c r="D665" t="s">
        <v>16</v>
      </c>
      <c r="E665" t="s">
        <v>27</v>
      </c>
      <c r="F665" t="s">
        <v>18</v>
      </c>
      <c r="G665" s="1">
        <v>44620</v>
      </c>
      <c r="H665" t="s">
        <v>2402</v>
      </c>
      <c r="I665" t="s">
        <v>2403</v>
      </c>
      <c r="J665" t="s">
        <v>59</v>
      </c>
      <c r="K665">
        <v>19484.051239743199</v>
      </c>
      <c r="L665">
        <v>242</v>
      </c>
      <c r="M665" t="s">
        <v>22</v>
      </c>
      <c r="N665" s="1">
        <v>44649</v>
      </c>
      <c r="O665" t="s">
        <v>50</v>
      </c>
      <c r="P665" t="s">
        <v>24</v>
      </c>
      <c r="Q665">
        <v>29</v>
      </c>
    </row>
    <row r="666" spans="1:17" x14ac:dyDescent="0.35">
      <c r="A666" t="s">
        <v>786</v>
      </c>
      <c r="B666" t="str">
        <f t="shared" si="21"/>
        <v>36-45</v>
      </c>
      <c r="C666">
        <v>41</v>
      </c>
      <c r="D666" t="s">
        <v>26</v>
      </c>
      <c r="E666" t="s">
        <v>17</v>
      </c>
      <c r="F666" t="s">
        <v>18</v>
      </c>
      <c r="G666" s="1">
        <v>45227</v>
      </c>
      <c r="H666" t="s">
        <v>787</v>
      </c>
      <c r="I666" t="s">
        <v>788</v>
      </c>
      <c r="J666" t="s">
        <v>21</v>
      </c>
      <c r="K666">
        <v>24559.759287261699</v>
      </c>
      <c r="L666">
        <v>179</v>
      </c>
      <c r="M666" t="s">
        <v>32</v>
      </c>
      <c r="N666" s="1">
        <v>45232</v>
      </c>
      <c r="O666" t="s">
        <v>33</v>
      </c>
      <c r="P666" t="s">
        <v>45</v>
      </c>
      <c r="Q666">
        <v>5</v>
      </c>
    </row>
    <row r="667" spans="1:17" x14ac:dyDescent="0.35">
      <c r="A667" t="s">
        <v>81</v>
      </c>
      <c r="B667" t="str">
        <f t="shared" si="21"/>
        <v>66-75</v>
      </c>
      <c r="C667">
        <v>72</v>
      </c>
      <c r="D667" t="s">
        <v>16</v>
      </c>
      <c r="E667" t="s">
        <v>65</v>
      </c>
      <c r="F667" t="s">
        <v>18</v>
      </c>
      <c r="G667" s="1">
        <v>44406</v>
      </c>
      <c r="H667" t="s">
        <v>82</v>
      </c>
      <c r="I667" t="s">
        <v>83</v>
      </c>
      <c r="J667" t="s">
        <v>59</v>
      </c>
      <c r="K667">
        <v>13669.3777441648</v>
      </c>
      <c r="L667">
        <v>492</v>
      </c>
      <c r="M667" t="s">
        <v>22</v>
      </c>
      <c r="N667" s="1">
        <v>44422</v>
      </c>
      <c r="O667" t="s">
        <v>23</v>
      </c>
      <c r="P667" t="s">
        <v>34</v>
      </c>
      <c r="Q667">
        <v>16</v>
      </c>
    </row>
    <row r="668" spans="1:17" x14ac:dyDescent="0.35">
      <c r="A668" t="s">
        <v>831</v>
      </c>
      <c r="B668" t="str">
        <f t="shared" si="21"/>
        <v>56-65</v>
      </c>
      <c r="C668">
        <v>56</v>
      </c>
      <c r="D668" t="s">
        <v>16</v>
      </c>
      <c r="E668" t="s">
        <v>92</v>
      </c>
      <c r="F668" t="s">
        <v>18</v>
      </c>
      <c r="G668" s="1">
        <v>45162</v>
      </c>
      <c r="H668" t="s">
        <v>832</v>
      </c>
      <c r="I668" t="s">
        <v>833</v>
      </c>
      <c r="J668" t="s">
        <v>59</v>
      </c>
      <c r="K668">
        <v>39573.5214515138</v>
      </c>
      <c r="L668">
        <v>196</v>
      </c>
      <c r="M668" t="s">
        <v>32</v>
      </c>
      <c r="N668" s="1">
        <v>45190</v>
      </c>
      <c r="O668" t="s">
        <v>50</v>
      </c>
      <c r="P668" t="s">
        <v>24</v>
      </c>
      <c r="Q668">
        <v>28</v>
      </c>
    </row>
    <row r="669" spans="1:17" x14ac:dyDescent="0.35">
      <c r="A669" t="s">
        <v>2491</v>
      </c>
      <c r="B669" t="str">
        <f t="shared" si="21"/>
        <v>46-55</v>
      </c>
      <c r="C669">
        <v>52</v>
      </c>
      <c r="D669" t="s">
        <v>16</v>
      </c>
      <c r="E669" t="s">
        <v>36</v>
      </c>
      <c r="F669" t="s">
        <v>56</v>
      </c>
      <c r="G669" s="1">
        <v>45188</v>
      </c>
      <c r="H669" t="s">
        <v>2492</v>
      </c>
      <c r="I669" t="s">
        <v>2493</v>
      </c>
      <c r="J669" t="s">
        <v>31</v>
      </c>
      <c r="K669">
        <v>43274.069749161601</v>
      </c>
      <c r="L669">
        <v>268</v>
      </c>
      <c r="M669" t="s">
        <v>22</v>
      </c>
      <c r="N669" s="1">
        <v>45213</v>
      </c>
      <c r="O669" t="s">
        <v>33</v>
      </c>
      <c r="P669" t="s">
        <v>34</v>
      </c>
      <c r="Q669">
        <v>25</v>
      </c>
    </row>
    <row r="670" spans="1:17" x14ac:dyDescent="0.35">
      <c r="A670" t="s">
        <v>1399</v>
      </c>
      <c r="B670" t="str">
        <f t="shared" si="21"/>
        <v>46-55</v>
      </c>
      <c r="C670">
        <v>50</v>
      </c>
      <c r="D670" t="s">
        <v>26</v>
      </c>
      <c r="E670" t="s">
        <v>92</v>
      </c>
      <c r="F670" t="s">
        <v>56</v>
      </c>
      <c r="G670" s="1">
        <v>43918</v>
      </c>
      <c r="H670" t="s">
        <v>1400</v>
      </c>
      <c r="I670" t="s">
        <v>1401</v>
      </c>
      <c r="J670" t="s">
        <v>59</v>
      </c>
      <c r="K670">
        <v>29149.762262739499</v>
      </c>
      <c r="L670">
        <v>301</v>
      </c>
      <c r="M670" t="s">
        <v>32</v>
      </c>
      <c r="N670" s="1">
        <v>43932</v>
      </c>
      <c r="O670" t="s">
        <v>50</v>
      </c>
      <c r="P670" t="s">
        <v>45</v>
      </c>
      <c r="Q670">
        <v>14</v>
      </c>
    </row>
    <row r="671" spans="1:17" x14ac:dyDescent="0.35">
      <c r="A671" t="s">
        <v>751</v>
      </c>
      <c r="B671" t="str">
        <f t="shared" si="21"/>
        <v>66-75</v>
      </c>
      <c r="C671">
        <v>71</v>
      </c>
      <c r="D671" t="s">
        <v>16</v>
      </c>
      <c r="E671" t="s">
        <v>27</v>
      </c>
      <c r="F671" t="s">
        <v>56</v>
      </c>
      <c r="G671" s="1">
        <v>44230</v>
      </c>
      <c r="H671" t="s">
        <v>752</v>
      </c>
      <c r="I671" t="s">
        <v>753</v>
      </c>
      <c r="J671" t="s">
        <v>31</v>
      </c>
      <c r="K671">
        <v>23391.794052756999</v>
      </c>
      <c r="L671">
        <v>301</v>
      </c>
      <c r="M671" t="s">
        <v>43</v>
      </c>
      <c r="N671" s="1">
        <v>44260</v>
      </c>
      <c r="O671" t="s">
        <v>33</v>
      </c>
      <c r="P671" t="s">
        <v>24</v>
      </c>
      <c r="Q671">
        <v>30</v>
      </c>
    </row>
    <row r="672" spans="1:17" x14ac:dyDescent="0.35">
      <c r="A672" t="s">
        <v>354</v>
      </c>
      <c r="B672" t="str">
        <f t="shared" si="21"/>
        <v>76-85</v>
      </c>
      <c r="C672">
        <v>85</v>
      </c>
      <c r="D672" t="s">
        <v>26</v>
      </c>
      <c r="E672" t="s">
        <v>65</v>
      </c>
      <c r="F672" t="s">
        <v>56</v>
      </c>
      <c r="G672" s="1">
        <v>44193</v>
      </c>
      <c r="H672" t="s">
        <v>355</v>
      </c>
      <c r="I672" t="s">
        <v>356</v>
      </c>
      <c r="J672" t="s">
        <v>31</v>
      </c>
      <c r="K672">
        <v>23517.461851862099</v>
      </c>
      <c r="L672">
        <v>389</v>
      </c>
      <c r="M672" t="s">
        <v>43</v>
      </c>
      <c r="N672" s="1">
        <v>44210</v>
      </c>
      <c r="O672" t="s">
        <v>50</v>
      </c>
      <c r="P672" t="s">
        <v>34</v>
      </c>
      <c r="Q672">
        <v>17</v>
      </c>
    </row>
    <row r="673" spans="1:17" x14ac:dyDescent="0.35">
      <c r="A673" t="s">
        <v>2363</v>
      </c>
      <c r="B673" t="str">
        <f t="shared" si="21"/>
        <v>26-35</v>
      </c>
      <c r="C673">
        <v>33</v>
      </c>
      <c r="D673" t="s">
        <v>26</v>
      </c>
      <c r="E673" t="s">
        <v>232</v>
      </c>
      <c r="F673" t="s">
        <v>56</v>
      </c>
      <c r="G673" s="1">
        <v>43572</v>
      </c>
      <c r="H673" t="s">
        <v>2364</v>
      </c>
      <c r="I673" t="s">
        <v>2365</v>
      </c>
      <c r="J673" t="s">
        <v>59</v>
      </c>
      <c r="K673">
        <v>35343.111751667799</v>
      </c>
      <c r="L673">
        <v>189</v>
      </c>
      <c r="M673" t="s">
        <v>32</v>
      </c>
      <c r="N673" s="1">
        <v>43588</v>
      </c>
      <c r="O673" t="s">
        <v>33</v>
      </c>
      <c r="P673" t="s">
        <v>45</v>
      </c>
      <c r="Q673">
        <v>16</v>
      </c>
    </row>
    <row r="674" spans="1:17" x14ac:dyDescent="0.35">
      <c r="A674" t="s">
        <v>2372</v>
      </c>
      <c r="B674" t="str">
        <f t="shared" si="21"/>
        <v>66-75</v>
      </c>
      <c r="C674">
        <v>67</v>
      </c>
      <c r="D674" t="s">
        <v>16</v>
      </c>
      <c r="E674" t="s">
        <v>92</v>
      </c>
      <c r="F674" t="s">
        <v>56</v>
      </c>
      <c r="G674" s="1">
        <v>43702</v>
      </c>
      <c r="H674" t="s">
        <v>2373</v>
      </c>
      <c r="I674" t="s">
        <v>2374</v>
      </c>
      <c r="J674" t="s">
        <v>59</v>
      </c>
      <c r="K674">
        <v>23918.812512706201</v>
      </c>
      <c r="L674">
        <v>165</v>
      </c>
      <c r="M674" t="s">
        <v>22</v>
      </c>
      <c r="N674" s="1">
        <v>43728</v>
      </c>
      <c r="O674" t="s">
        <v>23</v>
      </c>
      <c r="P674" t="s">
        <v>45</v>
      </c>
      <c r="Q674">
        <v>26</v>
      </c>
    </row>
    <row r="675" spans="1:17" x14ac:dyDescent="0.35">
      <c r="A675" t="s">
        <v>527</v>
      </c>
      <c r="B675" t="str">
        <f t="shared" si="21"/>
        <v>26-35</v>
      </c>
      <c r="C675">
        <v>28</v>
      </c>
      <c r="D675" t="s">
        <v>16</v>
      </c>
      <c r="E675" t="s">
        <v>232</v>
      </c>
      <c r="F675" t="s">
        <v>56</v>
      </c>
      <c r="G675" s="1">
        <v>45018</v>
      </c>
      <c r="H675" t="s">
        <v>528</v>
      </c>
      <c r="I675" t="s">
        <v>529</v>
      </c>
      <c r="J675" t="s">
        <v>63</v>
      </c>
      <c r="K675">
        <v>32613.241610463501</v>
      </c>
      <c r="L675">
        <v>186</v>
      </c>
      <c r="M675" t="s">
        <v>22</v>
      </c>
      <c r="N675" s="1">
        <v>45041</v>
      </c>
      <c r="O675" t="s">
        <v>23</v>
      </c>
      <c r="P675" t="s">
        <v>45</v>
      </c>
      <c r="Q675">
        <v>23</v>
      </c>
    </row>
    <row r="676" spans="1:17" x14ac:dyDescent="0.35">
      <c r="A676" t="s">
        <v>1588</v>
      </c>
      <c r="B676" t="str">
        <f t="shared" si="21"/>
        <v>66-75</v>
      </c>
      <c r="C676">
        <v>70</v>
      </c>
      <c r="D676" t="s">
        <v>26</v>
      </c>
      <c r="E676" t="s">
        <v>65</v>
      </c>
      <c r="F676" t="s">
        <v>56</v>
      </c>
      <c r="G676" s="1">
        <v>43573</v>
      </c>
      <c r="H676" t="s">
        <v>1589</v>
      </c>
      <c r="I676" t="s">
        <v>1590</v>
      </c>
      <c r="J676" t="s">
        <v>54</v>
      </c>
      <c r="K676">
        <v>33700.449514461703</v>
      </c>
      <c r="L676">
        <v>227</v>
      </c>
      <c r="M676" t="s">
        <v>43</v>
      </c>
      <c r="N676" s="1">
        <v>43597</v>
      </c>
      <c r="O676" t="s">
        <v>33</v>
      </c>
      <c r="P676" t="s">
        <v>24</v>
      </c>
      <c r="Q676">
        <v>24</v>
      </c>
    </row>
    <row r="677" spans="1:17" x14ac:dyDescent="0.35">
      <c r="A677" t="s">
        <v>2889</v>
      </c>
      <c r="B677" t="str">
        <f t="shared" si="21"/>
        <v>76-85</v>
      </c>
      <c r="C677">
        <v>83</v>
      </c>
      <c r="D677" t="s">
        <v>16</v>
      </c>
      <c r="E677" t="s">
        <v>51</v>
      </c>
      <c r="F677" t="s">
        <v>56</v>
      </c>
      <c r="G677" s="1">
        <v>44126</v>
      </c>
      <c r="H677" t="s">
        <v>2890</v>
      </c>
      <c r="I677" t="s">
        <v>2891</v>
      </c>
      <c r="J677" t="s">
        <v>21</v>
      </c>
      <c r="K677">
        <v>9932.1914896947801</v>
      </c>
      <c r="L677">
        <v>135</v>
      </c>
      <c r="M677" t="s">
        <v>32</v>
      </c>
      <c r="N677" s="1">
        <v>44142</v>
      </c>
      <c r="O677" t="s">
        <v>44</v>
      </c>
      <c r="P677" t="s">
        <v>24</v>
      </c>
      <c r="Q677">
        <v>16</v>
      </c>
    </row>
    <row r="678" spans="1:17" x14ac:dyDescent="0.35">
      <c r="A678" t="s">
        <v>1594</v>
      </c>
      <c r="B678" t="str">
        <f t="shared" si="21"/>
        <v>66-75</v>
      </c>
      <c r="C678">
        <v>72</v>
      </c>
      <c r="D678" t="s">
        <v>26</v>
      </c>
      <c r="E678" t="s">
        <v>117</v>
      </c>
      <c r="F678" t="s">
        <v>56</v>
      </c>
      <c r="G678" s="1">
        <v>44336</v>
      </c>
      <c r="H678" t="s">
        <v>1595</v>
      </c>
      <c r="I678" t="s">
        <v>1596</v>
      </c>
      <c r="J678" t="s">
        <v>54</v>
      </c>
      <c r="K678">
        <v>4779.8943570511101</v>
      </c>
      <c r="L678">
        <v>382</v>
      </c>
      <c r="M678" t="s">
        <v>43</v>
      </c>
      <c r="N678" s="1">
        <v>44345</v>
      </c>
      <c r="O678" t="s">
        <v>23</v>
      </c>
      <c r="P678" t="s">
        <v>45</v>
      </c>
      <c r="Q678">
        <v>9</v>
      </c>
    </row>
    <row r="679" spans="1:17" x14ac:dyDescent="0.35">
      <c r="A679" t="s">
        <v>1662</v>
      </c>
      <c r="B679" t="str">
        <f t="shared" si="21"/>
        <v>18-25</v>
      </c>
      <c r="C679">
        <v>18</v>
      </c>
      <c r="D679" t="s">
        <v>16</v>
      </c>
      <c r="E679" t="s">
        <v>17</v>
      </c>
      <c r="F679" t="s">
        <v>56</v>
      </c>
      <c r="G679" s="1">
        <v>43464</v>
      </c>
      <c r="H679" t="s">
        <v>1663</v>
      </c>
      <c r="I679" t="s">
        <v>1664</v>
      </c>
      <c r="J679" t="s">
        <v>21</v>
      </c>
      <c r="K679">
        <v>1273.56348925465</v>
      </c>
      <c r="L679">
        <v>193</v>
      </c>
      <c r="M679" t="s">
        <v>32</v>
      </c>
      <c r="N679" s="1">
        <v>43474</v>
      </c>
      <c r="O679" t="s">
        <v>23</v>
      </c>
      <c r="P679" t="s">
        <v>24</v>
      </c>
      <c r="Q679">
        <v>10</v>
      </c>
    </row>
    <row r="680" spans="1:17" x14ac:dyDescent="0.35">
      <c r="A680" t="s">
        <v>1662</v>
      </c>
      <c r="B680" t="str">
        <f t="shared" si="21"/>
        <v>56-65</v>
      </c>
      <c r="C680">
        <v>58</v>
      </c>
      <c r="D680" t="s">
        <v>26</v>
      </c>
      <c r="E680" t="s">
        <v>51</v>
      </c>
      <c r="F680" t="s">
        <v>56</v>
      </c>
      <c r="G680" s="1">
        <v>43535</v>
      </c>
      <c r="H680" t="s">
        <v>2575</v>
      </c>
      <c r="I680" t="s">
        <v>2576</v>
      </c>
      <c r="J680" t="s">
        <v>21</v>
      </c>
      <c r="K680">
        <v>6584.5438345926696</v>
      </c>
      <c r="L680">
        <v>271</v>
      </c>
      <c r="M680" t="s">
        <v>22</v>
      </c>
      <c r="N680" s="1">
        <v>43538</v>
      </c>
      <c r="O680" t="s">
        <v>44</v>
      </c>
      <c r="P680" t="s">
        <v>24</v>
      </c>
      <c r="Q680">
        <v>3</v>
      </c>
    </row>
    <row r="681" spans="1:17" x14ac:dyDescent="0.35">
      <c r="A681" t="s">
        <v>2412</v>
      </c>
      <c r="B681" t="str">
        <f t="shared" si="21"/>
        <v>26-35</v>
      </c>
      <c r="C681">
        <v>31</v>
      </c>
      <c r="D681" t="s">
        <v>26</v>
      </c>
      <c r="E681" t="s">
        <v>232</v>
      </c>
      <c r="F681" t="s">
        <v>56</v>
      </c>
      <c r="G681" s="1">
        <v>43512</v>
      </c>
      <c r="H681" t="s">
        <v>2413</v>
      </c>
      <c r="I681" t="s">
        <v>2414</v>
      </c>
      <c r="J681" t="s">
        <v>59</v>
      </c>
      <c r="K681">
        <v>16236.0949437257</v>
      </c>
      <c r="L681">
        <v>273</v>
      </c>
      <c r="M681" t="s">
        <v>43</v>
      </c>
      <c r="N681" s="1">
        <v>43542</v>
      </c>
      <c r="O681" t="s">
        <v>23</v>
      </c>
      <c r="P681" t="s">
        <v>34</v>
      </c>
      <c r="Q681">
        <v>30</v>
      </c>
    </row>
    <row r="682" spans="1:17" x14ac:dyDescent="0.35">
      <c r="A682" t="s">
        <v>2476</v>
      </c>
      <c r="B682" t="str">
        <f t="shared" si="21"/>
        <v>76-85</v>
      </c>
      <c r="C682">
        <v>85</v>
      </c>
      <c r="D682" t="s">
        <v>26</v>
      </c>
      <c r="E682" t="s">
        <v>65</v>
      </c>
      <c r="F682" t="s">
        <v>56</v>
      </c>
      <c r="G682" s="1">
        <v>44220</v>
      </c>
      <c r="H682" t="s">
        <v>2477</v>
      </c>
      <c r="I682" t="s">
        <v>2478</v>
      </c>
      <c r="J682" t="s">
        <v>54</v>
      </c>
      <c r="K682">
        <v>32220.039227316</v>
      </c>
      <c r="L682">
        <v>201</v>
      </c>
      <c r="M682" t="s">
        <v>32</v>
      </c>
      <c r="N682" s="1">
        <v>44231</v>
      </c>
      <c r="O682" t="s">
        <v>50</v>
      </c>
      <c r="P682" t="s">
        <v>34</v>
      </c>
      <c r="Q682">
        <v>11</v>
      </c>
    </row>
    <row r="683" spans="1:17" x14ac:dyDescent="0.35">
      <c r="A683" t="s">
        <v>318</v>
      </c>
      <c r="B683" t="str">
        <f t="shared" si="21"/>
        <v>66-75</v>
      </c>
      <c r="C683">
        <v>67</v>
      </c>
      <c r="D683" t="s">
        <v>16</v>
      </c>
      <c r="E683" t="s">
        <v>36</v>
      </c>
      <c r="F683" t="s">
        <v>56</v>
      </c>
      <c r="G683" s="1">
        <v>44492</v>
      </c>
      <c r="H683" t="s">
        <v>319</v>
      </c>
      <c r="I683" t="s">
        <v>320</v>
      </c>
      <c r="J683" t="s">
        <v>21</v>
      </c>
      <c r="K683">
        <v>23777.795524651901</v>
      </c>
      <c r="L683">
        <v>142</v>
      </c>
      <c r="M683" t="s">
        <v>22</v>
      </c>
      <c r="N683" s="1">
        <v>44521</v>
      </c>
      <c r="O683" t="s">
        <v>33</v>
      </c>
      <c r="P683" t="s">
        <v>45</v>
      </c>
      <c r="Q683">
        <v>29</v>
      </c>
    </row>
    <row r="684" spans="1:17" x14ac:dyDescent="0.35">
      <c r="A684" t="s">
        <v>2326</v>
      </c>
      <c r="B684" t="str">
        <f t="shared" si="21"/>
        <v>26-35</v>
      </c>
      <c r="C684">
        <v>27</v>
      </c>
      <c r="D684" t="s">
        <v>16</v>
      </c>
      <c r="E684" t="s">
        <v>232</v>
      </c>
      <c r="F684" t="s">
        <v>56</v>
      </c>
      <c r="G684" s="1">
        <v>44632</v>
      </c>
      <c r="H684" t="s">
        <v>2327</v>
      </c>
      <c r="I684" t="s">
        <v>2328</v>
      </c>
      <c r="J684" t="s">
        <v>59</v>
      </c>
      <c r="K684">
        <v>5538.7618741275701</v>
      </c>
      <c r="L684">
        <v>277</v>
      </c>
      <c r="M684" t="s">
        <v>32</v>
      </c>
      <c r="N684" s="1">
        <v>44647</v>
      </c>
      <c r="O684" t="s">
        <v>87</v>
      </c>
      <c r="P684" t="s">
        <v>34</v>
      </c>
      <c r="Q684">
        <v>15</v>
      </c>
    </row>
    <row r="685" spans="1:17" x14ac:dyDescent="0.35">
      <c r="A685" t="s">
        <v>1474</v>
      </c>
      <c r="B685" t="str">
        <f t="shared" si="21"/>
        <v>36-45</v>
      </c>
      <c r="C685">
        <v>43</v>
      </c>
      <c r="D685" t="s">
        <v>16</v>
      </c>
      <c r="E685" t="s">
        <v>36</v>
      </c>
      <c r="F685" t="s">
        <v>56</v>
      </c>
      <c r="G685" s="1">
        <v>43780</v>
      </c>
      <c r="H685" t="s">
        <v>1475</v>
      </c>
      <c r="I685" t="s">
        <v>1476</v>
      </c>
      <c r="J685" t="s">
        <v>54</v>
      </c>
      <c r="K685">
        <v>1872.6240696749501</v>
      </c>
      <c r="L685">
        <v>249</v>
      </c>
      <c r="M685" t="s">
        <v>32</v>
      </c>
      <c r="N685" s="1">
        <v>43803</v>
      </c>
      <c r="O685" t="s">
        <v>87</v>
      </c>
      <c r="P685" t="s">
        <v>34</v>
      </c>
      <c r="Q685">
        <v>23</v>
      </c>
    </row>
    <row r="686" spans="1:17" x14ac:dyDescent="0.35">
      <c r="A686" t="s">
        <v>2432</v>
      </c>
      <c r="B686" t="str">
        <f t="shared" si="21"/>
        <v>36-45</v>
      </c>
      <c r="C686">
        <v>38</v>
      </c>
      <c r="D686" t="s">
        <v>16</v>
      </c>
      <c r="E686" t="s">
        <v>51</v>
      </c>
      <c r="F686" t="s">
        <v>56</v>
      </c>
      <c r="G686" s="1">
        <v>44100</v>
      </c>
      <c r="H686" t="s">
        <v>2433</v>
      </c>
      <c r="I686" t="s">
        <v>2434</v>
      </c>
      <c r="J686" t="s">
        <v>59</v>
      </c>
      <c r="K686">
        <v>42381.336872681502</v>
      </c>
      <c r="L686">
        <v>194</v>
      </c>
      <c r="M686" t="s">
        <v>22</v>
      </c>
      <c r="N686" s="1">
        <v>44109</v>
      </c>
      <c r="O686" t="s">
        <v>33</v>
      </c>
      <c r="P686" t="s">
        <v>34</v>
      </c>
      <c r="Q686">
        <v>9</v>
      </c>
    </row>
    <row r="687" spans="1:17" x14ac:dyDescent="0.35">
      <c r="A687" t="s">
        <v>2355</v>
      </c>
      <c r="B687" t="str">
        <f t="shared" si="21"/>
        <v>18-25</v>
      </c>
      <c r="C687">
        <v>19</v>
      </c>
      <c r="D687" t="s">
        <v>26</v>
      </c>
      <c r="E687" t="s">
        <v>117</v>
      </c>
      <c r="F687" t="s">
        <v>56</v>
      </c>
      <c r="G687" s="1">
        <v>43603</v>
      </c>
      <c r="H687" t="s">
        <v>2356</v>
      </c>
      <c r="I687" t="s">
        <v>2357</v>
      </c>
      <c r="J687" t="s">
        <v>54</v>
      </c>
      <c r="K687">
        <v>27302.7152189101</v>
      </c>
      <c r="L687">
        <v>375</v>
      </c>
      <c r="M687" t="s">
        <v>32</v>
      </c>
      <c r="N687" s="1">
        <v>43614</v>
      </c>
      <c r="O687" t="s">
        <v>44</v>
      </c>
      <c r="P687" t="s">
        <v>45</v>
      </c>
      <c r="Q687">
        <v>11</v>
      </c>
    </row>
    <row r="688" spans="1:17" x14ac:dyDescent="0.35">
      <c r="A688" t="s">
        <v>2632</v>
      </c>
      <c r="B688" t="str">
        <f t="shared" si="21"/>
        <v>18-25</v>
      </c>
      <c r="C688">
        <v>19</v>
      </c>
      <c r="D688" t="s">
        <v>16</v>
      </c>
      <c r="E688" t="s">
        <v>27</v>
      </c>
      <c r="F688" t="s">
        <v>56</v>
      </c>
      <c r="G688" s="1">
        <v>43740</v>
      </c>
      <c r="H688" t="s">
        <v>2633</v>
      </c>
      <c r="I688" t="s">
        <v>2634</v>
      </c>
      <c r="J688" t="s">
        <v>59</v>
      </c>
      <c r="K688">
        <v>38598.059722040198</v>
      </c>
      <c r="L688">
        <v>120</v>
      </c>
      <c r="M688" t="s">
        <v>32</v>
      </c>
      <c r="N688" s="1">
        <v>43748</v>
      </c>
      <c r="O688" t="s">
        <v>33</v>
      </c>
      <c r="P688" t="s">
        <v>24</v>
      </c>
      <c r="Q688">
        <v>8</v>
      </c>
    </row>
    <row r="689" spans="1:17" x14ac:dyDescent="0.35">
      <c r="A689" t="s">
        <v>2154</v>
      </c>
      <c r="B689" t="str">
        <f t="shared" si="21"/>
        <v>18-25</v>
      </c>
      <c r="C689">
        <v>19</v>
      </c>
      <c r="D689" t="s">
        <v>16</v>
      </c>
      <c r="E689" t="s">
        <v>92</v>
      </c>
      <c r="F689" t="s">
        <v>56</v>
      </c>
      <c r="G689" s="1">
        <v>44928</v>
      </c>
      <c r="H689" t="s">
        <v>2155</v>
      </c>
      <c r="I689" t="s">
        <v>2156</v>
      </c>
      <c r="J689" t="s">
        <v>59</v>
      </c>
      <c r="K689">
        <v>7452.9262758659097</v>
      </c>
      <c r="L689">
        <v>161</v>
      </c>
      <c r="M689" t="s">
        <v>43</v>
      </c>
      <c r="N689" s="1">
        <v>44958</v>
      </c>
      <c r="O689" t="s">
        <v>44</v>
      </c>
      <c r="P689" t="s">
        <v>45</v>
      </c>
      <c r="Q689">
        <v>30</v>
      </c>
    </row>
    <row r="690" spans="1:17" x14ac:dyDescent="0.35">
      <c r="A690" t="s">
        <v>348</v>
      </c>
      <c r="B690" t="str">
        <f t="shared" si="21"/>
        <v>36-45</v>
      </c>
      <c r="C690">
        <v>38</v>
      </c>
      <c r="D690" t="s">
        <v>16</v>
      </c>
      <c r="E690" t="s">
        <v>65</v>
      </c>
      <c r="F690" t="s">
        <v>56</v>
      </c>
      <c r="G690" s="1">
        <v>44451</v>
      </c>
      <c r="H690" t="s">
        <v>349</v>
      </c>
      <c r="I690" t="s">
        <v>350</v>
      </c>
      <c r="J690" t="s">
        <v>31</v>
      </c>
      <c r="K690">
        <v>40340.5304226113</v>
      </c>
      <c r="L690">
        <v>201</v>
      </c>
      <c r="M690" t="s">
        <v>32</v>
      </c>
      <c r="N690" s="1">
        <v>44466</v>
      </c>
      <c r="O690" t="s">
        <v>33</v>
      </c>
      <c r="P690" t="s">
        <v>24</v>
      </c>
      <c r="Q690">
        <v>15</v>
      </c>
    </row>
    <row r="691" spans="1:17" x14ac:dyDescent="0.35">
      <c r="A691" t="s">
        <v>2045</v>
      </c>
      <c r="B691" t="str">
        <f t="shared" si="21"/>
        <v>18-25</v>
      </c>
      <c r="C691">
        <v>23</v>
      </c>
      <c r="D691" t="s">
        <v>26</v>
      </c>
      <c r="E691" t="s">
        <v>232</v>
      </c>
      <c r="F691" t="s">
        <v>56</v>
      </c>
      <c r="G691" s="1">
        <v>43925</v>
      </c>
      <c r="H691" t="s">
        <v>2046</v>
      </c>
      <c r="I691" t="s">
        <v>2047</v>
      </c>
      <c r="J691" t="s">
        <v>31</v>
      </c>
      <c r="K691">
        <v>41216.676922241801</v>
      </c>
      <c r="L691">
        <v>178</v>
      </c>
      <c r="M691" t="s">
        <v>43</v>
      </c>
      <c r="N691" s="1">
        <v>43949</v>
      </c>
      <c r="O691" t="s">
        <v>50</v>
      </c>
      <c r="P691" t="s">
        <v>45</v>
      </c>
      <c r="Q691">
        <v>24</v>
      </c>
    </row>
    <row r="692" spans="1:17" x14ac:dyDescent="0.35">
      <c r="A692" t="s">
        <v>1553</v>
      </c>
      <c r="B692" t="str">
        <f t="shared" si="21"/>
        <v>56-65</v>
      </c>
      <c r="C692">
        <v>63</v>
      </c>
      <c r="D692" t="s">
        <v>26</v>
      </c>
      <c r="E692" t="s">
        <v>117</v>
      </c>
      <c r="F692" t="s">
        <v>56</v>
      </c>
      <c r="G692" s="1">
        <v>43786</v>
      </c>
      <c r="H692" t="s">
        <v>1554</v>
      </c>
      <c r="I692" t="s">
        <v>1555</v>
      </c>
      <c r="J692" t="s">
        <v>54</v>
      </c>
      <c r="K692">
        <v>35155.664221050698</v>
      </c>
      <c r="L692">
        <v>148</v>
      </c>
      <c r="M692" t="s">
        <v>43</v>
      </c>
      <c r="N692" s="1">
        <v>43787</v>
      </c>
      <c r="O692" t="s">
        <v>33</v>
      </c>
      <c r="P692" t="s">
        <v>45</v>
      </c>
      <c r="Q692">
        <v>1</v>
      </c>
    </row>
    <row r="693" spans="1:17" x14ac:dyDescent="0.35">
      <c r="A693" t="s">
        <v>419</v>
      </c>
      <c r="B693" t="str">
        <f t="shared" si="21"/>
        <v>46-55</v>
      </c>
      <c r="C693">
        <v>46</v>
      </c>
      <c r="D693" t="s">
        <v>26</v>
      </c>
      <c r="E693" t="s">
        <v>17</v>
      </c>
      <c r="F693" t="s">
        <v>56</v>
      </c>
      <c r="G693" s="1">
        <v>44514</v>
      </c>
      <c r="H693" t="s">
        <v>420</v>
      </c>
      <c r="I693" t="s">
        <v>421</v>
      </c>
      <c r="J693" t="s">
        <v>59</v>
      </c>
      <c r="K693">
        <v>31546.520202372001</v>
      </c>
      <c r="L693">
        <v>104</v>
      </c>
      <c r="M693" t="s">
        <v>43</v>
      </c>
      <c r="N693" s="1">
        <v>44526</v>
      </c>
      <c r="O693" t="s">
        <v>23</v>
      </c>
      <c r="P693" t="s">
        <v>45</v>
      </c>
      <c r="Q693">
        <v>12</v>
      </c>
    </row>
    <row r="694" spans="1:17" x14ac:dyDescent="0.35">
      <c r="A694" t="s">
        <v>2450</v>
      </c>
      <c r="B694" t="str">
        <f t="shared" si="21"/>
        <v>56-65</v>
      </c>
      <c r="C694">
        <v>62</v>
      </c>
      <c r="D694" t="s">
        <v>26</v>
      </c>
      <c r="E694" t="s">
        <v>117</v>
      </c>
      <c r="F694" t="s">
        <v>56</v>
      </c>
      <c r="G694" s="1">
        <v>43713</v>
      </c>
      <c r="H694" t="s">
        <v>2451</v>
      </c>
      <c r="I694" t="s">
        <v>2452</v>
      </c>
      <c r="J694" t="s">
        <v>31</v>
      </c>
      <c r="K694">
        <v>24048.266596627702</v>
      </c>
      <c r="L694">
        <v>370</v>
      </c>
      <c r="M694" t="s">
        <v>32</v>
      </c>
      <c r="N694" s="1">
        <v>43719</v>
      </c>
      <c r="O694" t="s">
        <v>23</v>
      </c>
      <c r="P694" t="s">
        <v>34</v>
      </c>
      <c r="Q694">
        <v>6</v>
      </c>
    </row>
    <row r="695" spans="1:17" x14ac:dyDescent="0.35">
      <c r="A695" t="s">
        <v>2341</v>
      </c>
      <c r="B695" t="str">
        <f t="shared" si="21"/>
        <v>66-75</v>
      </c>
      <c r="C695">
        <v>66</v>
      </c>
      <c r="D695" t="s">
        <v>16</v>
      </c>
      <c r="E695" t="s">
        <v>17</v>
      </c>
      <c r="F695" t="s">
        <v>56</v>
      </c>
      <c r="G695" s="1">
        <v>43650</v>
      </c>
      <c r="H695" t="s">
        <v>2342</v>
      </c>
      <c r="I695" t="s">
        <v>2343</v>
      </c>
      <c r="J695" t="s">
        <v>54</v>
      </c>
      <c r="K695">
        <v>23274.304046522699</v>
      </c>
      <c r="L695">
        <v>427</v>
      </c>
      <c r="M695" t="s">
        <v>43</v>
      </c>
      <c r="N695" s="1">
        <v>43669</v>
      </c>
      <c r="O695" t="s">
        <v>87</v>
      </c>
      <c r="P695" t="s">
        <v>24</v>
      </c>
      <c r="Q695">
        <v>19</v>
      </c>
    </row>
    <row r="696" spans="1:17" x14ac:dyDescent="0.35">
      <c r="A696" t="s">
        <v>404</v>
      </c>
      <c r="B696" t="str">
        <f t="shared" si="21"/>
        <v>56-65</v>
      </c>
      <c r="C696">
        <v>65</v>
      </c>
      <c r="D696" t="s">
        <v>26</v>
      </c>
      <c r="E696" t="s">
        <v>17</v>
      </c>
      <c r="F696" t="s">
        <v>56</v>
      </c>
      <c r="G696" s="1">
        <v>44386</v>
      </c>
      <c r="H696" t="s">
        <v>405</v>
      </c>
      <c r="I696" t="s">
        <v>406</v>
      </c>
      <c r="J696" t="s">
        <v>59</v>
      </c>
      <c r="K696">
        <v>36946.0002673298</v>
      </c>
      <c r="L696">
        <v>115</v>
      </c>
      <c r="M696" t="s">
        <v>43</v>
      </c>
      <c r="N696" s="1">
        <v>44387</v>
      </c>
      <c r="O696" t="s">
        <v>50</v>
      </c>
      <c r="P696" t="s">
        <v>34</v>
      </c>
      <c r="Q696">
        <v>1</v>
      </c>
    </row>
    <row r="697" spans="1:17" x14ac:dyDescent="0.35">
      <c r="A697" t="s">
        <v>1498</v>
      </c>
      <c r="B697" t="str">
        <f t="shared" si="21"/>
        <v>18-25</v>
      </c>
      <c r="C697">
        <v>20</v>
      </c>
      <c r="D697" t="s">
        <v>26</v>
      </c>
      <c r="E697" t="s">
        <v>51</v>
      </c>
      <c r="F697" t="s">
        <v>56</v>
      </c>
      <c r="G697" s="1">
        <v>44244</v>
      </c>
      <c r="H697" t="s">
        <v>1499</v>
      </c>
      <c r="I697" t="s">
        <v>1500</v>
      </c>
      <c r="J697" t="s">
        <v>21</v>
      </c>
      <c r="K697">
        <v>8771.4051364220704</v>
      </c>
      <c r="L697">
        <v>478</v>
      </c>
      <c r="M697" t="s">
        <v>32</v>
      </c>
      <c r="N697" s="1">
        <v>44258</v>
      </c>
      <c r="O697" t="s">
        <v>50</v>
      </c>
      <c r="P697" t="s">
        <v>45</v>
      </c>
      <c r="Q697">
        <v>14</v>
      </c>
    </row>
    <row r="698" spans="1:17" x14ac:dyDescent="0.35">
      <c r="A698" t="s">
        <v>55</v>
      </c>
      <c r="B698" t="str">
        <f t="shared" si="21"/>
        <v>76-85</v>
      </c>
      <c r="C698">
        <v>82</v>
      </c>
      <c r="D698" t="s">
        <v>26</v>
      </c>
      <c r="E698" t="s">
        <v>51</v>
      </c>
      <c r="F698" t="s">
        <v>56</v>
      </c>
      <c r="G698" s="1">
        <v>44277</v>
      </c>
      <c r="H698" t="s">
        <v>57</v>
      </c>
      <c r="I698" t="s">
        <v>58</v>
      </c>
      <c r="J698" t="s">
        <v>59</v>
      </c>
      <c r="K698">
        <v>39593.435761130801</v>
      </c>
      <c r="L698">
        <v>161</v>
      </c>
      <c r="M698" t="s">
        <v>43</v>
      </c>
      <c r="N698" s="1">
        <v>44301</v>
      </c>
      <c r="O698" t="s">
        <v>33</v>
      </c>
      <c r="P698" t="s">
        <v>45</v>
      </c>
      <c r="Q698">
        <v>24</v>
      </c>
    </row>
    <row r="699" spans="1:17" x14ac:dyDescent="0.35">
      <c r="A699" t="s">
        <v>2536</v>
      </c>
      <c r="B699" t="str">
        <f t="shared" si="21"/>
        <v>76-85</v>
      </c>
      <c r="C699">
        <v>80</v>
      </c>
      <c r="D699" t="s">
        <v>16</v>
      </c>
      <c r="E699" t="s">
        <v>117</v>
      </c>
      <c r="F699" t="s">
        <v>56</v>
      </c>
      <c r="G699" s="1">
        <v>44891</v>
      </c>
      <c r="H699" t="s">
        <v>2537</v>
      </c>
      <c r="I699" t="s">
        <v>42</v>
      </c>
      <c r="J699" t="s">
        <v>21</v>
      </c>
      <c r="K699">
        <v>43613.488432298502</v>
      </c>
      <c r="L699">
        <v>315</v>
      </c>
      <c r="M699" t="s">
        <v>32</v>
      </c>
      <c r="N699" s="1">
        <v>44899</v>
      </c>
      <c r="O699" t="s">
        <v>50</v>
      </c>
      <c r="P699" t="s">
        <v>24</v>
      </c>
      <c r="Q699">
        <v>8</v>
      </c>
    </row>
    <row r="700" spans="1:17" x14ac:dyDescent="0.35">
      <c r="A700" t="s">
        <v>569</v>
      </c>
      <c r="B700" t="str">
        <f t="shared" si="21"/>
        <v>46-55</v>
      </c>
      <c r="C700">
        <v>55</v>
      </c>
      <c r="D700" t="s">
        <v>26</v>
      </c>
      <c r="E700" t="s">
        <v>117</v>
      </c>
      <c r="F700" t="s">
        <v>56</v>
      </c>
      <c r="G700" s="1">
        <v>44913</v>
      </c>
      <c r="H700" t="s">
        <v>570</v>
      </c>
      <c r="I700" t="s">
        <v>571</v>
      </c>
      <c r="J700" t="s">
        <v>59</v>
      </c>
      <c r="K700">
        <v>17902.6463938095</v>
      </c>
      <c r="L700">
        <v>267</v>
      </c>
      <c r="M700" t="s">
        <v>43</v>
      </c>
      <c r="N700" s="1">
        <v>44931</v>
      </c>
      <c r="O700" t="s">
        <v>50</v>
      </c>
      <c r="P700" t="s">
        <v>24</v>
      </c>
      <c r="Q700">
        <v>18</v>
      </c>
    </row>
    <row r="701" spans="1:17" x14ac:dyDescent="0.35">
      <c r="A701" t="s">
        <v>180</v>
      </c>
      <c r="B701" t="str">
        <f t="shared" si="21"/>
        <v>76-85</v>
      </c>
      <c r="C701">
        <v>84</v>
      </c>
      <c r="D701" t="s">
        <v>16</v>
      </c>
      <c r="E701" t="s">
        <v>27</v>
      </c>
      <c r="F701" t="s">
        <v>56</v>
      </c>
      <c r="G701" s="1">
        <v>43751</v>
      </c>
      <c r="H701" t="s">
        <v>181</v>
      </c>
      <c r="I701" t="s">
        <v>182</v>
      </c>
      <c r="J701" t="s">
        <v>54</v>
      </c>
      <c r="K701">
        <v>10803.730343659499</v>
      </c>
      <c r="L701">
        <v>388</v>
      </c>
      <c r="M701" t="s">
        <v>32</v>
      </c>
      <c r="N701" s="1">
        <v>43767</v>
      </c>
      <c r="O701" t="s">
        <v>23</v>
      </c>
      <c r="P701" t="s">
        <v>24</v>
      </c>
      <c r="Q701">
        <v>16</v>
      </c>
    </row>
    <row r="702" spans="1:17" x14ac:dyDescent="0.35">
      <c r="A702" t="s">
        <v>766</v>
      </c>
      <c r="B702" t="str">
        <f t="shared" si="21"/>
        <v>66-75</v>
      </c>
      <c r="C702">
        <v>74</v>
      </c>
      <c r="D702" t="s">
        <v>26</v>
      </c>
      <c r="E702" t="s">
        <v>65</v>
      </c>
      <c r="F702" t="s">
        <v>56</v>
      </c>
      <c r="G702" s="1">
        <v>45113</v>
      </c>
      <c r="H702" t="s">
        <v>767</v>
      </c>
      <c r="I702" t="s">
        <v>768</v>
      </c>
      <c r="J702" t="s">
        <v>59</v>
      </c>
      <c r="K702">
        <v>3866.3370522312298</v>
      </c>
      <c r="L702">
        <v>375</v>
      </c>
      <c r="M702" t="s">
        <v>32</v>
      </c>
      <c r="N702" s="1">
        <v>45119</v>
      </c>
      <c r="O702" t="s">
        <v>44</v>
      </c>
      <c r="P702" t="s">
        <v>45</v>
      </c>
      <c r="Q702">
        <v>6</v>
      </c>
    </row>
    <row r="703" spans="1:17" x14ac:dyDescent="0.35">
      <c r="A703" t="s">
        <v>1960</v>
      </c>
      <c r="B703" t="str">
        <f t="shared" si="21"/>
        <v>56-65</v>
      </c>
      <c r="C703">
        <v>62</v>
      </c>
      <c r="D703" t="s">
        <v>16</v>
      </c>
      <c r="E703" t="s">
        <v>117</v>
      </c>
      <c r="F703" t="s">
        <v>56</v>
      </c>
      <c r="G703" s="1">
        <v>44164</v>
      </c>
      <c r="H703" t="s">
        <v>1961</v>
      </c>
      <c r="I703" t="s">
        <v>1962</v>
      </c>
      <c r="J703" t="s">
        <v>54</v>
      </c>
      <c r="K703">
        <v>13251.9306679295</v>
      </c>
      <c r="L703">
        <v>272</v>
      </c>
      <c r="M703" t="s">
        <v>43</v>
      </c>
      <c r="N703" s="1">
        <v>44176</v>
      </c>
      <c r="O703" t="s">
        <v>23</v>
      </c>
      <c r="P703" t="s">
        <v>34</v>
      </c>
      <c r="Q703">
        <v>12</v>
      </c>
    </row>
    <row r="704" spans="1:17" x14ac:dyDescent="0.35">
      <c r="A704" t="s">
        <v>2488</v>
      </c>
      <c r="B704" t="str">
        <f t="shared" si="21"/>
        <v>66-75</v>
      </c>
      <c r="C704">
        <v>66</v>
      </c>
      <c r="D704" t="s">
        <v>16</v>
      </c>
      <c r="E704" t="s">
        <v>92</v>
      </c>
      <c r="F704" t="s">
        <v>56</v>
      </c>
      <c r="G704" s="1">
        <v>44283</v>
      </c>
      <c r="H704" t="s">
        <v>2489</v>
      </c>
      <c r="I704" t="s">
        <v>2490</v>
      </c>
      <c r="J704" t="s">
        <v>63</v>
      </c>
      <c r="K704">
        <v>2634.75786257133</v>
      </c>
      <c r="L704">
        <v>210</v>
      </c>
      <c r="M704" t="s">
        <v>43</v>
      </c>
      <c r="N704" s="1">
        <v>44294</v>
      </c>
      <c r="O704" t="s">
        <v>33</v>
      </c>
      <c r="P704" t="s">
        <v>34</v>
      </c>
      <c r="Q704">
        <v>11</v>
      </c>
    </row>
    <row r="705" spans="1:17" x14ac:dyDescent="0.35">
      <c r="A705" t="s">
        <v>2967</v>
      </c>
      <c r="B705" t="str">
        <f t="shared" si="21"/>
        <v>18-25</v>
      </c>
      <c r="C705">
        <v>19</v>
      </c>
      <c r="D705" t="s">
        <v>26</v>
      </c>
      <c r="E705" t="s">
        <v>17</v>
      </c>
      <c r="F705" t="s">
        <v>56</v>
      </c>
      <c r="G705" s="1">
        <v>43567</v>
      </c>
      <c r="H705" t="s">
        <v>2968</v>
      </c>
      <c r="I705" t="s">
        <v>2969</v>
      </c>
      <c r="J705" t="s">
        <v>59</v>
      </c>
      <c r="K705">
        <v>6852.5010547742904</v>
      </c>
      <c r="L705">
        <v>159</v>
      </c>
      <c r="M705" t="s">
        <v>22</v>
      </c>
      <c r="N705" s="1">
        <v>43577</v>
      </c>
      <c r="O705" t="s">
        <v>50</v>
      </c>
      <c r="P705" t="s">
        <v>34</v>
      </c>
      <c r="Q705">
        <v>10</v>
      </c>
    </row>
    <row r="706" spans="1:17" x14ac:dyDescent="0.35">
      <c r="A706" t="s">
        <v>1035</v>
      </c>
      <c r="B706" t="str">
        <f t="shared" si="21"/>
        <v>76-85</v>
      </c>
      <c r="C706">
        <v>83</v>
      </c>
      <c r="D706" t="s">
        <v>16</v>
      </c>
      <c r="E706" t="s">
        <v>27</v>
      </c>
      <c r="F706" t="s">
        <v>56</v>
      </c>
      <c r="G706" s="1">
        <v>45135</v>
      </c>
      <c r="H706" t="s">
        <v>1036</v>
      </c>
      <c r="I706" t="s">
        <v>1037</v>
      </c>
      <c r="J706" t="s">
        <v>31</v>
      </c>
      <c r="K706">
        <v>37744.299585288798</v>
      </c>
      <c r="L706">
        <v>471</v>
      </c>
      <c r="M706" t="s">
        <v>22</v>
      </c>
      <c r="N706" s="1">
        <v>45136</v>
      </c>
      <c r="O706" t="s">
        <v>23</v>
      </c>
      <c r="P706" t="s">
        <v>45</v>
      </c>
      <c r="Q706">
        <v>1</v>
      </c>
    </row>
    <row r="707" spans="1:17" x14ac:dyDescent="0.35">
      <c r="A707" t="s">
        <v>2139</v>
      </c>
      <c r="B707" t="str">
        <f t="shared" si="21"/>
        <v>56-65</v>
      </c>
      <c r="C707">
        <v>57</v>
      </c>
      <c r="D707" t="s">
        <v>26</v>
      </c>
      <c r="E707" t="s">
        <v>17</v>
      </c>
      <c r="F707" t="s">
        <v>56</v>
      </c>
      <c r="G707" s="1">
        <v>44048</v>
      </c>
      <c r="H707" t="s">
        <v>2140</v>
      </c>
      <c r="I707" t="s">
        <v>2141</v>
      </c>
      <c r="J707" t="s">
        <v>21</v>
      </c>
      <c r="K707">
        <v>10643.351924430901</v>
      </c>
      <c r="L707">
        <v>444</v>
      </c>
      <c r="M707" t="s">
        <v>43</v>
      </c>
      <c r="N707" s="1">
        <v>44057</v>
      </c>
      <c r="O707" t="s">
        <v>87</v>
      </c>
      <c r="P707" t="s">
        <v>45</v>
      </c>
      <c r="Q707">
        <v>9</v>
      </c>
    </row>
    <row r="708" spans="1:17" x14ac:dyDescent="0.35">
      <c r="A708" t="s">
        <v>993</v>
      </c>
      <c r="B708" t="str">
        <f t="shared" si="21"/>
        <v>66-75</v>
      </c>
      <c r="C708">
        <v>70</v>
      </c>
      <c r="D708" t="s">
        <v>26</v>
      </c>
      <c r="E708" t="s">
        <v>92</v>
      </c>
      <c r="F708" t="s">
        <v>56</v>
      </c>
      <c r="G708" s="1">
        <v>43909</v>
      </c>
      <c r="H708" t="s">
        <v>994</v>
      </c>
      <c r="I708" t="s">
        <v>995</v>
      </c>
      <c r="J708" t="s">
        <v>54</v>
      </c>
      <c r="K708">
        <v>36496.775644225003</v>
      </c>
      <c r="L708">
        <v>286</v>
      </c>
      <c r="M708" t="s">
        <v>22</v>
      </c>
      <c r="N708" s="1">
        <v>43926</v>
      </c>
      <c r="O708" t="s">
        <v>44</v>
      </c>
      <c r="P708" t="s">
        <v>34</v>
      </c>
      <c r="Q708">
        <v>17</v>
      </c>
    </row>
    <row r="709" spans="1:17" x14ac:dyDescent="0.35">
      <c r="A709" t="s">
        <v>2069</v>
      </c>
      <c r="B709" t="str">
        <f t="shared" si="21"/>
        <v>76-85</v>
      </c>
      <c r="C709">
        <v>79</v>
      </c>
      <c r="D709" t="s">
        <v>26</v>
      </c>
      <c r="E709" t="s">
        <v>65</v>
      </c>
      <c r="F709" t="s">
        <v>56</v>
      </c>
      <c r="G709" s="1">
        <v>44976</v>
      </c>
      <c r="H709" t="s">
        <v>2070</v>
      </c>
      <c r="I709" t="s">
        <v>2071</v>
      </c>
      <c r="J709" t="s">
        <v>59</v>
      </c>
      <c r="K709">
        <v>43699.093392209499</v>
      </c>
      <c r="L709">
        <v>460</v>
      </c>
      <c r="M709" t="s">
        <v>32</v>
      </c>
      <c r="N709" s="1">
        <v>44991</v>
      </c>
      <c r="O709" t="s">
        <v>44</v>
      </c>
      <c r="P709" t="s">
        <v>45</v>
      </c>
      <c r="Q709">
        <v>15</v>
      </c>
    </row>
    <row r="710" spans="1:17" x14ac:dyDescent="0.35">
      <c r="A710" t="s">
        <v>2033</v>
      </c>
      <c r="B710" t="str">
        <f t="shared" si="21"/>
        <v>66-75</v>
      </c>
      <c r="C710">
        <v>74</v>
      </c>
      <c r="D710" t="s">
        <v>26</v>
      </c>
      <c r="E710" t="s">
        <v>232</v>
      </c>
      <c r="F710" t="s">
        <v>56</v>
      </c>
      <c r="G710" s="1">
        <v>44155</v>
      </c>
      <c r="H710" t="s">
        <v>2034</v>
      </c>
      <c r="I710" t="s">
        <v>2035</v>
      </c>
      <c r="J710" t="s">
        <v>59</v>
      </c>
      <c r="K710">
        <v>21005.634447377201</v>
      </c>
      <c r="L710">
        <v>425</v>
      </c>
      <c r="M710" t="s">
        <v>32</v>
      </c>
      <c r="N710" s="1">
        <v>44177</v>
      </c>
      <c r="O710" t="s">
        <v>87</v>
      </c>
      <c r="P710" t="s">
        <v>34</v>
      </c>
      <c r="Q710">
        <v>22</v>
      </c>
    </row>
    <row r="711" spans="1:17" x14ac:dyDescent="0.35">
      <c r="A711" t="s">
        <v>2503</v>
      </c>
      <c r="B711" t="str">
        <f t="shared" si="21"/>
        <v>76-85</v>
      </c>
      <c r="C711">
        <v>76</v>
      </c>
      <c r="D711" t="s">
        <v>16</v>
      </c>
      <c r="E711" t="s">
        <v>27</v>
      </c>
      <c r="F711" t="s">
        <v>56</v>
      </c>
      <c r="G711" s="1">
        <v>43407</v>
      </c>
      <c r="H711" t="s">
        <v>2504</v>
      </c>
      <c r="I711" t="s">
        <v>2505</v>
      </c>
      <c r="J711" t="s">
        <v>59</v>
      </c>
      <c r="K711">
        <v>43952.390215232503</v>
      </c>
      <c r="L711">
        <v>343</v>
      </c>
      <c r="M711" t="s">
        <v>43</v>
      </c>
      <c r="N711" s="1">
        <v>43417</v>
      </c>
      <c r="O711" t="s">
        <v>87</v>
      </c>
      <c r="P711" t="s">
        <v>24</v>
      </c>
      <c r="Q711">
        <v>10</v>
      </c>
    </row>
    <row r="712" spans="1:17" x14ac:dyDescent="0.35">
      <c r="A712" t="s">
        <v>2263</v>
      </c>
      <c r="B712" t="str">
        <f t="shared" si="21"/>
        <v>56-65</v>
      </c>
      <c r="C712">
        <v>65</v>
      </c>
      <c r="D712" t="s">
        <v>16</v>
      </c>
      <c r="E712" t="s">
        <v>36</v>
      </c>
      <c r="F712" t="s">
        <v>56</v>
      </c>
      <c r="G712" s="1">
        <v>45056</v>
      </c>
      <c r="H712" t="s">
        <v>2264</v>
      </c>
      <c r="I712" t="s">
        <v>2265</v>
      </c>
      <c r="J712" t="s">
        <v>31</v>
      </c>
      <c r="K712">
        <v>19925.361214557499</v>
      </c>
      <c r="L712">
        <v>381</v>
      </c>
      <c r="M712" t="s">
        <v>32</v>
      </c>
      <c r="N712" s="1">
        <v>45080</v>
      </c>
      <c r="O712" t="s">
        <v>44</v>
      </c>
      <c r="P712" t="s">
        <v>24</v>
      </c>
      <c r="Q712">
        <v>24</v>
      </c>
    </row>
    <row r="713" spans="1:17" x14ac:dyDescent="0.35">
      <c r="A713" t="s">
        <v>2404</v>
      </c>
      <c r="B713" t="str">
        <f t="shared" si="21"/>
        <v>26-35</v>
      </c>
      <c r="C713">
        <v>35</v>
      </c>
      <c r="D713" t="s">
        <v>26</v>
      </c>
      <c r="E713" t="s">
        <v>65</v>
      </c>
      <c r="F713" t="s">
        <v>56</v>
      </c>
      <c r="G713" s="1">
        <v>44154</v>
      </c>
      <c r="H713" t="s">
        <v>2405</v>
      </c>
      <c r="I713" t="s">
        <v>883</v>
      </c>
      <c r="J713" t="s">
        <v>54</v>
      </c>
      <c r="K713">
        <v>13608.1789673241</v>
      </c>
      <c r="L713">
        <v>304</v>
      </c>
      <c r="M713" t="s">
        <v>32</v>
      </c>
      <c r="N713" s="1">
        <v>44180</v>
      </c>
      <c r="O713" t="s">
        <v>87</v>
      </c>
      <c r="P713" t="s">
        <v>24</v>
      </c>
      <c r="Q713">
        <v>26</v>
      </c>
    </row>
    <row r="714" spans="1:17" x14ac:dyDescent="0.35">
      <c r="A714" t="s">
        <v>1223</v>
      </c>
      <c r="B714" t="str">
        <f t="shared" si="21"/>
        <v>18-25</v>
      </c>
      <c r="C714">
        <v>19</v>
      </c>
      <c r="D714" t="s">
        <v>26</v>
      </c>
      <c r="E714" t="s">
        <v>65</v>
      </c>
      <c r="F714" t="s">
        <v>56</v>
      </c>
      <c r="G714" s="1">
        <v>44802</v>
      </c>
      <c r="H714" t="s">
        <v>1224</v>
      </c>
      <c r="I714" t="s">
        <v>1225</v>
      </c>
      <c r="J714" t="s">
        <v>59</v>
      </c>
      <c r="K714">
        <v>35307.197478873801</v>
      </c>
      <c r="L714">
        <v>229</v>
      </c>
      <c r="M714" t="s">
        <v>43</v>
      </c>
      <c r="N714" s="1">
        <v>44811</v>
      </c>
      <c r="O714" t="s">
        <v>50</v>
      </c>
      <c r="P714" t="s">
        <v>45</v>
      </c>
      <c r="Q714">
        <v>9</v>
      </c>
    </row>
    <row r="715" spans="1:17" x14ac:dyDescent="0.35">
      <c r="A715" t="s">
        <v>2712</v>
      </c>
      <c r="B715" t="str">
        <f t="shared" si="21"/>
        <v>46-55</v>
      </c>
      <c r="C715">
        <v>50</v>
      </c>
      <c r="D715" t="s">
        <v>26</v>
      </c>
      <c r="E715" t="s">
        <v>232</v>
      </c>
      <c r="F715" t="s">
        <v>56</v>
      </c>
      <c r="G715" s="1">
        <v>44704</v>
      </c>
      <c r="H715" t="s">
        <v>2713</v>
      </c>
      <c r="I715" t="s">
        <v>2714</v>
      </c>
      <c r="J715" t="s">
        <v>31</v>
      </c>
      <c r="K715">
        <v>5244.5079796949103</v>
      </c>
      <c r="L715">
        <v>463</v>
      </c>
      <c r="M715" t="s">
        <v>22</v>
      </c>
      <c r="N715" s="1">
        <v>44725</v>
      </c>
      <c r="O715" t="s">
        <v>44</v>
      </c>
      <c r="P715" t="s">
        <v>24</v>
      </c>
      <c r="Q715">
        <v>21</v>
      </c>
    </row>
    <row r="716" spans="1:17" x14ac:dyDescent="0.35">
      <c r="A716" t="s">
        <v>730</v>
      </c>
      <c r="B716" t="str">
        <f t="shared" si="21"/>
        <v>26-35</v>
      </c>
      <c r="C716">
        <v>26</v>
      </c>
      <c r="D716" t="s">
        <v>26</v>
      </c>
      <c r="E716" t="s">
        <v>65</v>
      </c>
      <c r="F716" t="s">
        <v>56</v>
      </c>
      <c r="G716" s="1">
        <v>43805</v>
      </c>
      <c r="H716" t="s">
        <v>731</v>
      </c>
      <c r="I716" t="s">
        <v>732</v>
      </c>
      <c r="J716" t="s">
        <v>54</v>
      </c>
      <c r="K716">
        <v>11113.373663116599</v>
      </c>
      <c r="L716">
        <v>162</v>
      </c>
      <c r="M716" t="s">
        <v>43</v>
      </c>
      <c r="N716" s="1">
        <v>43816</v>
      </c>
      <c r="O716" t="s">
        <v>87</v>
      </c>
      <c r="P716" t="s">
        <v>45</v>
      </c>
      <c r="Q716">
        <v>11</v>
      </c>
    </row>
    <row r="717" spans="1:17" x14ac:dyDescent="0.35">
      <c r="A717" t="s">
        <v>1241</v>
      </c>
      <c r="B717" t="str">
        <f t="shared" si="21"/>
        <v>36-45</v>
      </c>
      <c r="C717">
        <v>44</v>
      </c>
      <c r="D717" t="s">
        <v>26</v>
      </c>
      <c r="E717" t="s">
        <v>27</v>
      </c>
      <c r="F717" t="s">
        <v>56</v>
      </c>
      <c r="G717" s="1">
        <v>45002</v>
      </c>
      <c r="H717" t="s">
        <v>1242</v>
      </c>
      <c r="I717" t="s">
        <v>1243</v>
      </c>
      <c r="J717" t="s">
        <v>21</v>
      </c>
      <c r="K717">
        <v>35490.262673802499</v>
      </c>
      <c r="L717">
        <v>403</v>
      </c>
      <c r="M717" t="s">
        <v>43</v>
      </c>
      <c r="N717" s="1">
        <v>45010</v>
      </c>
      <c r="O717" t="s">
        <v>44</v>
      </c>
      <c r="P717" t="s">
        <v>45</v>
      </c>
      <c r="Q717">
        <v>8</v>
      </c>
    </row>
    <row r="718" spans="1:17" x14ac:dyDescent="0.35">
      <c r="A718" t="s">
        <v>2682</v>
      </c>
      <c r="B718" t="str">
        <f t="shared" si="21"/>
        <v>36-45</v>
      </c>
      <c r="C718">
        <v>37</v>
      </c>
      <c r="D718" t="s">
        <v>16</v>
      </c>
      <c r="E718" t="s">
        <v>92</v>
      </c>
      <c r="F718" t="s">
        <v>56</v>
      </c>
      <c r="G718" s="1">
        <v>43743</v>
      </c>
      <c r="H718" t="s">
        <v>2683</v>
      </c>
      <c r="I718" t="s">
        <v>2684</v>
      </c>
      <c r="J718" t="s">
        <v>59</v>
      </c>
      <c r="K718">
        <v>5223.9589452186301</v>
      </c>
      <c r="L718">
        <v>143</v>
      </c>
      <c r="M718" t="s">
        <v>32</v>
      </c>
      <c r="N718" s="1">
        <v>43763</v>
      </c>
      <c r="O718" t="s">
        <v>33</v>
      </c>
      <c r="P718" t="s">
        <v>45</v>
      </c>
      <c r="Q718">
        <v>20</v>
      </c>
    </row>
    <row r="719" spans="1:17" x14ac:dyDescent="0.35">
      <c r="A719" t="s">
        <v>1963</v>
      </c>
      <c r="B719" t="str">
        <f t="shared" si="21"/>
        <v>36-45</v>
      </c>
      <c r="C719">
        <v>41</v>
      </c>
      <c r="D719" t="s">
        <v>16</v>
      </c>
      <c r="E719" t="s">
        <v>17</v>
      </c>
      <c r="F719" t="s">
        <v>56</v>
      </c>
      <c r="G719" s="1">
        <v>43634</v>
      </c>
      <c r="H719" t="s">
        <v>1964</v>
      </c>
      <c r="I719" t="s">
        <v>1965</v>
      </c>
      <c r="J719" t="s">
        <v>59</v>
      </c>
      <c r="K719">
        <v>10398.8414313658</v>
      </c>
      <c r="L719">
        <v>263</v>
      </c>
      <c r="M719" t="s">
        <v>22</v>
      </c>
      <c r="N719" s="1">
        <v>43660</v>
      </c>
      <c r="O719" t="s">
        <v>50</v>
      </c>
      <c r="P719" t="s">
        <v>45</v>
      </c>
      <c r="Q719">
        <v>26</v>
      </c>
    </row>
    <row r="720" spans="1:17" x14ac:dyDescent="0.35">
      <c r="A720" t="s">
        <v>1164</v>
      </c>
      <c r="B720" t="str">
        <f t="shared" si="21"/>
        <v>26-35</v>
      </c>
      <c r="C720">
        <v>27</v>
      </c>
      <c r="D720" t="s">
        <v>26</v>
      </c>
      <c r="E720" t="s">
        <v>92</v>
      </c>
      <c r="F720" t="s">
        <v>56</v>
      </c>
      <c r="G720" s="1">
        <v>44602</v>
      </c>
      <c r="H720" t="s">
        <v>1165</v>
      </c>
      <c r="I720" t="s">
        <v>1166</v>
      </c>
      <c r="J720" t="s">
        <v>31</v>
      </c>
      <c r="K720">
        <v>15469.681276723801</v>
      </c>
      <c r="L720">
        <v>305</v>
      </c>
      <c r="M720" t="s">
        <v>22</v>
      </c>
      <c r="N720" s="1">
        <v>44626</v>
      </c>
      <c r="O720" t="s">
        <v>33</v>
      </c>
      <c r="P720" t="s">
        <v>45</v>
      </c>
      <c r="Q720">
        <v>24</v>
      </c>
    </row>
    <row r="721" spans="1:17" x14ac:dyDescent="0.35">
      <c r="A721" t="s">
        <v>2415</v>
      </c>
      <c r="B721" t="str">
        <f t="shared" si="21"/>
        <v>26-35</v>
      </c>
      <c r="C721">
        <v>35</v>
      </c>
      <c r="D721" t="s">
        <v>16</v>
      </c>
      <c r="E721" t="s">
        <v>27</v>
      </c>
      <c r="F721" t="s">
        <v>56</v>
      </c>
      <c r="G721" s="1">
        <v>44634</v>
      </c>
      <c r="H721" t="s">
        <v>2416</v>
      </c>
      <c r="I721" t="s">
        <v>2417</v>
      </c>
      <c r="J721" t="s">
        <v>63</v>
      </c>
      <c r="K721">
        <v>41603.680766907499</v>
      </c>
      <c r="L721">
        <v>396</v>
      </c>
      <c r="M721" t="s">
        <v>22</v>
      </c>
      <c r="N721" s="1">
        <v>44662</v>
      </c>
      <c r="O721" t="s">
        <v>23</v>
      </c>
      <c r="P721" t="s">
        <v>34</v>
      </c>
      <c r="Q721">
        <v>28</v>
      </c>
    </row>
    <row r="722" spans="1:17" x14ac:dyDescent="0.35">
      <c r="A722" t="s">
        <v>923</v>
      </c>
      <c r="B722" t="str">
        <f t="shared" si="21"/>
        <v>36-45</v>
      </c>
      <c r="C722">
        <v>36</v>
      </c>
      <c r="D722" t="s">
        <v>26</v>
      </c>
      <c r="E722" t="s">
        <v>36</v>
      </c>
      <c r="F722" t="s">
        <v>56</v>
      </c>
      <c r="G722" s="1">
        <v>44874</v>
      </c>
      <c r="H722" t="s">
        <v>924</v>
      </c>
      <c r="I722" t="s">
        <v>925</v>
      </c>
      <c r="J722" t="s">
        <v>63</v>
      </c>
      <c r="K722">
        <v>41995.8722771537</v>
      </c>
      <c r="L722">
        <v>362</v>
      </c>
      <c r="M722" t="s">
        <v>43</v>
      </c>
      <c r="N722" s="1">
        <v>44885</v>
      </c>
      <c r="O722" t="s">
        <v>23</v>
      </c>
      <c r="P722" t="s">
        <v>34</v>
      </c>
      <c r="Q722">
        <v>11</v>
      </c>
    </row>
    <row r="723" spans="1:17" x14ac:dyDescent="0.35">
      <c r="A723" t="s">
        <v>2169</v>
      </c>
      <c r="B723" t="str">
        <f t="shared" si="21"/>
        <v>76-85</v>
      </c>
      <c r="C723">
        <v>83</v>
      </c>
      <c r="D723" t="s">
        <v>16</v>
      </c>
      <c r="E723" t="s">
        <v>36</v>
      </c>
      <c r="F723" t="s">
        <v>56</v>
      </c>
      <c r="G723" s="1">
        <v>45019</v>
      </c>
      <c r="H723" t="s">
        <v>2170</v>
      </c>
      <c r="I723" t="s">
        <v>2171</v>
      </c>
      <c r="J723" t="s">
        <v>31</v>
      </c>
      <c r="K723">
        <v>19789.252541621201</v>
      </c>
      <c r="L723">
        <v>413</v>
      </c>
      <c r="M723" t="s">
        <v>43</v>
      </c>
      <c r="N723" s="1">
        <v>45023</v>
      </c>
      <c r="O723" t="s">
        <v>87</v>
      </c>
      <c r="P723" t="s">
        <v>34</v>
      </c>
      <c r="Q723">
        <v>4</v>
      </c>
    </row>
    <row r="724" spans="1:17" x14ac:dyDescent="0.35">
      <c r="A724" t="s">
        <v>964</v>
      </c>
      <c r="B724" t="str">
        <f t="shared" ref="B724:B787" si="22">VLOOKUP(C724,$T$3:$U$9,2,TRUE)</f>
        <v>56-65</v>
      </c>
      <c r="C724">
        <v>59</v>
      </c>
      <c r="D724" t="s">
        <v>26</v>
      </c>
      <c r="E724" t="s">
        <v>36</v>
      </c>
      <c r="F724" t="s">
        <v>56</v>
      </c>
      <c r="G724" s="1">
        <v>43580</v>
      </c>
      <c r="H724" t="s">
        <v>965</v>
      </c>
      <c r="I724" t="s">
        <v>966</v>
      </c>
      <c r="J724" t="s">
        <v>59</v>
      </c>
      <c r="K724">
        <v>18364.414653784501</v>
      </c>
      <c r="L724">
        <v>288</v>
      </c>
      <c r="M724" t="s">
        <v>22</v>
      </c>
      <c r="N724" s="1">
        <v>43605</v>
      </c>
      <c r="O724" t="s">
        <v>33</v>
      </c>
      <c r="P724" t="s">
        <v>45</v>
      </c>
      <c r="Q724">
        <v>25</v>
      </c>
    </row>
    <row r="725" spans="1:17" x14ac:dyDescent="0.35">
      <c r="A725" t="s">
        <v>126</v>
      </c>
      <c r="B725" t="str">
        <f t="shared" si="22"/>
        <v>66-75</v>
      </c>
      <c r="C725">
        <v>74</v>
      </c>
      <c r="D725" t="s">
        <v>16</v>
      </c>
      <c r="E725" t="s">
        <v>51</v>
      </c>
      <c r="F725" t="s">
        <v>56</v>
      </c>
      <c r="G725" s="1">
        <v>44341</v>
      </c>
      <c r="H725" t="s">
        <v>127</v>
      </c>
      <c r="I725" t="s">
        <v>128</v>
      </c>
      <c r="J725" t="s">
        <v>59</v>
      </c>
      <c r="K725">
        <v>12680.7305210584</v>
      </c>
      <c r="L725">
        <v>298</v>
      </c>
      <c r="M725" t="s">
        <v>32</v>
      </c>
      <c r="N725" s="1">
        <v>44355</v>
      </c>
      <c r="O725" t="s">
        <v>33</v>
      </c>
      <c r="P725" t="s">
        <v>45</v>
      </c>
      <c r="Q725">
        <v>14</v>
      </c>
    </row>
    <row r="726" spans="1:17" x14ac:dyDescent="0.35">
      <c r="A726" t="s">
        <v>1456</v>
      </c>
      <c r="B726" t="str">
        <f t="shared" si="22"/>
        <v>26-35</v>
      </c>
      <c r="C726">
        <v>28</v>
      </c>
      <c r="D726" t="s">
        <v>26</v>
      </c>
      <c r="E726" t="s">
        <v>27</v>
      </c>
      <c r="F726" t="s">
        <v>56</v>
      </c>
      <c r="G726" s="1">
        <v>45229</v>
      </c>
      <c r="H726" t="s">
        <v>1457</v>
      </c>
      <c r="I726" t="s">
        <v>1458</v>
      </c>
      <c r="J726" t="s">
        <v>31</v>
      </c>
      <c r="K726">
        <v>37904.395334017099</v>
      </c>
      <c r="L726">
        <v>359</v>
      </c>
      <c r="M726" t="s">
        <v>22</v>
      </c>
      <c r="N726" s="1">
        <v>45238</v>
      </c>
      <c r="O726" t="s">
        <v>33</v>
      </c>
      <c r="P726" t="s">
        <v>45</v>
      </c>
      <c r="Q726">
        <v>9</v>
      </c>
    </row>
    <row r="727" spans="1:17" x14ac:dyDescent="0.35">
      <c r="A727" t="s">
        <v>1871</v>
      </c>
      <c r="B727" t="str">
        <f t="shared" si="22"/>
        <v>36-45</v>
      </c>
      <c r="C727">
        <v>37</v>
      </c>
      <c r="D727" t="s">
        <v>26</v>
      </c>
      <c r="E727" t="s">
        <v>65</v>
      </c>
      <c r="F727" t="s">
        <v>56</v>
      </c>
      <c r="G727" s="1">
        <v>44785</v>
      </c>
      <c r="H727" t="s">
        <v>1872</v>
      </c>
      <c r="I727" t="s">
        <v>1873</v>
      </c>
      <c r="J727" t="s">
        <v>59</v>
      </c>
      <c r="K727">
        <v>16653.861241303501</v>
      </c>
      <c r="L727">
        <v>233</v>
      </c>
      <c r="M727" t="s">
        <v>22</v>
      </c>
      <c r="N727" s="1">
        <v>44812</v>
      </c>
      <c r="O727" t="s">
        <v>44</v>
      </c>
      <c r="P727" t="s">
        <v>45</v>
      </c>
      <c r="Q727">
        <v>27</v>
      </c>
    </row>
    <row r="728" spans="1:17" x14ac:dyDescent="0.35">
      <c r="A728" t="s">
        <v>1402</v>
      </c>
      <c r="B728" t="str">
        <f t="shared" si="22"/>
        <v>56-65</v>
      </c>
      <c r="C728">
        <v>59</v>
      </c>
      <c r="D728" t="s">
        <v>16</v>
      </c>
      <c r="E728" t="s">
        <v>92</v>
      </c>
      <c r="F728" t="s">
        <v>56</v>
      </c>
      <c r="G728" s="1">
        <v>44543</v>
      </c>
      <c r="H728" t="s">
        <v>1403</v>
      </c>
      <c r="I728" t="s">
        <v>1404</v>
      </c>
      <c r="J728" t="s">
        <v>21</v>
      </c>
      <c r="K728">
        <v>35725.015997527997</v>
      </c>
      <c r="L728">
        <v>246</v>
      </c>
      <c r="M728" t="s">
        <v>22</v>
      </c>
      <c r="N728" s="1">
        <v>44552</v>
      </c>
      <c r="O728" t="s">
        <v>44</v>
      </c>
      <c r="P728" t="s">
        <v>45</v>
      </c>
      <c r="Q728">
        <v>9</v>
      </c>
    </row>
    <row r="729" spans="1:17" x14ac:dyDescent="0.35">
      <c r="A729" t="s">
        <v>1199</v>
      </c>
      <c r="B729" t="str">
        <f t="shared" si="22"/>
        <v>66-75</v>
      </c>
      <c r="C729">
        <v>74</v>
      </c>
      <c r="D729" t="s">
        <v>16</v>
      </c>
      <c r="E729" t="s">
        <v>51</v>
      </c>
      <c r="F729" t="s">
        <v>56</v>
      </c>
      <c r="G729" s="1">
        <v>45090</v>
      </c>
      <c r="H729" t="s">
        <v>1200</v>
      </c>
      <c r="I729" t="s">
        <v>1201</v>
      </c>
      <c r="J729" t="s">
        <v>59</v>
      </c>
      <c r="K729">
        <v>16118.1665359169</v>
      </c>
      <c r="L729">
        <v>192</v>
      </c>
      <c r="M729" t="s">
        <v>43</v>
      </c>
      <c r="N729" s="1">
        <v>45118</v>
      </c>
      <c r="O729" t="s">
        <v>44</v>
      </c>
      <c r="P729" t="s">
        <v>45</v>
      </c>
      <c r="Q729">
        <v>28</v>
      </c>
    </row>
    <row r="730" spans="1:17" x14ac:dyDescent="0.35">
      <c r="A730" t="s">
        <v>1471</v>
      </c>
      <c r="B730" t="str">
        <f t="shared" si="22"/>
        <v>56-65</v>
      </c>
      <c r="C730">
        <v>64</v>
      </c>
      <c r="D730" t="s">
        <v>26</v>
      </c>
      <c r="E730" t="s">
        <v>92</v>
      </c>
      <c r="F730" t="s">
        <v>56</v>
      </c>
      <c r="G730" s="1">
        <v>43769</v>
      </c>
      <c r="H730" t="s">
        <v>1472</v>
      </c>
      <c r="I730" t="s">
        <v>1473</v>
      </c>
      <c r="J730" t="s">
        <v>59</v>
      </c>
      <c r="K730">
        <v>38384.833839941202</v>
      </c>
      <c r="L730">
        <v>423</v>
      </c>
      <c r="M730" t="s">
        <v>22</v>
      </c>
      <c r="N730" s="1">
        <v>43798</v>
      </c>
      <c r="O730" t="s">
        <v>87</v>
      </c>
      <c r="P730" t="s">
        <v>24</v>
      </c>
      <c r="Q730">
        <v>29</v>
      </c>
    </row>
    <row r="731" spans="1:17" x14ac:dyDescent="0.35">
      <c r="A731" t="s">
        <v>593</v>
      </c>
      <c r="B731" t="str">
        <f t="shared" si="22"/>
        <v>66-75</v>
      </c>
      <c r="C731">
        <v>68</v>
      </c>
      <c r="D731" t="s">
        <v>16</v>
      </c>
      <c r="E731" t="s">
        <v>51</v>
      </c>
      <c r="F731" t="s">
        <v>56</v>
      </c>
      <c r="G731" s="1">
        <v>44022</v>
      </c>
      <c r="H731" t="s">
        <v>594</v>
      </c>
      <c r="I731" t="s">
        <v>595</v>
      </c>
      <c r="J731" t="s">
        <v>31</v>
      </c>
      <c r="K731">
        <v>14578.9130118227</v>
      </c>
      <c r="L731">
        <v>470</v>
      </c>
      <c r="M731" t="s">
        <v>43</v>
      </c>
      <c r="N731" s="1">
        <v>44047</v>
      </c>
      <c r="O731" t="s">
        <v>44</v>
      </c>
      <c r="P731" t="s">
        <v>34</v>
      </c>
      <c r="Q731">
        <v>25</v>
      </c>
    </row>
    <row r="732" spans="1:17" x14ac:dyDescent="0.35">
      <c r="A732" t="s">
        <v>1686</v>
      </c>
      <c r="B732" t="str">
        <f t="shared" si="22"/>
        <v>26-35</v>
      </c>
      <c r="C732">
        <v>27</v>
      </c>
      <c r="D732" t="s">
        <v>16</v>
      </c>
      <c r="E732" t="s">
        <v>36</v>
      </c>
      <c r="F732" t="s">
        <v>56</v>
      </c>
      <c r="G732" s="1">
        <v>43640</v>
      </c>
      <c r="H732" t="s">
        <v>1687</v>
      </c>
      <c r="I732" t="s">
        <v>1688</v>
      </c>
      <c r="J732" t="s">
        <v>21</v>
      </c>
      <c r="K732">
        <v>19532.532787234701</v>
      </c>
      <c r="L732">
        <v>482</v>
      </c>
      <c r="M732" t="s">
        <v>43</v>
      </c>
      <c r="N732" s="1">
        <v>43658</v>
      </c>
      <c r="O732" t="s">
        <v>23</v>
      </c>
      <c r="P732" t="s">
        <v>45</v>
      </c>
      <c r="Q732">
        <v>18</v>
      </c>
    </row>
    <row r="733" spans="1:17" x14ac:dyDescent="0.35">
      <c r="A733" t="s">
        <v>1954</v>
      </c>
      <c r="B733" t="str">
        <f t="shared" si="22"/>
        <v>36-45</v>
      </c>
      <c r="C733">
        <v>37</v>
      </c>
      <c r="D733" t="s">
        <v>16</v>
      </c>
      <c r="E733" t="s">
        <v>117</v>
      </c>
      <c r="F733" t="s">
        <v>56</v>
      </c>
      <c r="G733" s="1">
        <v>44391</v>
      </c>
      <c r="H733" t="s">
        <v>1955</v>
      </c>
      <c r="I733" t="s">
        <v>1956</v>
      </c>
      <c r="J733" t="s">
        <v>54</v>
      </c>
      <c r="K733">
        <v>37031.667951122399</v>
      </c>
      <c r="L733">
        <v>464</v>
      </c>
      <c r="M733" t="s">
        <v>22</v>
      </c>
      <c r="N733" s="1">
        <v>44401</v>
      </c>
      <c r="O733" t="s">
        <v>87</v>
      </c>
      <c r="P733" t="s">
        <v>34</v>
      </c>
      <c r="Q733">
        <v>10</v>
      </c>
    </row>
    <row r="734" spans="1:17" x14ac:dyDescent="0.35">
      <c r="A734" t="s">
        <v>2895</v>
      </c>
      <c r="B734" t="str">
        <f t="shared" si="22"/>
        <v>56-65</v>
      </c>
      <c r="C734">
        <v>61</v>
      </c>
      <c r="D734" t="s">
        <v>26</v>
      </c>
      <c r="E734" t="s">
        <v>17</v>
      </c>
      <c r="F734" t="s">
        <v>56</v>
      </c>
      <c r="G734" s="1">
        <v>45064</v>
      </c>
      <c r="H734" t="s">
        <v>2896</v>
      </c>
      <c r="I734" t="s">
        <v>2897</v>
      </c>
      <c r="J734" t="s">
        <v>31</v>
      </c>
      <c r="K734">
        <v>39737.329479595399</v>
      </c>
      <c r="L734">
        <v>144</v>
      </c>
      <c r="M734" t="s">
        <v>32</v>
      </c>
      <c r="N734" s="1">
        <v>45080</v>
      </c>
      <c r="O734" t="s">
        <v>23</v>
      </c>
      <c r="P734" t="s">
        <v>45</v>
      </c>
      <c r="Q734">
        <v>16</v>
      </c>
    </row>
    <row r="735" spans="1:17" x14ac:dyDescent="0.35">
      <c r="A735" t="s">
        <v>1609</v>
      </c>
      <c r="B735" t="str">
        <f t="shared" si="22"/>
        <v>56-65</v>
      </c>
      <c r="C735">
        <v>59</v>
      </c>
      <c r="D735" t="s">
        <v>16</v>
      </c>
      <c r="E735" t="s">
        <v>51</v>
      </c>
      <c r="F735" t="s">
        <v>56</v>
      </c>
      <c r="G735" s="1">
        <v>44498</v>
      </c>
      <c r="H735" t="s">
        <v>1610</v>
      </c>
      <c r="I735" t="s">
        <v>1611</v>
      </c>
      <c r="J735" t="s">
        <v>21</v>
      </c>
      <c r="K735">
        <v>48934.269264303897</v>
      </c>
      <c r="L735">
        <v>224</v>
      </c>
      <c r="M735" t="s">
        <v>22</v>
      </c>
      <c r="N735" s="1">
        <v>44509</v>
      </c>
      <c r="O735" t="s">
        <v>50</v>
      </c>
      <c r="P735" t="s">
        <v>45</v>
      </c>
      <c r="Q735">
        <v>11</v>
      </c>
    </row>
    <row r="736" spans="1:17" x14ac:dyDescent="0.35">
      <c r="A736" t="s">
        <v>500</v>
      </c>
      <c r="B736" t="str">
        <f t="shared" si="22"/>
        <v>76-85</v>
      </c>
      <c r="C736">
        <v>77</v>
      </c>
      <c r="D736" t="s">
        <v>16</v>
      </c>
      <c r="E736" t="s">
        <v>36</v>
      </c>
      <c r="F736" t="s">
        <v>56</v>
      </c>
      <c r="G736" s="1">
        <v>43907</v>
      </c>
      <c r="H736" t="s">
        <v>501</v>
      </c>
      <c r="I736" t="s">
        <v>502</v>
      </c>
      <c r="J736" t="s">
        <v>59</v>
      </c>
      <c r="K736">
        <v>25129.1759518902</v>
      </c>
      <c r="L736">
        <v>459</v>
      </c>
      <c r="M736" t="s">
        <v>32</v>
      </c>
      <c r="N736" s="1">
        <v>43927</v>
      </c>
      <c r="O736" t="s">
        <v>87</v>
      </c>
      <c r="P736" t="s">
        <v>24</v>
      </c>
      <c r="Q736">
        <v>20</v>
      </c>
    </row>
    <row r="737" spans="1:17" x14ac:dyDescent="0.35">
      <c r="A737" t="s">
        <v>2136</v>
      </c>
      <c r="B737" t="str">
        <f t="shared" si="22"/>
        <v>18-25</v>
      </c>
      <c r="C737">
        <v>20</v>
      </c>
      <c r="D737" t="s">
        <v>26</v>
      </c>
      <c r="E737" t="s">
        <v>27</v>
      </c>
      <c r="F737" t="s">
        <v>56</v>
      </c>
      <c r="G737" s="1">
        <v>44526</v>
      </c>
      <c r="H737" t="s">
        <v>2137</v>
      </c>
      <c r="I737" t="s">
        <v>2138</v>
      </c>
      <c r="J737" t="s">
        <v>31</v>
      </c>
      <c r="K737">
        <v>20131.649878843</v>
      </c>
      <c r="L737">
        <v>478</v>
      </c>
      <c r="M737" t="s">
        <v>32</v>
      </c>
      <c r="N737" s="1">
        <v>44531</v>
      </c>
      <c r="O737" t="s">
        <v>50</v>
      </c>
      <c r="P737" t="s">
        <v>45</v>
      </c>
      <c r="Q737">
        <v>5</v>
      </c>
    </row>
    <row r="738" spans="1:17" x14ac:dyDescent="0.35">
      <c r="A738" t="s">
        <v>2836</v>
      </c>
      <c r="B738" t="str">
        <f t="shared" si="22"/>
        <v>46-55</v>
      </c>
      <c r="C738">
        <v>53</v>
      </c>
      <c r="D738" t="s">
        <v>26</v>
      </c>
      <c r="E738" t="s">
        <v>51</v>
      </c>
      <c r="F738" t="s">
        <v>56</v>
      </c>
      <c r="G738" s="1">
        <v>43841</v>
      </c>
      <c r="H738" t="s">
        <v>2837</v>
      </c>
      <c r="I738" t="s">
        <v>2838</v>
      </c>
      <c r="J738" t="s">
        <v>59</v>
      </c>
      <c r="K738">
        <v>18225.084077363401</v>
      </c>
      <c r="L738">
        <v>422</v>
      </c>
      <c r="M738" t="s">
        <v>43</v>
      </c>
      <c r="N738" s="1">
        <v>43856</v>
      </c>
      <c r="O738" t="s">
        <v>87</v>
      </c>
      <c r="P738" t="s">
        <v>45</v>
      </c>
      <c r="Q738">
        <v>15</v>
      </c>
    </row>
    <row r="739" spans="1:17" x14ac:dyDescent="0.35">
      <c r="A739" t="s">
        <v>2875</v>
      </c>
      <c r="B739" t="str">
        <f t="shared" si="22"/>
        <v>66-75</v>
      </c>
      <c r="C739">
        <v>74</v>
      </c>
      <c r="D739" t="s">
        <v>26</v>
      </c>
      <c r="E739" t="s">
        <v>65</v>
      </c>
      <c r="F739" t="s">
        <v>56</v>
      </c>
      <c r="G739" s="1">
        <v>44492</v>
      </c>
      <c r="H739" t="s">
        <v>2876</v>
      </c>
      <c r="I739" t="s">
        <v>2877</v>
      </c>
      <c r="J739" t="s">
        <v>59</v>
      </c>
      <c r="K739">
        <v>33283.284696003</v>
      </c>
      <c r="L739">
        <v>257</v>
      </c>
      <c r="M739" t="s">
        <v>22</v>
      </c>
      <c r="N739" s="1">
        <v>44506</v>
      </c>
      <c r="O739" t="s">
        <v>50</v>
      </c>
      <c r="P739" t="s">
        <v>34</v>
      </c>
      <c r="Q739">
        <v>14</v>
      </c>
    </row>
    <row r="740" spans="1:17" x14ac:dyDescent="0.35">
      <c r="A740" t="s">
        <v>2254</v>
      </c>
      <c r="B740" t="str">
        <f t="shared" si="22"/>
        <v>66-75</v>
      </c>
      <c r="C740">
        <v>72</v>
      </c>
      <c r="D740" t="s">
        <v>16</v>
      </c>
      <c r="E740" t="s">
        <v>92</v>
      </c>
      <c r="F740" t="s">
        <v>56</v>
      </c>
      <c r="G740" s="1">
        <v>43899</v>
      </c>
      <c r="H740" t="s">
        <v>2255</v>
      </c>
      <c r="I740" t="s">
        <v>2256</v>
      </c>
      <c r="J740" t="s">
        <v>31</v>
      </c>
      <c r="K740">
        <v>28429.3070566602</v>
      </c>
      <c r="L740">
        <v>211</v>
      </c>
      <c r="M740" t="s">
        <v>22</v>
      </c>
      <c r="N740" s="1">
        <v>43928</v>
      </c>
      <c r="O740" t="s">
        <v>44</v>
      </c>
      <c r="P740" t="s">
        <v>24</v>
      </c>
      <c r="Q740">
        <v>29</v>
      </c>
    </row>
    <row r="741" spans="1:17" x14ac:dyDescent="0.35">
      <c r="A741" t="s">
        <v>1756</v>
      </c>
      <c r="B741" t="str">
        <f t="shared" si="22"/>
        <v>56-65</v>
      </c>
      <c r="C741">
        <v>59</v>
      </c>
      <c r="D741" t="s">
        <v>26</v>
      </c>
      <c r="E741" t="s">
        <v>27</v>
      </c>
      <c r="F741" t="s">
        <v>56</v>
      </c>
      <c r="G741" s="1">
        <v>44029</v>
      </c>
      <c r="H741" t="s">
        <v>1757</v>
      </c>
      <c r="I741" t="s">
        <v>1758</v>
      </c>
      <c r="J741" t="s">
        <v>63</v>
      </c>
      <c r="K741">
        <v>39300.532140015901</v>
      </c>
      <c r="L741">
        <v>148</v>
      </c>
      <c r="M741" t="s">
        <v>43</v>
      </c>
      <c r="N741" s="1">
        <v>44034</v>
      </c>
      <c r="O741" t="s">
        <v>44</v>
      </c>
      <c r="P741" t="s">
        <v>34</v>
      </c>
      <c r="Q741">
        <v>5</v>
      </c>
    </row>
    <row r="742" spans="1:17" x14ac:dyDescent="0.35">
      <c r="A742" t="s">
        <v>2741</v>
      </c>
      <c r="B742" t="str">
        <f t="shared" si="22"/>
        <v>36-45</v>
      </c>
      <c r="C742">
        <v>45</v>
      </c>
      <c r="D742" t="s">
        <v>16</v>
      </c>
      <c r="E742" t="s">
        <v>51</v>
      </c>
      <c r="F742" t="s">
        <v>56</v>
      </c>
      <c r="G742" s="1">
        <v>44070</v>
      </c>
      <c r="H742" t="s">
        <v>2742</v>
      </c>
      <c r="I742" t="s">
        <v>2743</v>
      </c>
      <c r="J742" t="s">
        <v>21</v>
      </c>
      <c r="K742">
        <v>22616.997534497601</v>
      </c>
      <c r="L742">
        <v>195</v>
      </c>
      <c r="M742" t="s">
        <v>32</v>
      </c>
      <c r="N742" s="1">
        <v>44095</v>
      </c>
      <c r="O742" t="s">
        <v>23</v>
      </c>
      <c r="P742" t="s">
        <v>45</v>
      </c>
      <c r="Q742">
        <v>25</v>
      </c>
    </row>
    <row r="743" spans="1:17" x14ac:dyDescent="0.35">
      <c r="A743" t="s">
        <v>587</v>
      </c>
      <c r="B743" t="str">
        <f t="shared" si="22"/>
        <v>56-65</v>
      </c>
      <c r="C743">
        <v>64</v>
      </c>
      <c r="D743" t="s">
        <v>16</v>
      </c>
      <c r="E743" t="s">
        <v>232</v>
      </c>
      <c r="F743" t="s">
        <v>56</v>
      </c>
      <c r="G743" s="1">
        <v>43977</v>
      </c>
      <c r="H743" t="s">
        <v>588</v>
      </c>
      <c r="I743" t="s">
        <v>589</v>
      </c>
      <c r="J743" t="s">
        <v>21</v>
      </c>
      <c r="K743">
        <v>37006.724829498598</v>
      </c>
      <c r="L743">
        <v>378</v>
      </c>
      <c r="M743" t="s">
        <v>22</v>
      </c>
      <c r="N743" s="1">
        <v>43987</v>
      </c>
      <c r="O743" t="s">
        <v>50</v>
      </c>
      <c r="P743" t="s">
        <v>24</v>
      </c>
      <c r="Q743">
        <v>10</v>
      </c>
    </row>
    <row r="744" spans="1:17" x14ac:dyDescent="0.35">
      <c r="A744" t="s">
        <v>852</v>
      </c>
      <c r="B744" t="str">
        <f t="shared" si="22"/>
        <v>56-65</v>
      </c>
      <c r="C744">
        <v>62</v>
      </c>
      <c r="D744" t="s">
        <v>26</v>
      </c>
      <c r="E744" t="s">
        <v>65</v>
      </c>
      <c r="F744" t="s">
        <v>56</v>
      </c>
      <c r="G744" s="1">
        <v>44704</v>
      </c>
      <c r="H744" t="s">
        <v>853</v>
      </c>
      <c r="I744" t="s">
        <v>854</v>
      </c>
      <c r="J744" t="s">
        <v>59</v>
      </c>
      <c r="K744">
        <v>22979.213540298901</v>
      </c>
      <c r="L744">
        <v>216</v>
      </c>
      <c r="M744" t="s">
        <v>32</v>
      </c>
      <c r="N744" s="1">
        <v>44723</v>
      </c>
      <c r="O744" t="s">
        <v>44</v>
      </c>
      <c r="P744" t="s">
        <v>45</v>
      </c>
      <c r="Q744">
        <v>19</v>
      </c>
    </row>
    <row r="745" spans="1:17" x14ac:dyDescent="0.35">
      <c r="A745" t="s">
        <v>724</v>
      </c>
      <c r="B745" t="str">
        <f t="shared" si="22"/>
        <v>46-55</v>
      </c>
      <c r="C745">
        <v>53</v>
      </c>
      <c r="D745" t="s">
        <v>16</v>
      </c>
      <c r="E745" t="s">
        <v>36</v>
      </c>
      <c r="F745" t="s">
        <v>56</v>
      </c>
      <c r="G745" s="1">
        <v>44507</v>
      </c>
      <c r="H745" t="s">
        <v>725</v>
      </c>
      <c r="I745" t="s">
        <v>726</v>
      </c>
      <c r="J745" t="s">
        <v>63</v>
      </c>
      <c r="K745">
        <v>11571.5707776116</v>
      </c>
      <c r="L745">
        <v>295</v>
      </c>
      <c r="M745" t="s">
        <v>22</v>
      </c>
      <c r="N745" s="1">
        <v>44522</v>
      </c>
      <c r="O745" t="s">
        <v>87</v>
      </c>
      <c r="P745" t="s">
        <v>24</v>
      </c>
      <c r="Q745">
        <v>15</v>
      </c>
    </row>
    <row r="746" spans="1:17" x14ac:dyDescent="0.35">
      <c r="A746" t="s">
        <v>1689</v>
      </c>
      <c r="B746" t="str">
        <f t="shared" si="22"/>
        <v>26-35</v>
      </c>
      <c r="C746">
        <v>29</v>
      </c>
      <c r="D746" t="s">
        <v>16</v>
      </c>
      <c r="E746" t="s">
        <v>232</v>
      </c>
      <c r="F746" t="s">
        <v>56</v>
      </c>
      <c r="G746" s="1">
        <v>43803</v>
      </c>
      <c r="H746" t="s">
        <v>1690</v>
      </c>
      <c r="I746" t="s">
        <v>1691</v>
      </c>
      <c r="J746" t="s">
        <v>21</v>
      </c>
      <c r="K746">
        <v>45970.025398204401</v>
      </c>
      <c r="L746">
        <v>349</v>
      </c>
      <c r="M746" t="s">
        <v>43</v>
      </c>
      <c r="N746" s="1">
        <v>43830</v>
      </c>
      <c r="O746" t="s">
        <v>33</v>
      </c>
      <c r="P746" t="s">
        <v>45</v>
      </c>
      <c r="Q746">
        <v>27</v>
      </c>
    </row>
    <row r="747" spans="1:17" x14ac:dyDescent="0.35">
      <c r="A747" t="s">
        <v>2892</v>
      </c>
      <c r="B747" t="str">
        <f t="shared" si="22"/>
        <v>66-75</v>
      </c>
      <c r="C747">
        <v>75</v>
      </c>
      <c r="D747" t="s">
        <v>16</v>
      </c>
      <c r="E747" t="s">
        <v>92</v>
      </c>
      <c r="F747" t="s">
        <v>56</v>
      </c>
      <c r="G747" s="1">
        <v>44121</v>
      </c>
      <c r="H747" t="s">
        <v>2893</v>
      </c>
      <c r="I747" t="s">
        <v>2894</v>
      </c>
      <c r="J747" t="s">
        <v>59</v>
      </c>
      <c r="K747">
        <v>2737.6761092319098</v>
      </c>
      <c r="L747">
        <v>370</v>
      </c>
      <c r="M747" t="s">
        <v>43</v>
      </c>
      <c r="N747" s="1">
        <v>44127</v>
      </c>
      <c r="O747" t="s">
        <v>50</v>
      </c>
      <c r="P747" t="s">
        <v>34</v>
      </c>
      <c r="Q747">
        <v>6</v>
      </c>
    </row>
    <row r="748" spans="1:17" x14ac:dyDescent="0.35">
      <c r="A748" t="s">
        <v>2780</v>
      </c>
      <c r="B748" t="str">
        <f t="shared" si="22"/>
        <v>26-35</v>
      </c>
      <c r="C748">
        <v>31</v>
      </c>
      <c r="D748" t="s">
        <v>26</v>
      </c>
      <c r="E748" t="s">
        <v>65</v>
      </c>
      <c r="F748" t="s">
        <v>56</v>
      </c>
      <c r="G748" s="1">
        <v>43770</v>
      </c>
      <c r="H748" t="s">
        <v>2781</v>
      </c>
      <c r="I748" t="s">
        <v>2782</v>
      </c>
      <c r="J748" t="s">
        <v>21</v>
      </c>
      <c r="K748">
        <v>5767.5005933531002</v>
      </c>
      <c r="L748">
        <v>126</v>
      </c>
      <c r="M748" t="s">
        <v>32</v>
      </c>
      <c r="N748" s="1">
        <v>43773</v>
      </c>
      <c r="O748" t="s">
        <v>33</v>
      </c>
      <c r="P748" t="s">
        <v>34</v>
      </c>
      <c r="Q748">
        <v>3</v>
      </c>
    </row>
    <row r="749" spans="1:17" x14ac:dyDescent="0.35">
      <c r="A749" t="s">
        <v>434</v>
      </c>
      <c r="B749" t="str">
        <f t="shared" si="22"/>
        <v>76-85</v>
      </c>
      <c r="C749">
        <v>80</v>
      </c>
      <c r="D749" t="s">
        <v>26</v>
      </c>
      <c r="E749" t="s">
        <v>51</v>
      </c>
      <c r="F749" t="s">
        <v>56</v>
      </c>
      <c r="G749" s="1">
        <v>44124</v>
      </c>
      <c r="H749" t="s">
        <v>435</v>
      </c>
      <c r="I749" t="s">
        <v>436</v>
      </c>
      <c r="J749" t="s">
        <v>54</v>
      </c>
      <c r="K749">
        <v>40372.1167404589</v>
      </c>
      <c r="L749">
        <v>419</v>
      </c>
      <c r="M749" t="s">
        <v>43</v>
      </c>
      <c r="N749" s="1">
        <v>44127</v>
      </c>
      <c r="O749" t="s">
        <v>50</v>
      </c>
      <c r="P749" t="s">
        <v>34</v>
      </c>
      <c r="Q749">
        <v>3</v>
      </c>
    </row>
    <row r="750" spans="1:17" x14ac:dyDescent="0.35">
      <c r="A750" t="s">
        <v>2225</v>
      </c>
      <c r="B750" t="str">
        <f t="shared" si="22"/>
        <v>46-55</v>
      </c>
      <c r="C750">
        <v>55</v>
      </c>
      <c r="D750" t="s">
        <v>26</v>
      </c>
      <c r="E750" t="s">
        <v>92</v>
      </c>
      <c r="F750" t="s">
        <v>56</v>
      </c>
      <c r="G750" s="1">
        <v>44437</v>
      </c>
      <c r="H750" t="s">
        <v>2226</v>
      </c>
      <c r="I750" t="s">
        <v>2227</v>
      </c>
      <c r="J750" t="s">
        <v>31</v>
      </c>
      <c r="K750">
        <v>42294.905321713901</v>
      </c>
      <c r="L750">
        <v>401</v>
      </c>
      <c r="M750" t="s">
        <v>43</v>
      </c>
      <c r="N750" s="1">
        <v>44438</v>
      </c>
      <c r="O750" t="s">
        <v>87</v>
      </c>
      <c r="P750" t="s">
        <v>24</v>
      </c>
      <c r="Q750">
        <v>1</v>
      </c>
    </row>
    <row r="751" spans="1:17" x14ac:dyDescent="0.35">
      <c r="A751" t="s">
        <v>2102</v>
      </c>
      <c r="B751" t="str">
        <f t="shared" si="22"/>
        <v>36-45</v>
      </c>
      <c r="C751">
        <v>45</v>
      </c>
      <c r="D751" t="s">
        <v>16</v>
      </c>
      <c r="E751" t="s">
        <v>36</v>
      </c>
      <c r="F751" t="s">
        <v>56</v>
      </c>
      <c r="G751" s="1">
        <v>45021</v>
      </c>
      <c r="H751" t="s">
        <v>2009</v>
      </c>
      <c r="I751" t="s">
        <v>2103</v>
      </c>
      <c r="J751" t="s">
        <v>54</v>
      </c>
      <c r="K751">
        <v>26875.034080236601</v>
      </c>
      <c r="L751">
        <v>103</v>
      </c>
      <c r="M751" t="s">
        <v>43</v>
      </c>
      <c r="N751" s="1">
        <v>45048</v>
      </c>
      <c r="O751" t="s">
        <v>44</v>
      </c>
      <c r="P751" t="s">
        <v>24</v>
      </c>
      <c r="Q751">
        <v>27</v>
      </c>
    </row>
    <row r="752" spans="1:17" x14ac:dyDescent="0.35">
      <c r="A752" t="s">
        <v>1937</v>
      </c>
      <c r="B752" t="str">
        <f t="shared" si="22"/>
        <v>56-65</v>
      </c>
      <c r="C752">
        <v>59</v>
      </c>
      <c r="D752" t="s">
        <v>16</v>
      </c>
      <c r="E752" t="s">
        <v>17</v>
      </c>
      <c r="F752" t="s">
        <v>56</v>
      </c>
      <c r="G752" s="1">
        <v>43754</v>
      </c>
      <c r="H752" t="s">
        <v>1938</v>
      </c>
      <c r="I752" t="s">
        <v>1939</v>
      </c>
      <c r="J752" t="s">
        <v>63</v>
      </c>
      <c r="K752">
        <v>4159.8516752477699</v>
      </c>
      <c r="L752">
        <v>240</v>
      </c>
      <c r="M752" t="s">
        <v>22</v>
      </c>
      <c r="N752" s="1">
        <v>43784</v>
      </c>
      <c r="O752" t="s">
        <v>50</v>
      </c>
      <c r="P752" t="s">
        <v>24</v>
      </c>
      <c r="Q752">
        <v>30</v>
      </c>
    </row>
    <row r="753" spans="1:17" x14ac:dyDescent="0.35">
      <c r="A753" t="s">
        <v>2128</v>
      </c>
      <c r="B753" t="str">
        <f t="shared" si="22"/>
        <v>26-35</v>
      </c>
      <c r="C753">
        <v>33</v>
      </c>
      <c r="D753" t="s">
        <v>26</v>
      </c>
      <c r="E753" t="s">
        <v>51</v>
      </c>
      <c r="F753" t="s">
        <v>56</v>
      </c>
      <c r="G753" s="1">
        <v>43854</v>
      </c>
      <c r="H753" t="s">
        <v>2129</v>
      </c>
      <c r="I753" t="s">
        <v>2130</v>
      </c>
      <c r="J753" t="s">
        <v>63</v>
      </c>
      <c r="K753">
        <v>29381.579599553599</v>
      </c>
      <c r="L753">
        <v>478</v>
      </c>
      <c r="M753" t="s">
        <v>32</v>
      </c>
      <c r="N753" s="1">
        <v>43866</v>
      </c>
      <c r="O753" t="s">
        <v>33</v>
      </c>
      <c r="P753" t="s">
        <v>45</v>
      </c>
      <c r="Q753">
        <v>12</v>
      </c>
    </row>
    <row r="754" spans="1:17" x14ac:dyDescent="0.35">
      <c r="A754" t="s">
        <v>2515</v>
      </c>
      <c r="B754" t="str">
        <f t="shared" si="22"/>
        <v>66-75</v>
      </c>
      <c r="C754">
        <v>74</v>
      </c>
      <c r="D754" t="s">
        <v>16</v>
      </c>
      <c r="E754" t="s">
        <v>117</v>
      </c>
      <c r="F754" t="s">
        <v>56</v>
      </c>
      <c r="G754" s="1">
        <v>43556</v>
      </c>
      <c r="H754" t="s">
        <v>2516</v>
      </c>
      <c r="I754" t="s">
        <v>2517</v>
      </c>
      <c r="J754" t="s">
        <v>54</v>
      </c>
      <c r="K754">
        <v>45779.075188684299</v>
      </c>
      <c r="L754">
        <v>232</v>
      </c>
      <c r="M754" t="s">
        <v>43</v>
      </c>
      <c r="N754" s="1">
        <v>43579</v>
      </c>
      <c r="O754" t="s">
        <v>33</v>
      </c>
      <c r="P754" t="s">
        <v>34</v>
      </c>
      <c r="Q754">
        <v>23</v>
      </c>
    </row>
    <row r="755" spans="1:17" x14ac:dyDescent="0.35">
      <c r="A755" t="s">
        <v>2347</v>
      </c>
      <c r="B755" t="str">
        <f t="shared" si="22"/>
        <v>66-75</v>
      </c>
      <c r="C755">
        <v>68</v>
      </c>
      <c r="D755" t="s">
        <v>26</v>
      </c>
      <c r="E755" t="s">
        <v>232</v>
      </c>
      <c r="F755" t="s">
        <v>56</v>
      </c>
      <c r="G755" s="1">
        <v>43941</v>
      </c>
      <c r="H755" t="s">
        <v>2348</v>
      </c>
      <c r="I755" t="s">
        <v>2349</v>
      </c>
      <c r="J755" t="s">
        <v>21</v>
      </c>
      <c r="K755">
        <v>47030.328586837903</v>
      </c>
      <c r="L755">
        <v>467</v>
      </c>
      <c r="M755" t="s">
        <v>32</v>
      </c>
      <c r="N755" s="1">
        <v>43961</v>
      </c>
      <c r="O755" t="s">
        <v>50</v>
      </c>
      <c r="P755" t="s">
        <v>45</v>
      </c>
      <c r="Q755">
        <v>20</v>
      </c>
    </row>
    <row r="756" spans="1:17" x14ac:dyDescent="0.35">
      <c r="A756" t="s">
        <v>1597</v>
      </c>
      <c r="B756" t="str">
        <f t="shared" si="22"/>
        <v>46-55</v>
      </c>
      <c r="C756">
        <v>50</v>
      </c>
      <c r="D756" t="s">
        <v>16</v>
      </c>
      <c r="E756" t="s">
        <v>232</v>
      </c>
      <c r="F756" t="s">
        <v>56</v>
      </c>
      <c r="G756" s="1">
        <v>44420</v>
      </c>
      <c r="H756" t="s">
        <v>1598</v>
      </c>
      <c r="I756" t="s">
        <v>1599</v>
      </c>
      <c r="J756" t="s">
        <v>54</v>
      </c>
      <c r="K756">
        <v>35536.835399326897</v>
      </c>
      <c r="L756">
        <v>231</v>
      </c>
      <c r="M756" t="s">
        <v>22</v>
      </c>
      <c r="N756" s="1">
        <v>44430</v>
      </c>
      <c r="O756" t="s">
        <v>23</v>
      </c>
      <c r="P756" t="s">
        <v>34</v>
      </c>
      <c r="Q756">
        <v>10</v>
      </c>
    </row>
    <row r="757" spans="1:17" x14ac:dyDescent="0.35">
      <c r="A757" t="s">
        <v>890</v>
      </c>
      <c r="B757" t="str">
        <f t="shared" si="22"/>
        <v>36-45</v>
      </c>
      <c r="C757">
        <v>37</v>
      </c>
      <c r="D757" t="s">
        <v>16</v>
      </c>
      <c r="E757" t="s">
        <v>92</v>
      </c>
      <c r="F757" t="s">
        <v>56</v>
      </c>
      <c r="G757" s="1">
        <v>44070</v>
      </c>
      <c r="H757" t="s">
        <v>891</v>
      </c>
      <c r="I757" t="s">
        <v>892</v>
      </c>
      <c r="J757" t="s">
        <v>21</v>
      </c>
      <c r="K757">
        <v>42182.749765012202</v>
      </c>
      <c r="L757">
        <v>356</v>
      </c>
      <c r="M757" t="s">
        <v>22</v>
      </c>
      <c r="N757" s="1">
        <v>44091</v>
      </c>
      <c r="O757" t="s">
        <v>23</v>
      </c>
      <c r="P757" t="s">
        <v>34</v>
      </c>
      <c r="Q757">
        <v>21</v>
      </c>
    </row>
    <row r="758" spans="1:17" x14ac:dyDescent="0.35">
      <c r="A758" t="s">
        <v>1538</v>
      </c>
      <c r="B758" t="str">
        <f t="shared" si="22"/>
        <v>46-55</v>
      </c>
      <c r="C758">
        <v>54</v>
      </c>
      <c r="D758" t="s">
        <v>26</v>
      </c>
      <c r="E758" t="s">
        <v>17</v>
      </c>
      <c r="F758" t="s">
        <v>56</v>
      </c>
      <c r="G758" s="1">
        <v>45028</v>
      </c>
      <c r="H758" t="s">
        <v>1539</v>
      </c>
      <c r="I758" t="s">
        <v>1540</v>
      </c>
      <c r="J758" t="s">
        <v>21</v>
      </c>
      <c r="K758">
        <v>36653.518666295698</v>
      </c>
      <c r="L758">
        <v>279</v>
      </c>
      <c r="M758" t="s">
        <v>43</v>
      </c>
      <c r="N758" s="1">
        <v>45056</v>
      </c>
      <c r="O758" t="s">
        <v>33</v>
      </c>
      <c r="P758" t="s">
        <v>34</v>
      </c>
      <c r="Q758">
        <v>28</v>
      </c>
    </row>
    <row r="759" spans="1:17" x14ac:dyDescent="0.35">
      <c r="A759" t="s">
        <v>2768</v>
      </c>
      <c r="B759" t="str">
        <f t="shared" si="22"/>
        <v>46-55</v>
      </c>
      <c r="C759">
        <v>55</v>
      </c>
      <c r="D759" t="s">
        <v>16</v>
      </c>
      <c r="E759" t="s">
        <v>117</v>
      </c>
      <c r="F759" t="s">
        <v>56</v>
      </c>
      <c r="G759" s="1">
        <v>43711</v>
      </c>
      <c r="H759" t="s">
        <v>2769</v>
      </c>
      <c r="I759" t="s">
        <v>2770</v>
      </c>
      <c r="J759" t="s">
        <v>21</v>
      </c>
      <c r="K759">
        <v>45454.866124597997</v>
      </c>
      <c r="L759">
        <v>146</v>
      </c>
      <c r="M759" t="s">
        <v>32</v>
      </c>
      <c r="N759" s="1">
        <v>43722</v>
      </c>
      <c r="O759" t="s">
        <v>87</v>
      </c>
      <c r="P759" t="s">
        <v>24</v>
      </c>
      <c r="Q759">
        <v>11</v>
      </c>
    </row>
    <row r="760" spans="1:17" x14ac:dyDescent="0.35">
      <c r="A760" t="s">
        <v>2869</v>
      </c>
      <c r="B760" t="str">
        <f t="shared" si="22"/>
        <v>18-25</v>
      </c>
      <c r="C760">
        <v>25</v>
      </c>
      <c r="D760" t="s">
        <v>26</v>
      </c>
      <c r="E760" t="s">
        <v>17</v>
      </c>
      <c r="F760" t="s">
        <v>56</v>
      </c>
      <c r="G760" s="1">
        <v>44798</v>
      </c>
      <c r="H760" t="s">
        <v>2870</v>
      </c>
      <c r="I760" t="s">
        <v>2871</v>
      </c>
      <c r="J760" t="s">
        <v>31</v>
      </c>
      <c r="K760">
        <v>39459.436269374499</v>
      </c>
      <c r="L760">
        <v>188</v>
      </c>
      <c r="M760" t="s">
        <v>32</v>
      </c>
      <c r="N760" s="1">
        <v>44821</v>
      </c>
      <c r="O760" t="s">
        <v>23</v>
      </c>
      <c r="P760" t="s">
        <v>45</v>
      </c>
      <c r="Q760">
        <v>23</v>
      </c>
    </row>
    <row r="761" spans="1:17" x14ac:dyDescent="0.35">
      <c r="A761" t="s">
        <v>2001</v>
      </c>
      <c r="B761" t="str">
        <f t="shared" si="22"/>
        <v>66-75</v>
      </c>
      <c r="C761">
        <v>67</v>
      </c>
      <c r="D761" t="s">
        <v>16</v>
      </c>
      <c r="E761" t="s">
        <v>27</v>
      </c>
      <c r="F761" t="s">
        <v>56</v>
      </c>
      <c r="G761" s="1">
        <v>43841</v>
      </c>
      <c r="H761" t="s">
        <v>1469</v>
      </c>
      <c r="I761" t="s">
        <v>2002</v>
      </c>
      <c r="J761" t="s">
        <v>59</v>
      </c>
      <c r="K761">
        <v>8941.4695186572699</v>
      </c>
      <c r="L761">
        <v>155</v>
      </c>
      <c r="M761" t="s">
        <v>32</v>
      </c>
      <c r="N761" s="1">
        <v>43847</v>
      </c>
      <c r="O761" t="s">
        <v>33</v>
      </c>
      <c r="P761" t="s">
        <v>45</v>
      </c>
      <c r="Q761">
        <v>6</v>
      </c>
    </row>
    <row r="762" spans="1:17" x14ac:dyDescent="0.35">
      <c r="A762" t="s">
        <v>253</v>
      </c>
      <c r="B762" t="str">
        <f t="shared" si="22"/>
        <v>36-45</v>
      </c>
      <c r="C762">
        <v>38</v>
      </c>
      <c r="D762" t="s">
        <v>26</v>
      </c>
      <c r="E762" t="s">
        <v>117</v>
      </c>
      <c r="F762" t="s">
        <v>56</v>
      </c>
      <c r="G762" s="1">
        <v>43881</v>
      </c>
      <c r="H762" t="s">
        <v>254</v>
      </c>
      <c r="I762" t="s">
        <v>255</v>
      </c>
      <c r="J762" t="s">
        <v>21</v>
      </c>
      <c r="K762">
        <v>24509.041814010201</v>
      </c>
      <c r="L762">
        <v>407</v>
      </c>
      <c r="M762" t="s">
        <v>43</v>
      </c>
      <c r="N762" s="1">
        <v>43888</v>
      </c>
      <c r="O762" t="s">
        <v>33</v>
      </c>
      <c r="P762" t="s">
        <v>24</v>
      </c>
      <c r="Q762">
        <v>7</v>
      </c>
    </row>
    <row r="763" spans="1:17" x14ac:dyDescent="0.35">
      <c r="A763" t="s">
        <v>2637</v>
      </c>
      <c r="B763" t="str">
        <f t="shared" si="22"/>
        <v>76-85</v>
      </c>
      <c r="C763">
        <v>77</v>
      </c>
      <c r="D763" t="s">
        <v>26</v>
      </c>
      <c r="E763" t="s">
        <v>117</v>
      </c>
      <c r="F763" t="s">
        <v>56</v>
      </c>
      <c r="G763" s="1">
        <v>44525</v>
      </c>
      <c r="H763" t="s">
        <v>2638</v>
      </c>
      <c r="I763" t="s">
        <v>2639</v>
      </c>
      <c r="J763" t="s">
        <v>59</v>
      </c>
      <c r="K763">
        <v>24578.184988308501</v>
      </c>
      <c r="L763">
        <v>437</v>
      </c>
      <c r="M763" t="s">
        <v>32</v>
      </c>
      <c r="N763" s="1">
        <v>44546</v>
      </c>
      <c r="O763" t="s">
        <v>50</v>
      </c>
      <c r="P763" t="s">
        <v>34</v>
      </c>
      <c r="Q763">
        <v>21</v>
      </c>
    </row>
    <row r="764" spans="1:17" x14ac:dyDescent="0.35">
      <c r="A764" t="s">
        <v>1316</v>
      </c>
      <c r="B764" t="str">
        <f t="shared" si="22"/>
        <v>18-25</v>
      </c>
      <c r="C764">
        <v>24</v>
      </c>
      <c r="D764" t="s">
        <v>26</v>
      </c>
      <c r="E764" t="s">
        <v>117</v>
      </c>
      <c r="F764" t="s">
        <v>56</v>
      </c>
      <c r="G764" s="1">
        <v>43811</v>
      </c>
      <c r="H764" t="s">
        <v>1317</v>
      </c>
      <c r="I764" t="s">
        <v>1318</v>
      </c>
      <c r="J764" t="s">
        <v>54</v>
      </c>
      <c r="K764">
        <v>41767.212328260401</v>
      </c>
      <c r="L764">
        <v>286</v>
      </c>
      <c r="M764" t="s">
        <v>32</v>
      </c>
      <c r="N764" s="1">
        <v>43815</v>
      </c>
      <c r="O764" t="s">
        <v>50</v>
      </c>
      <c r="P764" t="s">
        <v>24</v>
      </c>
      <c r="Q764">
        <v>4</v>
      </c>
    </row>
    <row r="765" spans="1:17" x14ac:dyDescent="0.35">
      <c r="A765" t="s">
        <v>1615</v>
      </c>
      <c r="B765" t="str">
        <f t="shared" si="22"/>
        <v>46-55</v>
      </c>
      <c r="C765">
        <v>53</v>
      </c>
      <c r="D765" t="s">
        <v>26</v>
      </c>
      <c r="E765" t="s">
        <v>117</v>
      </c>
      <c r="F765" t="s">
        <v>56</v>
      </c>
      <c r="G765" s="1">
        <v>44081</v>
      </c>
      <c r="H765" t="s">
        <v>1616</v>
      </c>
      <c r="I765" t="s">
        <v>1617</v>
      </c>
      <c r="J765" t="s">
        <v>21</v>
      </c>
      <c r="K765">
        <v>30326.548123541201</v>
      </c>
      <c r="L765">
        <v>464</v>
      </c>
      <c r="M765" t="s">
        <v>43</v>
      </c>
      <c r="N765" s="1">
        <v>44106</v>
      </c>
      <c r="O765" t="s">
        <v>87</v>
      </c>
      <c r="P765" t="s">
        <v>45</v>
      </c>
      <c r="Q765">
        <v>25</v>
      </c>
    </row>
    <row r="766" spans="1:17" x14ac:dyDescent="0.35">
      <c r="A766" t="s">
        <v>2961</v>
      </c>
      <c r="B766" t="str">
        <f t="shared" si="22"/>
        <v>76-85</v>
      </c>
      <c r="C766">
        <v>77</v>
      </c>
      <c r="D766" t="s">
        <v>16</v>
      </c>
      <c r="E766" t="s">
        <v>27</v>
      </c>
      <c r="F766" t="s">
        <v>56</v>
      </c>
      <c r="G766" s="1">
        <v>44205</v>
      </c>
      <c r="H766" t="s">
        <v>2962</v>
      </c>
      <c r="I766" t="s">
        <v>2963</v>
      </c>
      <c r="J766" t="s">
        <v>63</v>
      </c>
      <c r="K766">
        <v>36183.545475962899</v>
      </c>
      <c r="L766">
        <v>343</v>
      </c>
      <c r="M766" t="s">
        <v>43</v>
      </c>
      <c r="N766" s="1">
        <v>44220</v>
      </c>
      <c r="O766" t="s">
        <v>87</v>
      </c>
      <c r="P766" t="s">
        <v>24</v>
      </c>
      <c r="Q766">
        <v>15</v>
      </c>
    </row>
    <row r="767" spans="1:17" x14ac:dyDescent="0.35">
      <c r="A767" t="s">
        <v>1645</v>
      </c>
      <c r="B767" t="str">
        <f t="shared" si="22"/>
        <v>46-55</v>
      </c>
      <c r="C767">
        <v>54</v>
      </c>
      <c r="D767" t="s">
        <v>16</v>
      </c>
      <c r="E767" t="s">
        <v>51</v>
      </c>
      <c r="F767" t="s">
        <v>56</v>
      </c>
      <c r="G767" s="1">
        <v>43581</v>
      </c>
      <c r="H767" t="s">
        <v>1646</v>
      </c>
      <c r="I767" t="s">
        <v>1647</v>
      </c>
      <c r="J767" t="s">
        <v>31</v>
      </c>
      <c r="K767">
        <v>26984.721435077601</v>
      </c>
      <c r="L767">
        <v>370</v>
      </c>
      <c r="M767" t="s">
        <v>43</v>
      </c>
      <c r="N767" s="1">
        <v>43602</v>
      </c>
      <c r="O767" t="s">
        <v>50</v>
      </c>
      <c r="P767" t="s">
        <v>34</v>
      </c>
      <c r="Q767">
        <v>21</v>
      </c>
    </row>
    <row r="768" spans="1:17" x14ac:dyDescent="0.35">
      <c r="A768" t="s">
        <v>2467</v>
      </c>
      <c r="B768" t="str">
        <f t="shared" si="22"/>
        <v>18-25</v>
      </c>
      <c r="C768">
        <v>20</v>
      </c>
      <c r="D768" t="s">
        <v>16</v>
      </c>
      <c r="E768" t="s">
        <v>92</v>
      </c>
      <c r="F768" t="s">
        <v>56</v>
      </c>
      <c r="G768" s="1">
        <v>44825</v>
      </c>
      <c r="H768" t="s">
        <v>2468</v>
      </c>
      <c r="I768" t="s">
        <v>2469</v>
      </c>
      <c r="J768" t="s">
        <v>54</v>
      </c>
      <c r="K768">
        <v>43949.346582265898</v>
      </c>
      <c r="L768">
        <v>278</v>
      </c>
      <c r="M768" t="s">
        <v>32</v>
      </c>
      <c r="N768" s="1">
        <v>44834</v>
      </c>
      <c r="O768" t="s">
        <v>23</v>
      </c>
      <c r="P768" t="s">
        <v>24</v>
      </c>
      <c r="Q768">
        <v>9</v>
      </c>
    </row>
    <row r="769" spans="1:17" x14ac:dyDescent="0.35">
      <c r="A769" t="s">
        <v>1642</v>
      </c>
      <c r="B769" t="str">
        <f t="shared" si="22"/>
        <v>56-65</v>
      </c>
      <c r="C769">
        <v>57</v>
      </c>
      <c r="D769" t="s">
        <v>26</v>
      </c>
      <c r="E769" t="s">
        <v>65</v>
      </c>
      <c r="F769" t="s">
        <v>56</v>
      </c>
      <c r="G769" s="1">
        <v>43860</v>
      </c>
      <c r="H769" t="s">
        <v>1643</v>
      </c>
      <c r="I769" t="s">
        <v>1644</v>
      </c>
      <c r="J769" t="s">
        <v>54</v>
      </c>
      <c r="K769">
        <v>13176.7874560946</v>
      </c>
      <c r="L769">
        <v>220</v>
      </c>
      <c r="M769" t="s">
        <v>43</v>
      </c>
      <c r="N769" s="1">
        <v>43862</v>
      </c>
      <c r="O769" t="s">
        <v>33</v>
      </c>
      <c r="P769" t="s">
        <v>45</v>
      </c>
      <c r="Q769">
        <v>2</v>
      </c>
    </row>
    <row r="770" spans="1:17" x14ac:dyDescent="0.35">
      <c r="A770" t="s">
        <v>177</v>
      </c>
      <c r="B770" t="str">
        <f t="shared" si="22"/>
        <v>26-35</v>
      </c>
      <c r="C770">
        <v>34</v>
      </c>
      <c r="D770" t="s">
        <v>26</v>
      </c>
      <c r="E770" t="s">
        <v>27</v>
      </c>
      <c r="F770" t="s">
        <v>56</v>
      </c>
      <c r="G770" s="1">
        <v>43622</v>
      </c>
      <c r="H770" t="s">
        <v>178</v>
      </c>
      <c r="I770" t="s">
        <v>179</v>
      </c>
      <c r="J770" t="s">
        <v>21</v>
      </c>
      <c r="K770">
        <v>16036.1099900234</v>
      </c>
      <c r="L770">
        <v>119</v>
      </c>
      <c r="M770" t="s">
        <v>32</v>
      </c>
      <c r="N770" s="1">
        <v>43646</v>
      </c>
      <c r="O770" t="s">
        <v>50</v>
      </c>
      <c r="P770" t="s">
        <v>34</v>
      </c>
      <c r="Q770">
        <v>24</v>
      </c>
    </row>
    <row r="771" spans="1:17" x14ac:dyDescent="0.35">
      <c r="A771" t="s">
        <v>2830</v>
      </c>
      <c r="B771" t="str">
        <f t="shared" si="22"/>
        <v>26-35</v>
      </c>
      <c r="C771">
        <v>27</v>
      </c>
      <c r="D771" t="s">
        <v>16</v>
      </c>
      <c r="E771" t="s">
        <v>27</v>
      </c>
      <c r="F771" t="s">
        <v>56</v>
      </c>
      <c r="G771" s="1">
        <v>43754</v>
      </c>
      <c r="H771" t="s">
        <v>2831</v>
      </c>
      <c r="I771" t="s">
        <v>2832</v>
      </c>
      <c r="J771" t="s">
        <v>59</v>
      </c>
      <c r="K771">
        <v>37502.404710407798</v>
      </c>
      <c r="L771">
        <v>449</v>
      </c>
      <c r="M771" t="s">
        <v>32</v>
      </c>
      <c r="N771" s="1">
        <v>43772</v>
      </c>
      <c r="O771" t="s">
        <v>23</v>
      </c>
      <c r="P771" t="s">
        <v>45</v>
      </c>
      <c r="Q771">
        <v>18</v>
      </c>
    </row>
    <row r="772" spans="1:17" x14ac:dyDescent="0.35">
      <c r="A772" t="s">
        <v>2953</v>
      </c>
      <c r="B772" t="str">
        <f t="shared" si="22"/>
        <v>46-55</v>
      </c>
      <c r="C772">
        <v>51</v>
      </c>
      <c r="D772" t="s">
        <v>16</v>
      </c>
      <c r="E772" t="s">
        <v>65</v>
      </c>
      <c r="F772" t="s">
        <v>56</v>
      </c>
      <c r="G772" s="1">
        <v>43620</v>
      </c>
      <c r="H772" t="s">
        <v>2954</v>
      </c>
      <c r="I772" t="s">
        <v>2955</v>
      </c>
      <c r="J772" t="s">
        <v>63</v>
      </c>
      <c r="K772">
        <v>37771.758993319199</v>
      </c>
      <c r="L772">
        <v>169</v>
      </c>
      <c r="M772" t="s">
        <v>22</v>
      </c>
      <c r="N772" s="1">
        <v>43628</v>
      </c>
      <c r="O772" t="s">
        <v>44</v>
      </c>
      <c r="P772" t="s">
        <v>34</v>
      </c>
      <c r="Q772">
        <v>8</v>
      </c>
    </row>
    <row r="773" spans="1:17" x14ac:dyDescent="0.35">
      <c r="A773" t="s">
        <v>1429</v>
      </c>
      <c r="B773" t="str">
        <f t="shared" si="22"/>
        <v>66-75</v>
      </c>
      <c r="C773">
        <v>68</v>
      </c>
      <c r="D773" t="s">
        <v>16</v>
      </c>
      <c r="E773" t="s">
        <v>51</v>
      </c>
      <c r="F773" t="s">
        <v>56</v>
      </c>
      <c r="G773" s="1">
        <v>43745</v>
      </c>
      <c r="H773" t="s">
        <v>1430</v>
      </c>
      <c r="I773" t="s">
        <v>1431</v>
      </c>
      <c r="J773" t="s">
        <v>31</v>
      </c>
      <c r="K773">
        <v>9198.0711778946607</v>
      </c>
      <c r="L773">
        <v>158</v>
      </c>
      <c r="M773" t="s">
        <v>22</v>
      </c>
      <c r="N773" s="1">
        <v>43767</v>
      </c>
      <c r="O773" t="s">
        <v>44</v>
      </c>
      <c r="P773" t="s">
        <v>24</v>
      </c>
      <c r="Q773">
        <v>22</v>
      </c>
    </row>
    <row r="774" spans="1:17" x14ac:dyDescent="0.35">
      <c r="A774" t="s">
        <v>2640</v>
      </c>
      <c r="B774" t="str">
        <f t="shared" si="22"/>
        <v>36-45</v>
      </c>
      <c r="C774">
        <v>36</v>
      </c>
      <c r="D774" t="s">
        <v>26</v>
      </c>
      <c r="E774" t="s">
        <v>92</v>
      </c>
      <c r="F774" t="s">
        <v>56</v>
      </c>
      <c r="G774" s="1">
        <v>43956</v>
      </c>
      <c r="H774" t="s">
        <v>2641</v>
      </c>
      <c r="I774" t="s">
        <v>2642</v>
      </c>
      <c r="J774" t="s">
        <v>21</v>
      </c>
      <c r="K774">
        <v>36750.887988822797</v>
      </c>
      <c r="L774">
        <v>457</v>
      </c>
      <c r="M774" t="s">
        <v>22</v>
      </c>
      <c r="N774" s="1">
        <v>43985</v>
      </c>
      <c r="O774" t="s">
        <v>23</v>
      </c>
      <c r="P774" t="s">
        <v>24</v>
      </c>
      <c r="Q774">
        <v>29</v>
      </c>
    </row>
    <row r="775" spans="1:17" x14ac:dyDescent="0.35">
      <c r="A775" t="s">
        <v>1020</v>
      </c>
      <c r="B775" t="str">
        <f t="shared" si="22"/>
        <v>36-45</v>
      </c>
      <c r="C775">
        <v>37</v>
      </c>
      <c r="D775" t="s">
        <v>16</v>
      </c>
      <c r="E775" t="s">
        <v>51</v>
      </c>
      <c r="F775" t="s">
        <v>56</v>
      </c>
      <c r="G775" s="1">
        <v>43429</v>
      </c>
      <c r="H775" t="s">
        <v>1021</v>
      </c>
      <c r="I775" t="s">
        <v>1022</v>
      </c>
      <c r="J775" t="s">
        <v>54</v>
      </c>
      <c r="K775">
        <v>35939.431931536703</v>
      </c>
      <c r="L775">
        <v>324</v>
      </c>
      <c r="M775" t="s">
        <v>32</v>
      </c>
      <c r="N775" s="1">
        <v>43451</v>
      </c>
      <c r="O775" t="s">
        <v>33</v>
      </c>
      <c r="P775" t="s">
        <v>34</v>
      </c>
      <c r="Q775">
        <v>22</v>
      </c>
    </row>
    <row r="776" spans="1:17" x14ac:dyDescent="0.35">
      <c r="A776" t="s">
        <v>1532</v>
      </c>
      <c r="B776" t="str">
        <f t="shared" si="22"/>
        <v>36-45</v>
      </c>
      <c r="C776">
        <v>43</v>
      </c>
      <c r="D776" t="s">
        <v>26</v>
      </c>
      <c r="E776" t="s">
        <v>117</v>
      </c>
      <c r="F776" t="s">
        <v>56</v>
      </c>
      <c r="G776" s="1">
        <v>44894</v>
      </c>
      <c r="H776" t="s">
        <v>1533</v>
      </c>
      <c r="I776" t="s">
        <v>1534</v>
      </c>
      <c r="J776" t="s">
        <v>31</v>
      </c>
      <c r="K776">
        <v>21763.630917301401</v>
      </c>
      <c r="L776">
        <v>413</v>
      </c>
      <c r="M776" t="s">
        <v>22</v>
      </c>
      <c r="N776" s="1">
        <v>44915</v>
      </c>
      <c r="O776" t="s">
        <v>23</v>
      </c>
      <c r="P776" t="s">
        <v>45</v>
      </c>
      <c r="Q776">
        <v>21</v>
      </c>
    </row>
    <row r="777" spans="1:17" x14ac:dyDescent="0.35">
      <c r="A777" t="s">
        <v>2750</v>
      </c>
      <c r="B777" t="str">
        <f t="shared" si="22"/>
        <v>66-75</v>
      </c>
      <c r="C777">
        <v>74</v>
      </c>
      <c r="D777" t="s">
        <v>26</v>
      </c>
      <c r="E777" t="s">
        <v>232</v>
      </c>
      <c r="F777" t="s">
        <v>56</v>
      </c>
      <c r="G777" s="1">
        <v>43560</v>
      </c>
      <c r="H777" t="s">
        <v>2751</v>
      </c>
      <c r="I777" t="s">
        <v>2752</v>
      </c>
      <c r="J777" t="s">
        <v>63</v>
      </c>
      <c r="K777">
        <v>2936.56560925742</v>
      </c>
      <c r="L777">
        <v>172</v>
      </c>
      <c r="M777" t="s">
        <v>32</v>
      </c>
      <c r="N777" s="1">
        <v>43578</v>
      </c>
      <c r="O777" t="s">
        <v>87</v>
      </c>
      <c r="P777" t="s">
        <v>45</v>
      </c>
      <c r="Q777">
        <v>18</v>
      </c>
    </row>
    <row r="778" spans="1:17" x14ac:dyDescent="0.35">
      <c r="A778" t="s">
        <v>763</v>
      </c>
      <c r="B778" t="str">
        <f t="shared" si="22"/>
        <v>18-25</v>
      </c>
      <c r="C778">
        <v>23</v>
      </c>
      <c r="D778" t="s">
        <v>26</v>
      </c>
      <c r="E778" t="s">
        <v>17</v>
      </c>
      <c r="F778" t="s">
        <v>56</v>
      </c>
      <c r="G778" s="1">
        <v>44297</v>
      </c>
      <c r="H778" t="s">
        <v>764</v>
      </c>
      <c r="I778" t="s">
        <v>765</v>
      </c>
      <c r="J778" t="s">
        <v>63</v>
      </c>
      <c r="K778">
        <v>18782.955727177799</v>
      </c>
      <c r="L778">
        <v>236</v>
      </c>
      <c r="M778" t="s">
        <v>22</v>
      </c>
      <c r="N778" s="1">
        <v>44307</v>
      </c>
      <c r="O778" t="s">
        <v>87</v>
      </c>
      <c r="P778" t="s">
        <v>45</v>
      </c>
      <c r="Q778">
        <v>10</v>
      </c>
    </row>
    <row r="779" spans="1:17" x14ac:dyDescent="0.35">
      <c r="A779" t="s">
        <v>1759</v>
      </c>
      <c r="B779" t="str">
        <f t="shared" si="22"/>
        <v>36-45</v>
      </c>
      <c r="C779">
        <v>44</v>
      </c>
      <c r="D779" t="s">
        <v>26</v>
      </c>
      <c r="E779" t="s">
        <v>65</v>
      </c>
      <c r="F779" t="s">
        <v>56</v>
      </c>
      <c r="G779" s="1">
        <v>44448</v>
      </c>
      <c r="H779" t="s">
        <v>1760</v>
      </c>
      <c r="I779" t="s">
        <v>1761</v>
      </c>
      <c r="J779" t="s">
        <v>63</v>
      </c>
      <c r="K779">
        <v>48637.890352783099</v>
      </c>
      <c r="L779">
        <v>489</v>
      </c>
      <c r="M779" t="s">
        <v>43</v>
      </c>
      <c r="N779" s="1">
        <v>44469</v>
      </c>
      <c r="O779" t="s">
        <v>23</v>
      </c>
      <c r="P779" t="s">
        <v>24</v>
      </c>
      <c r="Q779">
        <v>21</v>
      </c>
    </row>
    <row r="780" spans="1:17" x14ac:dyDescent="0.35">
      <c r="A780" t="s">
        <v>1226</v>
      </c>
      <c r="B780" t="str">
        <f t="shared" si="22"/>
        <v>46-55</v>
      </c>
      <c r="C780">
        <v>54</v>
      </c>
      <c r="D780" t="s">
        <v>26</v>
      </c>
      <c r="E780" t="s">
        <v>232</v>
      </c>
      <c r="F780" t="s">
        <v>56</v>
      </c>
      <c r="G780" s="1">
        <v>44587</v>
      </c>
      <c r="H780" t="s">
        <v>1227</v>
      </c>
      <c r="I780" t="s">
        <v>1228</v>
      </c>
      <c r="J780" t="s">
        <v>21</v>
      </c>
      <c r="K780">
        <v>10492.799553848799</v>
      </c>
      <c r="L780">
        <v>497</v>
      </c>
      <c r="M780" t="s">
        <v>32</v>
      </c>
      <c r="N780" s="1">
        <v>44598</v>
      </c>
      <c r="O780" t="s">
        <v>44</v>
      </c>
      <c r="P780" t="s">
        <v>34</v>
      </c>
      <c r="Q780">
        <v>11</v>
      </c>
    </row>
    <row r="781" spans="1:17" x14ac:dyDescent="0.35">
      <c r="A781" t="s">
        <v>884</v>
      </c>
      <c r="B781" t="str">
        <f t="shared" si="22"/>
        <v>18-25</v>
      </c>
      <c r="C781">
        <v>22</v>
      </c>
      <c r="D781" t="s">
        <v>16</v>
      </c>
      <c r="E781" t="s">
        <v>92</v>
      </c>
      <c r="F781" t="s">
        <v>56</v>
      </c>
      <c r="G781" s="1">
        <v>44728</v>
      </c>
      <c r="H781" t="s">
        <v>885</v>
      </c>
      <c r="I781" t="s">
        <v>886</v>
      </c>
      <c r="J781" t="s">
        <v>54</v>
      </c>
      <c r="K781">
        <v>13749.9682801294</v>
      </c>
      <c r="L781">
        <v>487</v>
      </c>
      <c r="M781" t="s">
        <v>32</v>
      </c>
      <c r="N781" s="1">
        <v>44736</v>
      </c>
      <c r="O781" t="s">
        <v>87</v>
      </c>
      <c r="P781" t="s">
        <v>34</v>
      </c>
      <c r="Q781">
        <v>8</v>
      </c>
    </row>
    <row r="782" spans="1:17" x14ac:dyDescent="0.35">
      <c r="A782" t="s">
        <v>2217</v>
      </c>
      <c r="B782" t="str">
        <f t="shared" si="22"/>
        <v>26-35</v>
      </c>
      <c r="C782">
        <v>35</v>
      </c>
      <c r="D782" t="s">
        <v>26</v>
      </c>
      <c r="E782" t="s">
        <v>65</v>
      </c>
      <c r="F782" t="s">
        <v>56</v>
      </c>
      <c r="G782" s="1">
        <v>44172</v>
      </c>
      <c r="H782" t="s">
        <v>2218</v>
      </c>
      <c r="I782" t="s">
        <v>2219</v>
      </c>
      <c r="J782" t="s">
        <v>21</v>
      </c>
      <c r="K782">
        <v>49974.8065919699</v>
      </c>
      <c r="L782">
        <v>390</v>
      </c>
      <c r="M782" t="s">
        <v>32</v>
      </c>
      <c r="N782" s="1">
        <v>44193</v>
      </c>
      <c r="O782" t="s">
        <v>33</v>
      </c>
      <c r="P782" t="s">
        <v>34</v>
      </c>
      <c r="Q782">
        <v>21</v>
      </c>
    </row>
    <row r="783" spans="1:17" x14ac:dyDescent="0.35">
      <c r="A783" t="s">
        <v>2569</v>
      </c>
      <c r="B783" t="str">
        <f t="shared" si="22"/>
        <v>56-65</v>
      </c>
      <c r="C783">
        <v>61</v>
      </c>
      <c r="D783" t="s">
        <v>26</v>
      </c>
      <c r="E783" t="s">
        <v>27</v>
      </c>
      <c r="F783" t="s">
        <v>56</v>
      </c>
      <c r="G783" s="1">
        <v>43929</v>
      </c>
      <c r="H783" t="s">
        <v>2570</v>
      </c>
      <c r="I783" t="s">
        <v>2571</v>
      </c>
      <c r="J783" t="s">
        <v>21</v>
      </c>
      <c r="K783">
        <v>42871.494053100803</v>
      </c>
      <c r="L783">
        <v>374</v>
      </c>
      <c r="M783" t="s">
        <v>22</v>
      </c>
      <c r="N783" s="1">
        <v>43952</v>
      </c>
      <c r="O783" t="s">
        <v>50</v>
      </c>
      <c r="P783" t="s">
        <v>34</v>
      </c>
      <c r="Q783">
        <v>23</v>
      </c>
    </row>
    <row r="784" spans="1:17" x14ac:dyDescent="0.35">
      <c r="A784" t="s">
        <v>524</v>
      </c>
      <c r="B784" t="str">
        <f t="shared" si="22"/>
        <v>18-25</v>
      </c>
      <c r="C784">
        <v>20</v>
      </c>
      <c r="D784" t="s">
        <v>16</v>
      </c>
      <c r="E784" t="s">
        <v>51</v>
      </c>
      <c r="F784" t="s">
        <v>56</v>
      </c>
      <c r="G784" s="1">
        <v>44490</v>
      </c>
      <c r="H784" t="s">
        <v>525</v>
      </c>
      <c r="I784" t="s">
        <v>526</v>
      </c>
      <c r="J784" t="s">
        <v>63</v>
      </c>
      <c r="K784">
        <v>42051.0940935705</v>
      </c>
      <c r="L784">
        <v>219</v>
      </c>
      <c r="M784" t="s">
        <v>32</v>
      </c>
      <c r="N784" s="1">
        <v>44509</v>
      </c>
      <c r="O784" t="s">
        <v>23</v>
      </c>
      <c r="P784" t="s">
        <v>45</v>
      </c>
      <c r="Q784">
        <v>19</v>
      </c>
    </row>
    <row r="785" spans="1:17" x14ac:dyDescent="0.35">
      <c r="A785" t="s">
        <v>1146</v>
      </c>
      <c r="B785" t="str">
        <f t="shared" si="22"/>
        <v>46-55</v>
      </c>
      <c r="C785">
        <v>55</v>
      </c>
      <c r="D785" t="s">
        <v>16</v>
      </c>
      <c r="E785" t="s">
        <v>65</v>
      </c>
      <c r="F785" t="s">
        <v>56</v>
      </c>
      <c r="G785" s="1">
        <v>44336</v>
      </c>
      <c r="H785" t="s">
        <v>1147</v>
      </c>
      <c r="I785" t="s">
        <v>1148</v>
      </c>
      <c r="J785" t="s">
        <v>63</v>
      </c>
      <c r="K785">
        <v>37419.016623861004</v>
      </c>
      <c r="L785">
        <v>496</v>
      </c>
      <c r="M785" t="s">
        <v>22</v>
      </c>
      <c r="N785" s="1">
        <v>44355</v>
      </c>
      <c r="O785" t="s">
        <v>87</v>
      </c>
      <c r="P785" t="s">
        <v>24</v>
      </c>
      <c r="Q785">
        <v>19</v>
      </c>
    </row>
    <row r="786" spans="1:17" x14ac:dyDescent="0.35">
      <c r="A786" t="s">
        <v>473</v>
      </c>
      <c r="B786" t="str">
        <f t="shared" si="22"/>
        <v>46-55</v>
      </c>
      <c r="C786">
        <v>49</v>
      </c>
      <c r="D786" t="s">
        <v>16</v>
      </c>
      <c r="E786" t="s">
        <v>27</v>
      </c>
      <c r="F786" t="s">
        <v>56</v>
      </c>
      <c r="G786" s="1">
        <v>44681</v>
      </c>
      <c r="H786" t="s">
        <v>474</v>
      </c>
      <c r="I786" t="s">
        <v>475</v>
      </c>
      <c r="J786" t="s">
        <v>63</v>
      </c>
      <c r="K786">
        <v>46131.070315783902</v>
      </c>
      <c r="L786">
        <v>430</v>
      </c>
      <c r="M786" t="s">
        <v>32</v>
      </c>
      <c r="N786" s="1">
        <v>44699</v>
      </c>
      <c r="O786" t="s">
        <v>33</v>
      </c>
      <c r="P786" t="s">
        <v>34</v>
      </c>
      <c r="Q786">
        <v>18</v>
      </c>
    </row>
    <row r="787" spans="1:17" x14ac:dyDescent="0.35">
      <c r="A787" t="s">
        <v>413</v>
      </c>
      <c r="B787" t="str">
        <f t="shared" si="22"/>
        <v>46-55</v>
      </c>
      <c r="C787">
        <v>46</v>
      </c>
      <c r="D787" t="s">
        <v>26</v>
      </c>
      <c r="E787" t="s">
        <v>51</v>
      </c>
      <c r="F787" t="s">
        <v>56</v>
      </c>
      <c r="G787" s="1">
        <v>44432</v>
      </c>
      <c r="H787" t="s">
        <v>414</v>
      </c>
      <c r="I787" t="s">
        <v>415</v>
      </c>
      <c r="J787" t="s">
        <v>59</v>
      </c>
      <c r="K787">
        <v>13080.6653248565</v>
      </c>
      <c r="L787">
        <v>293</v>
      </c>
      <c r="M787" t="s">
        <v>22</v>
      </c>
      <c r="N787" s="1">
        <v>44445</v>
      </c>
      <c r="O787" t="s">
        <v>87</v>
      </c>
      <c r="P787" t="s">
        <v>45</v>
      </c>
      <c r="Q787">
        <v>13</v>
      </c>
    </row>
    <row r="788" spans="1:17" x14ac:dyDescent="0.35">
      <c r="A788" t="s">
        <v>2283</v>
      </c>
      <c r="B788" t="str">
        <f t="shared" ref="B788:B851" si="23">VLOOKUP(C788,$T$3:$U$9,2,TRUE)</f>
        <v>76-85</v>
      </c>
      <c r="C788">
        <v>85</v>
      </c>
      <c r="D788" t="s">
        <v>26</v>
      </c>
      <c r="E788" t="s">
        <v>65</v>
      </c>
      <c r="F788" t="s">
        <v>56</v>
      </c>
      <c r="G788" s="1">
        <v>44719</v>
      </c>
      <c r="H788" t="s">
        <v>2284</v>
      </c>
      <c r="I788" t="s">
        <v>2285</v>
      </c>
      <c r="J788" t="s">
        <v>31</v>
      </c>
      <c r="K788">
        <v>13376.2396198346</v>
      </c>
      <c r="L788">
        <v>240</v>
      </c>
      <c r="M788" t="s">
        <v>22</v>
      </c>
      <c r="N788" s="1">
        <v>44741</v>
      </c>
      <c r="O788" t="s">
        <v>33</v>
      </c>
      <c r="P788" t="s">
        <v>34</v>
      </c>
      <c r="Q788">
        <v>22</v>
      </c>
    </row>
    <row r="789" spans="1:17" x14ac:dyDescent="0.35">
      <c r="A789" t="s">
        <v>566</v>
      </c>
      <c r="B789" t="str">
        <f t="shared" si="23"/>
        <v>26-35</v>
      </c>
      <c r="C789">
        <v>28</v>
      </c>
      <c r="D789" t="s">
        <v>26</v>
      </c>
      <c r="E789" t="s">
        <v>27</v>
      </c>
      <c r="F789" t="s">
        <v>56</v>
      </c>
      <c r="G789" s="1">
        <v>44827</v>
      </c>
      <c r="H789" t="s">
        <v>567</v>
      </c>
      <c r="I789" t="s">
        <v>568</v>
      </c>
      <c r="J789" t="s">
        <v>31</v>
      </c>
      <c r="K789">
        <v>40262.311514233799</v>
      </c>
      <c r="L789">
        <v>365</v>
      </c>
      <c r="M789" t="s">
        <v>43</v>
      </c>
      <c r="N789" s="1">
        <v>44853</v>
      </c>
      <c r="O789" t="s">
        <v>87</v>
      </c>
      <c r="P789" t="s">
        <v>24</v>
      </c>
      <c r="Q789">
        <v>26</v>
      </c>
    </row>
    <row r="790" spans="1:17" x14ac:dyDescent="0.35">
      <c r="A790" t="s">
        <v>777</v>
      </c>
      <c r="B790" t="str">
        <f t="shared" si="23"/>
        <v>76-85</v>
      </c>
      <c r="C790">
        <v>80</v>
      </c>
      <c r="D790" t="s">
        <v>26</v>
      </c>
      <c r="E790" t="s">
        <v>51</v>
      </c>
      <c r="F790" t="s">
        <v>56</v>
      </c>
      <c r="G790" s="1">
        <v>44057</v>
      </c>
      <c r="H790" t="s">
        <v>778</v>
      </c>
      <c r="I790" t="s">
        <v>779</v>
      </c>
      <c r="J790" t="s">
        <v>63</v>
      </c>
      <c r="K790">
        <v>34789.575955781103</v>
      </c>
      <c r="L790">
        <v>201</v>
      </c>
      <c r="M790" t="s">
        <v>32</v>
      </c>
      <c r="N790" s="1">
        <v>44073</v>
      </c>
      <c r="O790" t="s">
        <v>33</v>
      </c>
      <c r="P790" t="s">
        <v>24</v>
      </c>
      <c r="Q790">
        <v>16</v>
      </c>
    </row>
    <row r="791" spans="1:17" x14ac:dyDescent="0.35">
      <c r="A791" t="s">
        <v>536</v>
      </c>
      <c r="B791" t="str">
        <f t="shared" si="23"/>
        <v>76-85</v>
      </c>
      <c r="C791">
        <v>84</v>
      </c>
      <c r="D791" t="s">
        <v>26</v>
      </c>
      <c r="E791" t="s">
        <v>36</v>
      </c>
      <c r="F791" t="s">
        <v>56</v>
      </c>
      <c r="G791" s="1">
        <v>44610</v>
      </c>
      <c r="H791" t="s">
        <v>537</v>
      </c>
      <c r="I791" t="s">
        <v>538</v>
      </c>
      <c r="J791" t="s">
        <v>63</v>
      </c>
      <c r="K791">
        <v>26060.673368682299</v>
      </c>
      <c r="L791">
        <v>202</v>
      </c>
      <c r="M791" t="s">
        <v>32</v>
      </c>
      <c r="N791" s="1">
        <v>44615</v>
      </c>
      <c r="O791" t="s">
        <v>23</v>
      </c>
      <c r="P791" t="s">
        <v>45</v>
      </c>
      <c r="Q791">
        <v>5</v>
      </c>
    </row>
    <row r="792" spans="1:17" x14ac:dyDescent="0.35">
      <c r="A792" t="s">
        <v>1556</v>
      </c>
      <c r="B792" t="str">
        <f t="shared" si="23"/>
        <v>18-25</v>
      </c>
      <c r="C792">
        <v>24</v>
      </c>
      <c r="D792" t="s">
        <v>26</v>
      </c>
      <c r="E792" t="s">
        <v>17</v>
      </c>
      <c r="F792" t="s">
        <v>56</v>
      </c>
      <c r="G792" s="1">
        <v>43621</v>
      </c>
      <c r="H792" t="s">
        <v>1557</v>
      </c>
      <c r="I792" t="s">
        <v>1558</v>
      </c>
      <c r="J792" t="s">
        <v>63</v>
      </c>
      <c r="K792">
        <v>2940.42670131981</v>
      </c>
      <c r="L792">
        <v>121</v>
      </c>
      <c r="M792" t="s">
        <v>22</v>
      </c>
      <c r="N792" s="1">
        <v>43639</v>
      </c>
      <c r="O792" t="s">
        <v>50</v>
      </c>
      <c r="P792" t="s">
        <v>24</v>
      </c>
      <c r="Q792">
        <v>18</v>
      </c>
    </row>
    <row r="793" spans="1:17" x14ac:dyDescent="0.35">
      <c r="A793" t="s">
        <v>2239</v>
      </c>
      <c r="B793" t="str">
        <f t="shared" si="23"/>
        <v>66-75</v>
      </c>
      <c r="C793">
        <v>75</v>
      </c>
      <c r="D793" t="s">
        <v>26</v>
      </c>
      <c r="E793" t="s">
        <v>92</v>
      </c>
      <c r="F793" t="s">
        <v>56</v>
      </c>
      <c r="G793" s="1">
        <v>44255</v>
      </c>
      <c r="H793" t="s">
        <v>2240</v>
      </c>
      <c r="I793" t="s">
        <v>2241</v>
      </c>
      <c r="J793" t="s">
        <v>63</v>
      </c>
      <c r="K793">
        <v>47901.752835386302</v>
      </c>
      <c r="L793">
        <v>336</v>
      </c>
      <c r="M793" t="s">
        <v>22</v>
      </c>
      <c r="N793" s="1">
        <v>44257</v>
      </c>
      <c r="O793" t="s">
        <v>33</v>
      </c>
      <c r="P793" t="s">
        <v>24</v>
      </c>
      <c r="Q793">
        <v>2</v>
      </c>
    </row>
    <row r="794" spans="1:17" x14ac:dyDescent="0.35">
      <c r="A794" t="s">
        <v>1741</v>
      </c>
      <c r="B794" t="str">
        <f t="shared" si="23"/>
        <v>26-35</v>
      </c>
      <c r="C794">
        <v>35</v>
      </c>
      <c r="D794" t="s">
        <v>16</v>
      </c>
      <c r="E794" t="s">
        <v>27</v>
      </c>
      <c r="F794" t="s">
        <v>56</v>
      </c>
      <c r="G794" s="1">
        <v>44776</v>
      </c>
      <c r="H794" t="s">
        <v>1742</v>
      </c>
      <c r="I794" t="s">
        <v>1743</v>
      </c>
      <c r="J794" t="s">
        <v>59</v>
      </c>
      <c r="K794">
        <v>35302.054252977301</v>
      </c>
      <c r="L794">
        <v>285</v>
      </c>
      <c r="M794" t="s">
        <v>22</v>
      </c>
      <c r="N794" s="1">
        <v>44803</v>
      </c>
      <c r="O794" t="s">
        <v>44</v>
      </c>
      <c r="P794" t="s">
        <v>24</v>
      </c>
      <c r="Q794">
        <v>27</v>
      </c>
    </row>
    <row r="795" spans="1:17" x14ac:dyDescent="0.35">
      <c r="A795" t="s">
        <v>168</v>
      </c>
      <c r="B795" t="str">
        <f t="shared" si="23"/>
        <v>76-85</v>
      </c>
      <c r="C795">
        <v>81</v>
      </c>
      <c r="D795" t="s">
        <v>26</v>
      </c>
      <c r="E795" t="s">
        <v>51</v>
      </c>
      <c r="F795" t="s">
        <v>56</v>
      </c>
      <c r="G795" s="1">
        <v>44423</v>
      </c>
      <c r="H795" t="s">
        <v>169</v>
      </c>
      <c r="I795" t="s">
        <v>170</v>
      </c>
      <c r="J795" t="s">
        <v>59</v>
      </c>
      <c r="K795">
        <v>22519.3361781245</v>
      </c>
      <c r="L795">
        <v>465</v>
      </c>
      <c r="M795" t="s">
        <v>32</v>
      </c>
      <c r="N795" s="1">
        <v>44445</v>
      </c>
      <c r="O795" t="s">
        <v>33</v>
      </c>
      <c r="P795" t="s">
        <v>24</v>
      </c>
      <c r="Q795">
        <v>22</v>
      </c>
    </row>
    <row r="796" spans="1:17" x14ac:dyDescent="0.35">
      <c r="A796" t="s">
        <v>1110</v>
      </c>
      <c r="B796" t="str">
        <f t="shared" si="23"/>
        <v>46-55</v>
      </c>
      <c r="C796">
        <v>53</v>
      </c>
      <c r="D796" t="s">
        <v>26</v>
      </c>
      <c r="E796" t="s">
        <v>92</v>
      </c>
      <c r="F796" t="s">
        <v>56</v>
      </c>
      <c r="G796" s="1">
        <v>44088</v>
      </c>
      <c r="H796" t="s">
        <v>1111</v>
      </c>
      <c r="I796" t="s">
        <v>1112</v>
      </c>
      <c r="J796" t="s">
        <v>59</v>
      </c>
      <c r="K796">
        <v>11784.941422681901</v>
      </c>
      <c r="L796">
        <v>176</v>
      </c>
      <c r="M796" t="s">
        <v>22</v>
      </c>
      <c r="N796" s="1">
        <v>44101</v>
      </c>
      <c r="O796" t="s">
        <v>23</v>
      </c>
      <c r="P796" t="s">
        <v>45</v>
      </c>
      <c r="Q796">
        <v>13</v>
      </c>
    </row>
    <row r="797" spans="1:17" x14ac:dyDescent="0.35">
      <c r="A797" t="s">
        <v>75</v>
      </c>
      <c r="B797" t="str">
        <f t="shared" si="23"/>
        <v>18-25</v>
      </c>
      <c r="C797">
        <v>23</v>
      </c>
      <c r="D797" t="s">
        <v>16</v>
      </c>
      <c r="E797" t="s">
        <v>17</v>
      </c>
      <c r="F797" t="s">
        <v>56</v>
      </c>
      <c r="G797" s="1">
        <v>43625</v>
      </c>
      <c r="H797" t="s">
        <v>76</v>
      </c>
      <c r="I797" t="s">
        <v>77</v>
      </c>
      <c r="J797" t="s">
        <v>21</v>
      </c>
      <c r="K797">
        <v>6185.9035295528402</v>
      </c>
      <c r="L797">
        <v>126</v>
      </c>
      <c r="M797" t="s">
        <v>32</v>
      </c>
      <c r="N797" s="1">
        <v>43642</v>
      </c>
      <c r="O797" t="s">
        <v>50</v>
      </c>
      <c r="P797" t="s">
        <v>24</v>
      </c>
      <c r="Q797">
        <v>17</v>
      </c>
    </row>
    <row r="798" spans="1:17" x14ac:dyDescent="0.35">
      <c r="A798" t="s">
        <v>1113</v>
      </c>
      <c r="B798" t="str">
        <f t="shared" si="23"/>
        <v>18-25</v>
      </c>
      <c r="C798">
        <v>23</v>
      </c>
      <c r="D798" t="s">
        <v>16</v>
      </c>
      <c r="E798" t="s">
        <v>27</v>
      </c>
      <c r="F798" t="s">
        <v>56</v>
      </c>
      <c r="G798" s="1">
        <v>43734</v>
      </c>
      <c r="H798" t="s">
        <v>1114</v>
      </c>
      <c r="I798" t="s">
        <v>1115</v>
      </c>
      <c r="J798" t="s">
        <v>31</v>
      </c>
      <c r="K798">
        <v>6442.9682166496304</v>
      </c>
      <c r="L798">
        <v>498</v>
      </c>
      <c r="M798" t="s">
        <v>43</v>
      </c>
      <c r="N798" s="1">
        <v>43740</v>
      </c>
      <c r="O798" t="s">
        <v>44</v>
      </c>
      <c r="P798" t="s">
        <v>24</v>
      </c>
      <c r="Q798">
        <v>6</v>
      </c>
    </row>
    <row r="799" spans="1:17" x14ac:dyDescent="0.35">
      <c r="A799" t="s">
        <v>866</v>
      </c>
      <c r="B799" t="str">
        <f t="shared" si="23"/>
        <v>46-55</v>
      </c>
      <c r="C799">
        <v>46</v>
      </c>
      <c r="D799" t="s">
        <v>26</v>
      </c>
      <c r="E799" t="s">
        <v>117</v>
      </c>
      <c r="F799" t="s">
        <v>56</v>
      </c>
      <c r="G799" s="1">
        <v>44100</v>
      </c>
      <c r="H799" t="s">
        <v>867</v>
      </c>
      <c r="I799" t="s">
        <v>868</v>
      </c>
      <c r="J799" t="s">
        <v>59</v>
      </c>
      <c r="K799">
        <v>12470.769598304199</v>
      </c>
      <c r="L799">
        <v>444</v>
      </c>
      <c r="M799" t="s">
        <v>32</v>
      </c>
      <c r="N799" s="1">
        <v>44122</v>
      </c>
      <c r="O799" t="s">
        <v>50</v>
      </c>
      <c r="P799" t="s">
        <v>45</v>
      </c>
      <c r="Q799">
        <v>22</v>
      </c>
    </row>
    <row r="800" spans="1:17" x14ac:dyDescent="0.35">
      <c r="A800" t="s">
        <v>1800</v>
      </c>
      <c r="B800" t="str">
        <f t="shared" si="23"/>
        <v>26-35</v>
      </c>
      <c r="C800">
        <v>33</v>
      </c>
      <c r="D800" t="s">
        <v>26</v>
      </c>
      <c r="E800" t="s">
        <v>117</v>
      </c>
      <c r="F800" t="s">
        <v>56</v>
      </c>
      <c r="G800" s="1">
        <v>45122</v>
      </c>
      <c r="H800" t="s">
        <v>1801</v>
      </c>
      <c r="I800" t="s">
        <v>681</v>
      </c>
      <c r="J800" t="s">
        <v>21</v>
      </c>
      <c r="K800">
        <v>6907.8650863167204</v>
      </c>
      <c r="L800">
        <v>298</v>
      </c>
      <c r="M800" t="s">
        <v>32</v>
      </c>
      <c r="N800" s="1">
        <v>45136</v>
      </c>
      <c r="O800" t="s">
        <v>44</v>
      </c>
      <c r="P800" t="s">
        <v>34</v>
      </c>
      <c r="Q800">
        <v>14</v>
      </c>
    </row>
    <row r="801" spans="1:17" x14ac:dyDescent="0.35">
      <c r="A801" t="s">
        <v>1444</v>
      </c>
      <c r="B801" t="str">
        <f t="shared" si="23"/>
        <v>36-45</v>
      </c>
      <c r="C801">
        <v>37</v>
      </c>
      <c r="D801" t="s">
        <v>16</v>
      </c>
      <c r="E801" t="s">
        <v>92</v>
      </c>
      <c r="F801" t="s">
        <v>56</v>
      </c>
      <c r="G801" s="1">
        <v>43776</v>
      </c>
      <c r="H801" t="s">
        <v>1445</v>
      </c>
      <c r="I801" t="s">
        <v>1446</v>
      </c>
      <c r="J801" t="s">
        <v>21</v>
      </c>
      <c r="K801">
        <v>23600.1110335372</v>
      </c>
      <c r="L801">
        <v>289</v>
      </c>
      <c r="M801" t="s">
        <v>32</v>
      </c>
      <c r="N801" s="1">
        <v>43779</v>
      </c>
      <c r="O801" t="s">
        <v>33</v>
      </c>
      <c r="P801" t="s">
        <v>34</v>
      </c>
      <c r="Q801">
        <v>3</v>
      </c>
    </row>
    <row r="802" spans="1:17" x14ac:dyDescent="0.35">
      <c r="A802" t="s">
        <v>1680</v>
      </c>
      <c r="B802" t="str">
        <f t="shared" si="23"/>
        <v>26-35</v>
      </c>
      <c r="C802">
        <v>28</v>
      </c>
      <c r="D802" t="s">
        <v>16</v>
      </c>
      <c r="E802" t="s">
        <v>51</v>
      </c>
      <c r="F802" t="s">
        <v>56</v>
      </c>
      <c r="G802" s="1">
        <v>44272</v>
      </c>
      <c r="H802" t="s">
        <v>1681</v>
      </c>
      <c r="I802" t="s">
        <v>1682</v>
      </c>
      <c r="J802" t="s">
        <v>63</v>
      </c>
      <c r="K802">
        <v>45032.998617150901</v>
      </c>
      <c r="L802">
        <v>332</v>
      </c>
      <c r="M802" t="s">
        <v>43</v>
      </c>
      <c r="N802" s="1">
        <v>44288</v>
      </c>
      <c r="O802" t="s">
        <v>33</v>
      </c>
      <c r="P802" t="s">
        <v>34</v>
      </c>
      <c r="Q802">
        <v>16</v>
      </c>
    </row>
    <row r="803" spans="1:17" x14ac:dyDescent="0.35">
      <c r="A803" t="s">
        <v>2131</v>
      </c>
      <c r="B803" t="str">
        <f t="shared" si="23"/>
        <v>46-55</v>
      </c>
      <c r="C803">
        <v>53</v>
      </c>
      <c r="D803" t="s">
        <v>26</v>
      </c>
      <c r="E803" t="s">
        <v>92</v>
      </c>
      <c r="F803" t="s">
        <v>56</v>
      </c>
      <c r="G803" s="1">
        <v>44610</v>
      </c>
      <c r="H803" t="s">
        <v>2132</v>
      </c>
      <c r="I803" t="s">
        <v>2133</v>
      </c>
      <c r="J803" t="s">
        <v>31</v>
      </c>
      <c r="K803">
        <v>42307.779652791301</v>
      </c>
      <c r="L803">
        <v>306</v>
      </c>
      <c r="M803" t="s">
        <v>22</v>
      </c>
      <c r="N803" s="1">
        <v>44616</v>
      </c>
      <c r="O803" t="s">
        <v>50</v>
      </c>
      <c r="P803" t="s">
        <v>34</v>
      </c>
      <c r="Q803">
        <v>6</v>
      </c>
    </row>
    <row r="804" spans="1:17" x14ac:dyDescent="0.35">
      <c r="A804" t="s">
        <v>2964</v>
      </c>
      <c r="B804" t="str">
        <f t="shared" si="23"/>
        <v>66-75</v>
      </c>
      <c r="C804">
        <v>73</v>
      </c>
      <c r="D804" t="s">
        <v>16</v>
      </c>
      <c r="E804" t="s">
        <v>92</v>
      </c>
      <c r="F804" t="s">
        <v>56</v>
      </c>
      <c r="G804" s="1">
        <v>44157</v>
      </c>
      <c r="H804" t="s">
        <v>2965</v>
      </c>
      <c r="I804" t="s">
        <v>2966</v>
      </c>
      <c r="J804" t="s">
        <v>21</v>
      </c>
      <c r="K804">
        <v>12248.5769522058</v>
      </c>
      <c r="L804">
        <v>178</v>
      </c>
      <c r="M804" t="s">
        <v>43</v>
      </c>
      <c r="N804" s="1">
        <v>44162</v>
      </c>
      <c r="O804" t="s">
        <v>87</v>
      </c>
      <c r="P804" t="s">
        <v>24</v>
      </c>
      <c r="Q804">
        <v>5</v>
      </c>
    </row>
    <row r="805" spans="1:17" x14ac:dyDescent="0.35">
      <c r="A805" t="s">
        <v>216</v>
      </c>
      <c r="B805" t="str">
        <f t="shared" si="23"/>
        <v>76-85</v>
      </c>
      <c r="C805">
        <v>82</v>
      </c>
      <c r="D805" t="s">
        <v>26</v>
      </c>
      <c r="E805" t="s">
        <v>17</v>
      </c>
      <c r="F805" t="s">
        <v>56</v>
      </c>
      <c r="G805" s="1">
        <v>44861</v>
      </c>
      <c r="H805" t="s">
        <v>217</v>
      </c>
      <c r="I805" t="s">
        <v>218</v>
      </c>
      <c r="J805" t="s">
        <v>59</v>
      </c>
      <c r="K805">
        <v>10724.0332469315</v>
      </c>
      <c r="L805">
        <v>153</v>
      </c>
      <c r="M805" t="s">
        <v>43</v>
      </c>
      <c r="N805" s="1">
        <v>44883</v>
      </c>
      <c r="O805" t="s">
        <v>23</v>
      </c>
      <c r="P805" t="s">
        <v>34</v>
      </c>
      <c r="Q805">
        <v>22</v>
      </c>
    </row>
    <row r="806" spans="1:17" x14ac:dyDescent="0.35">
      <c r="A806" t="s">
        <v>238</v>
      </c>
      <c r="B806" t="str">
        <f t="shared" si="23"/>
        <v>56-65</v>
      </c>
      <c r="C806">
        <v>60</v>
      </c>
      <c r="D806" t="s">
        <v>16</v>
      </c>
      <c r="E806" t="s">
        <v>65</v>
      </c>
      <c r="F806" t="s">
        <v>56</v>
      </c>
      <c r="G806" s="1">
        <v>44051</v>
      </c>
      <c r="H806" t="s">
        <v>239</v>
      </c>
      <c r="I806" t="s">
        <v>240</v>
      </c>
      <c r="J806" t="s">
        <v>21</v>
      </c>
      <c r="K806">
        <v>44423.095535829903</v>
      </c>
      <c r="L806">
        <v>301</v>
      </c>
      <c r="M806" t="s">
        <v>22</v>
      </c>
      <c r="N806" s="1">
        <v>44072</v>
      </c>
      <c r="O806" t="s">
        <v>23</v>
      </c>
      <c r="P806" t="s">
        <v>34</v>
      </c>
      <c r="Q806">
        <v>21</v>
      </c>
    </row>
    <row r="807" spans="1:17" x14ac:dyDescent="0.35">
      <c r="A807" t="s">
        <v>703</v>
      </c>
      <c r="B807" t="str">
        <f t="shared" si="23"/>
        <v>56-65</v>
      </c>
      <c r="C807">
        <v>62</v>
      </c>
      <c r="D807" t="s">
        <v>16</v>
      </c>
      <c r="E807" t="s">
        <v>36</v>
      </c>
      <c r="F807" t="s">
        <v>56</v>
      </c>
      <c r="G807" s="1">
        <v>44784</v>
      </c>
      <c r="H807" t="s">
        <v>704</v>
      </c>
      <c r="I807" t="s">
        <v>705</v>
      </c>
      <c r="J807" t="s">
        <v>31</v>
      </c>
      <c r="K807">
        <v>7377.71555260896</v>
      </c>
      <c r="L807">
        <v>459</v>
      </c>
      <c r="M807" t="s">
        <v>22</v>
      </c>
      <c r="N807" s="1">
        <v>44796</v>
      </c>
      <c r="O807" t="s">
        <v>23</v>
      </c>
      <c r="P807" t="s">
        <v>34</v>
      </c>
      <c r="Q807">
        <v>12</v>
      </c>
    </row>
    <row r="808" spans="1:17" x14ac:dyDescent="0.35">
      <c r="A808" t="s">
        <v>604</v>
      </c>
      <c r="B808" t="str">
        <f t="shared" si="23"/>
        <v>46-55</v>
      </c>
      <c r="C808">
        <v>47</v>
      </c>
      <c r="D808" t="s">
        <v>26</v>
      </c>
      <c r="E808" t="s">
        <v>232</v>
      </c>
      <c r="F808" t="s">
        <v>56</v>
      </c>
      <c r="G808" s="1">
        <v>43661</v>
      </c>
      <c r="H808" t="s">
        <v>605</v>
      </c>
      <c r="I808" t="s">
        <v>606</v>
      </c>
      <c r="J808" t="s">
        <v>21</v>
      </c>
      <c r="K808">
        <v>5727.3381030332102</v>
      </c>
      <c r="L808">
        <v>450</v>
      </c>
      <c r="M808" t="s">
        <v>22</v>
      </c>
      <c r="N808" s="1">
        <v>43677</v>
      </c>
      <c r="O808" t="s">
        <v>33</v>
      </c>
      <c r="P808" t="s">
        <v>45</v>
      </c>
      <c r="Q808">
        <v>16</v>
      </c>
    </row>
    <row r="809" spans="1:17" x14ac:dyDescent="0.35">
      <c r="A809" t="s">
        <v>554</v>
      </c>
      <c r="B809" t="str">
        <f t="shared" si="23"/>
        <v>46-55</v>
      </c>
      <c r="C809">
        <v>54</v>
      </c>
      <c r="D809" t="s">
        <v>16</v>
      </c>
      <c r="E809" t="s">
        <v>17</v>
      </c>
      <c r="F809" t="s">
        <v>56</v>
      </c>
      <c r="G809" s="1">
        <v>43894</v>
      </c>
      <c r="H809" t="s">
        <v>555</v>
      </c>
      <c r="I809" t="s">
        <v>556</v>
      </c>
      <c r="J809" t="s">
        <v>59</v>
      </c>
      <c r="K809">
        <v>20926.297979471099</v>
      </c>
      <c r="L809">
        <v>279</v>
      </c>
      <c r="M809" t="s">
        <v>32</v>
      </c>
      <c r="N809" s="1">
        <v>43922</v>
      </c>
      <c r="O809" t="s">
        <v>33</v>
      </c>
      <c r="P809" t="s">
        <v>45</v>
      </c>
      <c r="Q809">
        <v>28</v>
      </c>
    </row>
    <row r="810" spans="1:17" x14ac:dyDescent="0.35">
      <c r="A810" t="s">
        <v>1405</v>
      </c>
      <c r="B810" t="str">
        <f t="shared" si="23"/>
        <v>66-75</v>
      </c>
      <c r="C810">
        <v>73</v>
      </c>
      <c r="D810" t="s">
        <v>16</v>
      </c>
      <c r="E810" t="s">
        <v>27</v>
      </c>
      <c r="F810" t="s">
        <v>56</v>
      </c>
      <c r="G810" s="1">
        <v>45110</v>
      </c>
      <c r="H810" t="s">
        <v>1406</v>
      </c>
      <c r="I810" t="s">
        <v>1407</v>
      </c>
      <c r="J810" t="s">
        <v>54</v>
      </c>
      <c r="K810">
        <v>45968.666010884997</v>
      </c>
      <c r="L810">
        <v>242</v>
      </c>
      <c r="M810" t="s">
        <v>22</v>
      </c>
      <c r="N810" s="1">
        <v>45113</v>
      </c>
      <c r="O810" t="s">
        <v>23</v>
      </c>
      <c r="P810" t="s">
        <v>45</v>
      </c>
      <c r="Q810">
        <v>3</v>
      </c>
    </row>
    <row r="811" spans="1:17" x14ac:dyDescent="0.35">
      <c r="A811" t="s">
        <v>896</v>
      </c>
      <c r="B811" t="str">
        <f t="shared" si="23"/>
        <v>26-35</v>
      </c>
      <c r="C811">
        <v>31</v>
      </c>
      <c r="D811" t="s">
        <v>26</v>
      </c>
      <c r="E811" t="s">
        <v>92</v>
      </c>
      <c r="F811" t="s">
        <v>56</v>
      </c>
      <c r="G811" s="1">
        <v>43444</v>
      </c>
      <c r="H811" t="s">
        <v>897</v>
      </c>
      <c r="I811" t="s">
        <v>898</v>
      </c>
      <c r="J811" t="s">
        <v>31</v>
      </c>
      <c r="K811">
        <v>10333.0018231022</v>
      </c>
      <c r="L811">
        <v>184</v>
      </c>
      <c r="M811" t="s">
        <v>43</v>
      </c>
      <c r="N811" s="1">
        <v>43456</v>
      </c>
      <c r="O811" t="s">
        <v>23</v>
      </c>
      <c r="P811" t="s">
        <v>24</v>
      </c>
      <c r="Q811">
        <v>12</v>
      </c>
    </row>
    <row r="812" spans="1:17" x14ac:dyDescent="0.35">
      <c r="A812" t="s">
        <v>2317</v>
      </c>
      <c r="B812" t="str">
        <f t="shared" si="23"/>
        <v>18-25</v>
      </c>
      <c r="C812">
        <v>19</v>
      </c>
      <c r="D812" t="s">
        <v>16</v>
      </c>
      <c r="E812" t="s">
        <v>27</v>
      </c>
      <c r="F812" t="s">
        <v>56</v>
      </c>
      <c r="G812" s="1">
        <v>44305</v>
      </c>
      <c r="H812" t="s">
        <v>2318</v>
      </c>
      <c r="I812" t="s">
        <v>2319</v>
      </c>
      <c r="J812" t="s">
        <v>59</v>
      </c>
      <c r="K812">
        <v>9326.0349465673007</v>
      </c>
      <c r="L812">
        <v>144</v>
      </c>
      <c r="M812" t="s">
        <v>22</v>
      </c>
      <c r="N812" s="1">
        <v>44325</v>
      </c>
      <c r="O812" t="s">
        <v>50</v>
      </c>
      <c r="P812" t="s">
        <v>24</v>
      </c>
      <c r="Q812">
        <v>20</v>
      </c>
    </row>
    <row r="813" spans="1:17" x14ac:dyDescent="0.35">
      <c r="A813" t="s">
        <v>452</v>
      </c>
      <c r="B813" t="str">
        <f t="shared" si="23"/>
        <v>46-55</v>
      </c>
      <c r="C813">
        <v>46</v>
      </c>
      <c r="D813" t="s">
        <v>26</v>
      </c>
      <c r="E813" t="s">
        <v>27</v>
      </c>
      <c r="F813" t="s">
        <v>56</v>
      </c>
      <c r="G813" s="1">
        <v>45034</v>
      </c>
      <c r="H813" t="s">
        <v>453</v>
      </c>
      <c r="I813" t="s">
        <v>454</v>
      </c>
      <c r="J813" t="s">
        <v>31</v>
      </c>
      <c r="K813">
        <v>6171.45706771202</v>
      </c>
      <c r="L813">
        <v>153</v>
      </c>
      <c r="M813" t="s">
        <v>32</v>
      </c>
      <c r="N813" s="1">
        <v>45043</v>
      </c>
      <c r="O813" t="s">
        <v>44</v>
      </c>
      <c r="P813" t="s">
        <v>45</v>
      </c>
      <c r="Q813">
        <v>9</v>
      </c>
    </row>
    <row r="814" spans="1:17" x14ac:dyDescent="0.35">
      <c r="A814" t="s">
        <v>1250</v>
      </c>
      <c r="B814" t="str">
        <f t="shared" si="23"/>
        <v>66-75</v>
      </c>
      <c r="C814">
        <v>74</v>
      </c>
      <c r="D814" t="s">
        <v>16</v>
      </c>
      <c r="E814" t="s">
        <v>51</v>
      </c>
      <c r="F814" t="s">
        <v>56</v>
      </c>
      <c r="G814" s="1">
        <v>44902</v>
      </c>
      <c r="H814" t="s">
        <v>1251</v>
      </c>
      <c r="I814" t="s">
        <v>1252</v>
      </c>
      <c r="J814" t="s">
        <v>59</v>
      </c>
      <c r="K814">
        <v>15988.782443956599</v>
      </c>
      <c r="L814">
        <v>353</v>
      </c>
      <c r="M814" t="s">
        <v>32</v>
      </c>
      <c r="N814" s="1">
        <v>44924</v>
      </c>
      <c r="O814" t="s">
        <v>44</v>
      </c>
      <c r="P814" t="s">
        <v>24</v>
      </c>
      <c r="Q814">
        <v>22</v>
      </c>
    </row>
    <row r="815" spans="1:17" x14ac:dyDescent="0.35">
      <c r="A815" t="s">
        <v>920</v>
      </c>
      <c r="B815" t="str">
        <f t="shared" si="23"/>
        <v>36-45</v>
      </c>
      <c r="C815">
        <v>44</v>
      </c>
      <c r="D815" t="s">
        <v>26</v>
      </c>
      <c r="E815" t="s">
        <v>232</v>
      </c>
      <c r="F815" t="s">
        <v>56</v>
      </c>
      <c r="G815" s="1">
        <v>45032</v>
      </c>
      <c r="H815" t="s">
        <v>921</v>
      </c>
      <c r="I815" t="s">
        <v>922</v>
      </c>
      <c r="J815" t="s">
        <v>21</v>
      </c>
      <c r="K815">
        <v>26633.450415065199</v>
      </c>
      <c r="L815">
        <v>105</v>
      </c>
      <c r="M815" t="s">
        <v>32</v>
      </c>
      <c r="N815" s="1">
        <v>45054</v>
      </c>
      <c r="O815" t="s">
        <v>23</v>
      </c>
      <c r="P815" t="s">
        <v>24</v>
      </c>
      <c r="Q815">
        <v>22</v>
      </c>
    </row>
    <row r="816" spans="1:17" x14ac:dyDescent="0.35">
      <c r="A816" t="s">
        <v>494</v>
      </c>
      <c r="B816" t="str">
        <f t="shared" si="23"/>
        <v>36-45</v>
      </c>
      <c r="C816">
        <v>42</v>
      </c>
      <c r="D816" t="s">
        <v>16</v>
      </c>
      <c r="E816" t="s">
        <v>232</v>
      </c>
      <c r="F816" t="s">
        <v>56</v>
      </c>
      <c r="G816" s="1">
        <v>43641</v>
      </c>
      <c r="H816" t="s">
        <v>495</v>
      </c>
      <c r="I816" t="s">
        <v>496</v>
      </c>
      <c r="J816" t="s">
        <v>21</v>
      </c>
      <c r="K816">
        <v>8851.6087311708598</v>
      </c>
      <c r="L816">
        <v>168</v>
      </c>
      <c r="M816" t="s">
        <v>22</v>
      </c>
      <c r="N816" s="1">
        <v>43645</v>
      </c>
      <c r="O816" t="s">
        <v>87</v>
      </c>
      <c r="P816" t="s">
        <v>24</v>
      </c>
      <c r="Q816">
        <v>4</v>
      </c>
    </row>
    <row r="817" spans="1:17" x14ac:dyDescent="0.35">
      <c r="A817" t="s">
        <v>2039</v>
      </c>
      <c r="B817" t="str">
        <f t="shared" si="23"/>
        <v>36-45</v>
      </c>
      <c r="C817">
        <v>45</v>
      </c>
      <c r="D817" t="s">
        <v>26</v>
      </c>
      <c r="E817" t="s">
        <v>51</v>
      </c>
      <c r="F817" t="s">
        <v>56</v>
      </c>
      <c r="G817" s="1">
        <v>44779</v>
      </c>
      <c r="H817" t="s">
        <v>2040</v>
      </c>
      <c r="I817" t="s">
        <v>2041</v>
      </c>
      <c r="J817" t="s">
        <v>59</v>
      </c>
      <c r="K817">
        <v>26510.628306911702</v>
      </c>
      <c r="L817">
        <v>135</v>
      </c>
      <c r="M817" t="s">
        <v>43</v>
      </c>
      <c r="N817" s="1">
        <v>44808</v>
      </c>
      <c r="O817" t="s">
        <v>44</v>
      </c>
      <c r="P817" t="s">
        <v>24</v>
      </c>
      <c r="Q817">
        <v>29</v>
      </c>
    </row>
    <row r="818" spans="1:17" x14ac:dyDescent="0.35">
      <c r="A818" t="s">
        <v>2248</v>
      </c>
      <c r="B818" t="str">
        <f t="shared" si="23"/>
        <v>36-45</v>
      </c>
      <c r="C818">
        <v>43</v>
      </c>
      <c r="D818" t="s">
        <v>26</v>
      </c>
      <c r="E818" t="s">
        <v>51</v>
      </c>
      <c r="F818" t="s">
        <v>56</v>
      </c>
      <c r="G818" s="1">
        <v>43871</v>
      </c>
      <c r="H818" t="s">
        <v>2249</v>
      </c>
      <c r="I818" t="s">
        <v>2250</v>
      </c>
      <c r="J818" t="s">
        <v>63</v>
      </c>
      <c r="K818">
        <v>39094.680305806804</v>
      </c>
      <c r="L818">
        <v>180</v>
      </c>
      <c r="M818" t="s">
        <v>32</v>
      </c>
      <c r="N818" s="1">
        <v>43888</v>
      </c>
      <c r="O818" t="s">
        <v>23</v>
      </c>
      <c r="P818" t="s">
        <v>45</v>
      </c>
      <c r="Q818">
        <v>17</v>
      </c>
    </row>
    <row r="819" spans="1:17" x14ac:dyDescent="0.35">
      <c r="A819" t="s">
        <v>1568</v>
      </c>
      <c r="B819" t="str">
        <f t="shared" si="23"/>
        <v>26-35</v>
      </c>
      <c r="C819">
        <v>26</v>
      </c>
      <c r="D819" t="s">
        <v>26</v>
      </c>
      <c r="E819" t="s">
        <v>51</v>
      </c>
      <c r="F819" t="s">
        <v>56</v>
      </c>
      <c r="G819" s="1">
        <v>44475</v>
      </c>
      <c r="H819" t="s">
        <v>1569</v>
      </c>
      <c r="I819" t="s">
        <v>1570</v>
      </c>
      <c r="J819" t="s">
        <v>31</v>
      </c>
      <c r="K819">
        <v>41813.399585122497</v>
      </c>
      <c r="L819">
        <v>302</v>
      </c>
      <c r="M819" t="s">
        <v>43</v>
      </c>
      <c r="N819" s="1">
        <v>44490</v>
      </c>
      <c r="O819" t="s">
        <v>87</v>
      </c>
      <c r="P819" t="s">
        <v>45</v>
      </c>
      <c r="Q819">
        <v>15</v>
      </c>
    </row>
    <row r="820" spans="1:17" x14ac:dyDescent="0.35">
      <c r="A820" t="s">
        <v>330</v>
      </c>
      <c r="B820" t="str">
        <f t="shared" si="23"/>
        <v>36-45</v>
      </c>
      <c r="C820">
        <v>44</v>
      </c>
      <c r="D820" t="s">
        <v>26</v>
      </c>
      <c r="E820" t="s">
        <v>36</v>
      </c>
      <c r="F820" t="s">
        <v>56</v>
      </c>
      <c r="G820" s="1">
        <v>43887</v>
      </c>
      <c r="H820" t="s">
        <v>331</v>
      </c>
      <c r="I820" t="s">
        <v>332</v>
      </c>
      <c r="J820" t="s">
        <v>59</v>
      </c>
      <c r="K820">
        <v>22577.602607749999</v>
      </c>
      <c r="L820">
        <v>119</v>
      </c>
      <c r="M820" t="s">
        <v>22</v>
      </c>
      <c r="N820" s="1">
        <v>43908</v>
      </c>
      <c r="O820" t="s">
        <v>23</v>
      </c>
      <c r="P820" t="s">
        <v>45</v>
      </c>
      <c r="Q820">
        <v>21</v>
      </c>
    </row>
    <row r="821" spans="1:17" x14ac:dyDescent="0.35">
      <c r="A821" t="s">
        <v>2110</v>
      </c>
      <c r="B821" t="str">
        <f t="shared" si="23"/>
        <v>26-35</v>
      </c>
      <c r="C821">
        <v>26</v>
      </c>
      <c r="D821" t="s">
        <v>16</v>
      </c>
      <c r="E821" t="s">
        <v>92</v>
      </c>
      <c r="F821" t="s">
        <v>56</v>
      </c>
      <c r="G821" s="1">
        <v>44822</v>
      </c>
      <c r="H821" t="s">
        <v>2111</v>
      </c>
      <c r="I821" t="s">
        <v>2112</v>
      </c>
      <c r="J821" t="s">
        <v>21</v>
      </c>
      <c r="K821">
        <v>8515.0786857155599</v>
      </c>
      <c r="L821">
        <v>189</v>
      </c>
      <c r="M821" t="s">
        <v>32</v>
      </c>
      <c r="N821" s="1">
        <v>44825</v>
      </c>
      <c r="O821" t="s">
        <v>23</v>
      </c>
      <c r="P821" t="s">
        <v>24</v>
      </c>
      <c r="Q821">
        <v>3</v>
      </c>
    </row>
    <row r="822" spans="1:17" x14ac:dyDescent="0.35">
      <c r="A822" t="s">
        <v>1715</v>
      </c>
      <c r="B822" t="str">
        <f t="shared" si="23"/>
        <v>26-35</v>
      </c>
      <c r="C822">
        <v>35</v>
      </c>
      <c r="D822" t="s">
        <v>26</v>
      </c>
      <c r="E822" t="s">
        <v>51</v>
      </c>
      <c r="F822" t="s">
        <v>56</v>
      </c>
      <c r="G822" s="1">
        <v>44595</v>
      </c>
      <c r="H822" t="s">
        <v>1716</v>
      </c>
      <c r="I822" t="s">
        <v>1717</v>
      </c>
      <c r="J822" t="s">
        <v>31</v>
      </c>
      <c r="K822">
        <v>28352.414731715799</v>
      </c>
      <c r="L822">
        <v>469</v>
      </c>
      <c r="M822" t="s">
        <v>32</v>
      </c>
      <c r="N822" s="1">
        <v>44612</v>
      </c>
      <c r="O822" t="s">
        <v>50</v>
      </c>
      <c r="P822" t="s">
        <v>24</v>
      </c>
      <c r="Q822">
        <v>17</v>
      </c>
    </row>
    <row r="823" spans="1:17" x14ac:dyDescent="0.35">
      <c r="A823" t="s">
        <v>132</v>
      </c>
      <c r="B823" t="str">
        <f t="shared" si="23"/>
        <v>26-35</v>
      </c>
      <c r="C823">
        <v>35</v>
      </c>
      <c r="D823" t="s">
        <v>16</v>
      </c>
      <c r="E823" t="s">
        <v>27</v>
      </c>
      <c r="F823" t="s">
        <v>56</v>
      </c>
      <c r="G823" s="1">
        <v>44897</v>
      </c>
      <c r="H823" t="s">
        <v>133</v>
      </c>
      <c r="I823" t="s">
        <v>134</v>
      </c>
      <c r="J823" t="s">
        <v>31</v>
      </c>
      <c r="K823">
        <v>18393.4217510934</v>
      </c>
      <c r="L823">
        <v>162</v>
      </c>
      <c r="M823" t="s">
        <v>32</v>
      </c>
      <c r="N823" s="1">
        <v>44913</v>
      </c>
      <c r="O823" t="s">
        <v>33</v>
      </c>
      <c r="P823" t="s">
        <v>24</v>
      </c>
      <c r="Q823">
        <v>16</v>
      </c>
    </row>
    <row r="824" spans="1:17" x14ac:dyDescent="0.35">
      <c r="A824" t="s">
        <v>682</v>
      </c>
      <c r="B824" t="str">
        <f t="shared" si="23"/>
        <v>76-85</v>
      </c>
      <c r="C824">
        <v>81</v>
      </c>
      <c r="D824" t="s">
        <v>16</v>
      </c>
      <c r="E824" t="s">
        <v>36</v>
      </c>
      <c r="F824" t="s">
        <v>56</v>
      </c>
      <c r="G824" s="1">
        <v>44768</v>
      </c>
      <c r="H824" t="s">
        <v>683</v>
      </c>
      <c r="I824" t="s">
        <v>684</v>
      </c>
      <c r="J824" t="s">
        <v>63</v>
      </c>
      <c r="K824">
        <v>24153.709302462299</v>
      </c>
      <c r="L824">
        <v>129</v>
      </c>
      <c r="M824" t="s">
        <v>43</v>
      </c>
      <c r="N824" s="1">
        <v>44794</v>
      </c>
      <c r="O824" t="s">
        <v>33</v>
      </c>
      <c r="P824" t="s">
        <v>34</v>
      </c>
      <c r="Q824">
        <v>26</v>
      </c>
    </row>
    <row r="825" spans="1:17" x14ac:dyDescent="0.35">
      <c r="A825" t="s">
        <v>1131</v>
      </c>
      <c r="B825" t="str">
        <f t="shared" si="23"/>
        <v>26-35</v>
      </c>
      <c r="C825">
        <v>31</v>
      </c>
      <c r="D825" t="s">
        <v>26</v>
      </c>
      <c r="E825" t="s">
        <v>27</v>
      </c>
      <c r="F825" t="s">
        <v>56</v>
      </c>
      <c r="G825" s="1">
        <v>45103</v>
      </c>
      <c r="H825" t="s">
        <v>1132</v>
      </c>
      <c r="I825" t="s">
        <v>1133</v>
      </c>
      <c r="J825" t="s">
        <v>54</v>
      </c>
      <c r="K825">
        <v>34698.502617083803</v>
      </c>
      <c r="L825">
        <v>338</v>
      </c>
      <c r="M825" t="s">
        <v>43</v>
      </c>
      <c r="N825" s="1">
        <v>45117</v>
      </c>
      <c r="O825" t="s">
        <v>44</v>
      </c>
      <c r="P825" t="s">
        <v>24</v>
      </c>
      <c r="Q825">
        <v>14</v>
      </c>
    </row>
    <row r="826" spans="1:17" x14ac:dyDescent="0.35">
      <c r="A826" t="s">
        <v>1807</v>
      </c>
      <c r="B826" t="str">
        <f t="shared" si="23"/>
        <v>18-25</v>
      </c>
      <c r="C826">
        <v>22</v>
      </c>
      <c r="D826" t="s">
        <v>26</v>
      </c>
      <c r="E826" t="s">
        <v>27</v>
      </c>
      <c r="F826" t="s">
        <v>56</v>
      </c>
      <c r="G826" s="1">
        <v>43735</v>
      </c>
      <c r="H826" t="s">
        <v>1808</v>
      </c>
      <c r="I826" t="s">
        <v>1809</v>
      </c>
      <c r="J826" t="s">
        <v>59</v>
      </c>
      <c r="K826">
        <v>8957.2103214606504</v>
      </c>
      <c r="L826">
        <v>486</v>
      </c>
      <c r="M826" t="s">
        <v>22</v>
      </c>
      <c r="N826" s="1">
        <v>43756</v>
      </c>
      <c r="O826" t="s">
        <v>33</v>
      </c>
      <c r="P826" t="s">
        <v>24</v>
      </c>
      <c r="Q826">
        <v>21</v>
      </c>
    </row>
    <row r="827" spans="1:17" x14ac:dyDescent="0.35">
      <c r="A827" t="s">
        <v>2054</v>
      </c>
      <c r="B827" t="str">
        <f t="shared" si="23"/>
        <v>66-75</v>
      </c>
      <c r="C827">
        <v>75</v>
      </c>
      <c r="D827" t="s">
        <v>26</v>
      </c>
      <c r="E827" t="s">
        <v>117</v>
      </c>
      <c r="F827" t="s">
        <v>56</v>
      </c>
      <c r="G827" s="1">
        <v>44348</v>
      </c>
      <c r="H827" t="s">
        <v>2055</v>
      </c>
      <c r="I827" t="s">
        <v>2056</v>
      </c>
      <c r="J827" t="s">
        <v>59</v>
      </c>
      <c r="K827">
        <v>44480.896146278501</v>
      </c>
      <c r="L827">
        <v>423</v>
      </c>
      <c r="M827" t="s">
        <v>22</v>
      </c>
      <c r="N827" s="1">
        <v>44376</v>
      </c>
      <c r="O827" t="s">
        <v>87</v>
      </c>
      <c r="P827" t="s">
        <v>34</v>
      </c>
      <c r="Q827">
        <v>28</v>
      </c>
    </row>
    <row r="828" spans="1:17" x14ac:dyDescent="0.35">
      <c r="A828" t="s">
        <v>2649</v>
      </c>
      <c r="B828" t="str">
        <f t="shared" si="23"/>
        <v>46-55</v>
      </c>
      <c r="C828">
        <v>48</v>
      </c>
      <c r="D828" t="s">
        <v>16</v>
      </c>
      <c r="E828" t="s">
        <v>65</v>
      </c>
      <c r="F828" t="s">
        <v>56</v>
      </c>
      <c r="G828" s="1">
        <v>44378</v>
      </c>
      <c r="H828" t="s">
        <v>2650</v>
      </c>
      <c r="I828" t="s">
        <v>2651</v>
      </c>
      <c r="J828" t="s">
        <v>59</v>
      </c>
      <c r="K828">
        <v>21707.777740664202</v>
      </c>
      <c r="L828">
        <v>380</v>
      </c>
      <c r="M828" t="s">
        <v>43</v>
      </c>
      <c r="N828" s="1">
        <v>44404</v>
      </c>
      <c r="O828" t="s">
        <v>87</v>
      </c>
      <c r="P828" t="s">
        <v>45</v>
      </c>
      <c r="Q828">
        <v>26</v>
      </c>
    </row>
    <row r="829" spans="1:17" x14ac:dyDescent="0.35">
      <c r="A829" t="s">
        <v>929</v>
      </c>
      <c r="B829" t="str">
        <f t="shared" si="23"/>
        <v>66-75</v>
      </c>
      <c r="C829">
        <v>75</v>
      </c>
      <c r="D829" t="s">
        <v>16</v>
      </c>
      <c r="E829" t="s">
        <v>92</v>
      </c>
      <c r="F829" t="s">
        <v>56</v>
      </c>
      <c r="G829" s="1">
        <v>44257</v>
      </c>
      <c r="H829" t="s">
        <v>930</v>
      </c>
      <c r="I829" t="s">
        <v>931</v>
      </c>
      <c r="J829" t="s">
        <v>59</v>
      </c>
      <c r="K829">
        <v>10033.7669212694</v>
      </c>
      <c r="L829">
        <v>347</v>
      </c>
      <c r="M829" t="s">
        <v>43</v>
      </c>
      <c r="N829" s="1">
        <v>44262</v>
      </c>
      <c r="O829" t="s">
        <v>87</v>
      </c>
      <c r="P829" t="s">
        <v>45</v>
      </c>
      <c r="Q829">
        <v>5</v>
      </c>
    </row>
    <row r="830" spans="1:17" x14ac:dyDescent="0.35">
      <c r="A830" t="s">
        <v>1492</v>
      </c>
      <c r="B830" t="str">
        <f t="shared" si="23"/>
        <v>46-55</v>
      </c>
      <c r="C830">
        <v>54</v>
      </c>
      <c r="D830" t="s">
        <v>16</v>
      </c>
      <c r="E830" t="s">
        <v>117</v>
      </c>
      <c r="F830" t="s">
        <v>56</v>
      </c>
      <c r="G830" s="1">
        <v>44624</v>
      </c>
      <c r="H830" t="s">
        <v>1493</v>
      </c>
      <c r="I830" t="s">
        <v>1494</v>
      </c>
      <c r="J830" t="s">
        <v>31</v>
      </c>
      <c r="K830">
        <v>37784.192288346203</v>
      </c>
      <c r="L830">
        <v>120</v>
      </c>
      <c r="M830" t="s">
        <v>43</v>
      </c>
      <c r="N830" s="1">
        <v>44632</v>
      </c>
      <c r="O830" t="s">
        <v>44</v>
      </c>
      <c r="P830" t="s">
        <v>24</v>
      </c>
      <c r="Q830">
        <v>8</v>
      </c>
    </row>
    <row r="831" spans="1:17" x14ac:dyDescent="0.35">
      <c r="A831" t="s">
        <v>1859</v>
      </c>
      <c r="B831" t="str">
        <f t="shared" si="23"/>
        <v>36-45</v>
      </c>
      <c r="C831">
        <v>45</v>
      </c>
      <c r="D831" t="s">
        <v>16</v>
      </c>
      <c r="E831" t="s">
        <v>117</v>
      </c>
      <c r="F831" t="s">
        <v>56</v>
      </c>
      <c r="G831" s="1">
        <v>44000</v>
      </c>
      <c r="H831" t="s">
        <v>1860</v>
      </c>
      <c r="I831" t="s">
        <v>1861</v>
      </c>
      <c r="J831" t="s">
        <v>59</v>
      </c>
      <c r="K831">
        <v>21643.098867355198</v>
      </c>
      <c r="L831">
        <v>441</v>
      </c>
      <c r="M831" t="s">
        <v>43</v>
      </c>
      <c r="N831" s="1">
        <v>44030</v>
      </c>
      <c r="O831" t="s">
        <v>23</v>
      </c>
      <c r="P831" t="s">
        <v>24</v>
      </c>
      <c r="Q831">
        <v>30</v>
      </c>
    </row>
    <row r="832" spans="1:17" x14ac:dyDescent="0.35">
      <c r="A832" t="s">
        <v>1633</v>
      </c>
      <c r="B832" t="str">
        <f t="shared" si="23"/>
        <v>46-55</v>
      </c>
      <c r="C832">
        <v>47</v>
      </c>
      <c r="D832" t="s">
        <v>16</v>
      </c>
      <c r="E832" t="s">
        <v>92</v>
      </c>
      <c r="F832" t="s">
        <v>56</v>
      </c>
      <c r="G832" s="1">
        <v>43586</v>
      </c>
      <c r="H832" t="s">
        <v>1634</v>
      </c>
      <c r="I832" t="s">
        <v>1635</v>
      </c>
      <c r="J832" t="s">
        <v>54</v>
      </c>
      <c r="K832">
        <v>25553.1084235983</v>
      </c>
      <c r="L832">
        <v>449</v>
      </c>
      <c r="M832" t="s">
        <v>43</v>
      </c>
      <c r="N832" s="1">
        <v>43603</v>
      </c>
      <c r="O832" t="s">
        <v>33</v>
      </c>
      <c r="P832" t="s">
        <v>45</v>
      </c>
      <c r="Q832">
        <v>17</v>
      </c>
    </row>
    <row r="833" spans="1:17" x14ac:dyDescent="0.35">
      <c r="A833" t="s">
        <v>485</v>
      </c>
      <c r="B833" t="str">
        <f t="shared" si="23"/>
        <v>18-25</v>
      </c>
      <c r="C833">
        <v>21</v>
      </c>
      <c r="D833" t="s">
        <v>16</v>
      </c>
      <c r="E833" t="s">
        <v>232</v>
      </c>
      <c r="F833" t="s">
        <v>56</v>
      </c>
      <c r="G833" s="1">
        <v>43803</v>
      </c>
      <c r="H833" t="s">
        <v>486</v>
      </c>
      <c r="I833" t="s">
        <v>487</v>
      </c>
      <c r="J833" t="s">
        <v>54</v>
      </c>
      <c r="K833">
        <v>27022.8269268943</v>
      </c>
      <c r="L833">
        <v>175</v>
      </c>
      <c r="M833" t="s">
        <v>43</v>
      </c>
      <c r="N833" s="1">
        <v>43818</v>
      </c>
      <c r="O833" t="s">
        <v>33</v>
      </c>
      <c r="P833" t="s">
        <v>34</v>
      </c>
      <c r="Q833">
        <v>15</v>
      </c>
    </row>
    <row r="834" spans="1:17" x14ac:dyDescent="0.35">
      <c r="A834" t="s">
        <v>798</v>
      </c>
      <c r="B834" t="str">
        <f t="shared" si="23"/>
        <v>46-55</v>
      </c>
      <c r="C834">
        <v>50</v>
      </c>
      <c r="D834" t="s">
        <v>26</v>
      </c>
      <c r="E834" t="s">
        <v>92</v>
      </c>
      <c r="F834" t="s">
        <v>56</v>
      </c>
      <c r="G834" s="1">
        <v>44491</v>
      </c>
      <c r="H834" t="s">
        <v>799</v>
      </c>
      <c r="I834" t="s">
        <v>800</v>
      </c>
      <c r="J834" t="s">
        <v>59</v>
      </c>
      <c r="K834">
        <v>2684.4017211574901</v>
      </c>
      <c r="L834">
        <v>147</v>
      </c>
      <c r="M834" t="s">
        <v>22</v>
      </c>
      <c r="N834" s="1">
        <v>44504</v>
      </c>
      <c r="O834" t="s">
        <v>50</v>
      </c>
      <c r="P834" t="s">
        <v>24</v>
      </c>
      <c r="Q834">
        <v>13</v>
      </c>
    </row>
    <row r="835" spans="1:17" x14ac:dyDescent="0.35">
      <c r="A835" t="s">
        <v>2553</v>
      </c>
      <c r="B835" t="str">
        <f t="shared" si="23"/>
        <v>36-45</v>
      </c>
      <c r="C835">
        <v>45</v>
      </c>
      <c r="D835" t="s">
        <v>16</v>
      </c>
      <c r="E835" t="s">
        <v>92</v>
      </c>
      <c r="F835" t="s">
        <v>56</v>
      </c>
      <c r="G835" s="1">
        <v>44195</v>
      </c>
      <c r="H835" t="s">
        <v>2554</v>
      </c>
      <c r="I835" t="s">
        <v>2555</v>
      </c>
      <c r="J835" t="s">
        <v>54</v>
      </c>
      <c r="K835">
        <v>19835.730466945901</v>
      </c>
      <c r="L835">
        <v>289</v>
      </c>
      <c r="M835" t="s">
        <v>22</v>
      </c>
      <c r="N835" s="1">
        <v>44199</v>
      </c>
      <c r="O835" t="s">
        <v>23</v>
      </c>
      <c r="P835" t="s">
        <v>34</v>
      </c>
      <c r="Q835">
        <v>4</v>
      </c>
    </row>
    <row r="836" spans="1:17" x14ac:dyDescent="0.35">
      <c r="A836" t="s">
        <v>1173</v>
      </c>
      <c r="B836" t="str">
        <f t="shared" si="23"/>
        <v>18-25</v>
      </c>
      <c r="C836">
        <v>22</v>
      </c>
      <c r="D836" t="s">
        <v>26</v>
      </c>
      <c r="E836" t="s">
        <v>117</v>
      </c>
      <c r="F836" t="s">
        <v>56</v>
      </c>
      <c r="G836" s="1">
        <v>44068</v>
      </c>
      <c r="H836" t="s">
        <v>1174</v>
      </c>
      <c r="I836" t="s">
        <v>1175</v>
      </c>
      <c r="J836" t="s">
        <v>54</v>
      </c>
      <c r="K836">
        <v>44643.054361458097</v>
      </c>
      <c r="L836">
        <v>152</v>
      </c>
      <c r="M836" t="s">
        <v>22</v>
      </c>
      <c r="N836" s="1">
        <v>44080</v>
      </c>
      <c r="O836" t="s">
        <v>44</v>
      </c>
      <c r="P836" t="s">
        <v>24</v>
      </c>
      <c r="Q836">
        <v>12</v>
      </c>
    </row>
    <row r="837" spans="1:17" x14ac:dyDescent="0.35">
      <c r="A837" t="s">
        <v>1779</v>
      </c>
      <c r="B837" t="str">
        <f t="shared" si="23"/>
        <v>56-65</v>
      </c>
      <c r="C837">
        <v>61</v>
      </c>
      <c r="D837" t="s">
        <v>26</v>
      </c>
      <c r="E837" t="s">
        <v>27</v>
      </c>
      <c r="F837" t="s">
        <v>56</v>
      </c>
      <c r="G837" s="1">
        <v>43636</v>
      </c>
      <c r="H837" t="s">
        <v>1780</v>
      </c>
      <c r="I837" t="s">
        <v>1781</v>
      </c>
      <c r="J837" t="s">
        <v>59</v>
      </c>
      <c r="K837">
        <v>2633.7930984837799</v>
      </c>
      <c r="L837">
        <v>459</v>
      </c>
      <c r="M837" t="s">
        <v>43</v>
      </c>
      <c r="N837" s="1">
        <v>43657</v>
      </c>
      <c r="O837" t="s">
        <v>50</v>
      </c>
      <c r="P837" t="s">
        <v>45</v>
      </c>
      <c r="Q837">
        <v>21</v>
      </c>
    </row>
    <row r="838" spans="1:17" x14ac:dyDescent="0.35">
      <c r="A838" t="s">
        <v>733</v>
      </c>
      <c r="B838" t="str">
        <f t="shared" si="23"/>
        <v>36-45</v>
      </c>
      <c r="C838">
        <v>43</v>
      </c>
      <c r="D838" t="s">
        <v>26</v>
      </c>
      <c r="E838" t="s">
        <v>117</v>
      </c>
      <c r="F838" t="s">
        <v>56</v>
      </c>
      <c r="G838" s="1">
        <v>44275</v>
      </c>
      <c r="H838" t="s">
        <v>734</v>
      </c>
      <c r="I838" t="s">
        <v>735</v>
      </c>
      <c r="J838" t="s">
        <v>54</v>
      </c>
      <c r="K838">
        <v>19660.006933679499</v>
      </c>
      <c r="L838">
        <v>179</v>
      </c>
      <c r="M838" t="s">
        <v>22</v>
      </c>
      <c r="N838" s="1">
        <v>44289</v>
      </c>
      <c r="O838" t="s">
        <v>44</v>
      </c>
      <c r="P838" t="s">
        <v>24</v>
      </c>
      <c r="Q838">
        <v>14</v>
      </c>
    </row>
    <row r="839" spans="1:17" x14ac:dyDescent="0.35">
      <c r="A839" t="s">
        <v>721</v>
      </c>
      <c r="B839" t="str">
        <f t="shared" si="23"/>
        <v>66-75</v>
      </c>
      <c r="C839">
        <v>66</v>
      </c>
      <c r="D839" t="s">
        <v>16</v>
      </c>
      <c r="E839" t="s">
        <v>17</v>
      </c>
      <c r="F839" t="s">
        <v>56</v>
      </c>
      <c r="G839" s="1">
        <v>44109</v>
      </c>
      <c r="H839" t="s">
        <v>722</v>
      </c>
      <c r="I839" t="s">
        <v>723</v>
      </c>
      <c r="J839" t="s">
        <v>54</v>
      </c>
      <c r="K839">
        <v>40530.702540511003</v>
      </c>
      <c r="L839">
        <v>391</v>
      </c>
      <c r="M839" t="s">
        <v>43</v>
      </c>
      <c r="N839" s="1">
        <v>44120</v>
      </c>
      <c r="O839" t="s">
        <v>50</v>
      </c>
      <c r="P839" t="s">
        <v>34</v>
      </c>
      <c r="Q839">
        <v>11</v>
      </c>
    </row>
    <row r="840" spans="1:17" x14ac:dyDescent="0.35">
      <c r="A840" t="s">
        <v>2783</v>
      </c>
      <c r="B840" t="str">
        <f t="shared" si="23"/>
        <v>36-45</v>
      </c>
      <c r="C840">
        <v>41</v>
      </c>
      <c r="D840" t="s">
        <v>16</v>
      </c>
      <c r="E840" t="s">
        <v>51</v>
      </c>
      <c r="F840" t="s">
        <v>56</v>
      </c>
      <c r="G840" s="1">
        <v>45117</v>
      </c>
      <c r="H840" t="s">
        <v>2784</v>
      </c>
      <c r="I840" t="s">
        <v>2785</v>
      </c>
      <c r="J840" t="s">
        <v>21</v>
      </c>
      <c r="K840">
        <v>19068.0225191436</v>
      </c>
      <c r="L840">
        <v>269</v>
      </c>
      <c r="M840" t="s">
        <v>22</v>
      </c>
      <c r="N840" s="1">
        <v>45119</v>
      </c>
      <c r="O840" t="s">
        <v>23</v>
      </c>
      <c r="P840" t="s">
        <v>45</v>
      </c>
      <c r="Q840">
        <v>2</v>
      </c>
    </row>
    <row r="841" spans="1:17" x14ac:dyDescent="0.35">
      <c r="A841" t="s">
        <v>1041</v>
      </c>
      <c r="B841" t="str">
        <f t="shared" si="23"/>
        <v>46-55</v>
      </c>
      <c r="C841">
        <v>51</v>
      </c>
      <c r="D841" t="s">
        <v>26</v>
      </c>
      <c r="E841" t="s">
        <v>117</v>
      </c>
      <c r="F841" t="s">
        <v>56</v>
      </c>
      <c r="G841" s="1">
        <v>44702</v>
      </c>
      <c r="H841" t="s">
        <v>1042</v>
      </c>
      <c r="I841" t="s">
        <v>1043</v>
      </c>
      <c r="J841" t="s">
        <v>31</v>
      </c>
      <c r="K841">
        <v>34173.025240585601</v>
      </c>
      <c r="L841">
        <v>353</v>
      </c>
      <c r="M841" t="s">
        <v>22</v>
      </c>
      <c r="N841" s="1">
        <v>44716</v>
      </c>
      <c r="O841" t="s">
        <v>23</v>
      </c>
      <c r="P841" t="s">
        <v>45</v>
      </c>
      <c r="Q841">
        <v>14</v>
      </c>
    </row>
    <row r="842" spans="1:17" x14ac:dyDescent="0.35">
      <c r="A842" t="s">
        <v>740</v>
      </c>
      <c r="B842" t="str">
        <f t="shared" si="23"/>
        <v>46-55</v>
      </c>
      <c r="C842">
        <v>53</v>
      </c>
      <c r="D842" t="s">
        <v>16</v>
      </c>
      <c r="E842" t="s">
        <v>232</v>
      </c>
      <c r="F842" t="s">
        <v>56</v>
      </c>
      <c r="G842" s="1">
        <v>43533</v>
      </c>
      <c r="H842" t="s">
        <v>2228</v>
      </c>
      <c r="I842" t="s">
        <v>2229</v>
      </c>
      <c r="J842" t="s">
        <v>59</v>
      </c>
      <c r="K842">
        <v>20485.0530568262</v>
      </c>
      <c r="L842">
        <v>312</v>
      </c>
      <c r="M842" t="s">
        <v>43</v>
      </c>
      <c r="N842" s="1">
        <v>43552</v>
      </c>
      <c r="O842" t="s">
        <v>44</v>
      </c>
      <c r="P842" t="s">
        <v>34</v>
      </c>
      <c r="Q842">
        <v>19</v>
      </c>
    </row>
    <row r="843" spans="1:17" x14ac:dyDescent="0.35">
      <c r="A843" t="s">
        <v>377</v>
      </c>
      <c r="B843" t="str">
        <f t="shared" si="23"/>
        <v>46-55</v>
      </c>
      <c r="C843">
        <v>47</v>
      </c>
      <c r="D843" t="s">
        <v>16</v>
      </c>
      <c r="E843" t="s">
        <v>117</v>
      </c>
      <c r="F843" t="s">
        <v>56</v>
      </c>
      <c r="G843" s="1">
        <v>44146</v>
      </c>
      <c r="H843" t="s">
        <v>378</v>
      </c>
      <c r="I843" t="s">
        <v>379</v>
      </c>
      <c r="J843" t="s">
        <v>59</v>
      </c>
      <c r="K843">
        <v>47999.806126673102</v>
      </c>
      <c r="L843">
        <v>214</v>
      </c>
      <c r="M843" t="s">
        <v>22</v>
      </c>
      <c r="N843" s="1">
        <v>44149</v>
      </c>
      <c r="O843" t="s">
        <v>33</v>
      </c>
      <c r="P843" t="s">
        <v>34</v>
      </c>
      <c r="Q843">
        <v>3</v>
      </c>
    </row>
    <row r="844" spans="1:17" x14ac:dyDescent="0.35">
      <c r="A844" t="s">
        <v>819</v>
      </c>
      <c r="B844" t="str">
        <f t="shared" si="23"/>
        <v>46-55</v>
      </c>
      <c r="C844">
        <v>52</v>
      </c>
      <c r="D844" t="s">
        <v>26</v>
      </c>
      <c r="E844" t="s">
        <v>92</v>
      </c>
      <c r="F844" t="s">
        <v>56</v>
      </c>
      <c r="G844" s="1">
        <v>44469</v>
      </c>
      <c r="H844" t="s">
        <v>820</v>
      </c>
      <c r="I844" t="s">
        <v>821</v>
      </c>
      <c r="J844" t="s">
        <v>63</v>
      </c>
      <c r="K844">
        <v>15801.8422884028</v>
      </c>
      <c r="L844">
        <v>226</v>
      </c>
      <c r="M844" t="s">
        <v>43</v>
      </c>
      <c r="N844" s="1">
        <v>44497</v>
      </c>
      <c r="O844" t="s">
        <v>44</v>
      </c>
      <c r="P844" t="s">
        <v>45</v>
      </c>
      <c r="Q844">
        <v>28</v>
      </c>
    </row>
    <row r="845" spans="1:17" x14ac:dyDescent="0.35">
      <c r="A845" t="s">
        <v>780</v>
      </c>
      <c r="B845" t="str">
        <f t="shared" si="23"/>
        <v>56-65</v>
      </c>
      <c r="C845">
        <v>62</v>
      </c>
      <c r="D845" t="s">
        <v>26</v>
      </c>
      <c r="E845" t="s">
        <v>92</v>
      </c>
      <c r="F845" t="s">
        <v>56</v>
      </c>
      <c r="G845" s="1">
        <v>44762</v>
      </c>
      <c r="H845" t="s">
        <v>781</v>
      </c>
      <c r="I845" t="s">
        <v>782</v>
      </c>
      <c r="J845" t="s">
        <v>54</v>
      </c>
      <c r="K845">
        <v>49488.200779255603</v>
      </c>
      <c r="L845">
        <v>287</v>
      </c>
      <c r="M845" t="s">
        <v>43</v>
      </c>
      <c r="N845" s="1">
        <v>44769</v>
      </c>
      <c r="O845" t="s">
        <v>87</v>
      </c>
      <c r="P845" t="s">
        <v>34</v>
      </c>
      <c r="Q845">
        <v>7</v>
      </c>
    </row>
    <row r="846" spans="1:17" x14ac:dyDescent="0.35">
      <c r="A846" t="s">
        <v>518</v>
      </c>
      <c r="B846" t="str">
        <f t="shared" si="23"/>
        <v>66-75</v>
      </c>
      <c r="C846">
        <v>72</v>
      </c>
      <c r="D846" t="s">
        <v>26</v>
      </c>
      <c r="E846" t="s">
        <v>51</v>
      </c>
      <c r="F846" t="s">
        <v>56</v>
      </c>
      <c r="G846" s="1">
        <v>44755</v>
      </c>
      <c r="H846" t="s">
        <v>519</v>
      </c>
      <c r="I846" t="s">
        <v>520</v>
      </c>
      <c r="J846" t="s">
        <v>59</v>
      </c>
      <c r="K846">
        <v>41890.246439373397</v>
      </c>
      <c r="L846">
        <v>257</v>
      </c>
      <c r="M846" t="s">
        <v>32</v>
      </c>
      <c r="N846" s="1">
        <v>44768</v>
      </c>
      <c r="O846" t="s">
        <v>44</v>
      </c>
      <c r="P846" t="s">
        <v>24</v>
      </c>
      <c r="Q846">
        <v>13</v>
      </c>
    </row>
    <row r="847" spans="1:17" x14ac:dyDescent="0.35">
      <c r="A847" t="s">
        <v>372</v>
      </c>
      <c r="B847" t="str">
        <f t="shared" si="23"/>
        <v>46-55</v>
      </c>
      <c r="C847">
        <v>55</v>
      </c>
      <c r="D847" t="s">
        <v>26</v>
      </c>
      <c r="E847" t="s">
        <v>65</v>
      </c>
      <c r="F847" t="s">
        <v>37</v>
      </c>
      <c r="G847" s="1">
        <v>44218</v>
      </c>
      <c r="H847" t="s">
        <v>373</v>
      </c>
      <c r="I847" t="s">
        <v>374</v>
      </c>
      <c r="J847" t="s">
        <v>54</v>
      </c>
      <c r="K847">
        <v>23684.915547098699</v>
      </c>
      <c r="L847">
        <v>401</v>
      </c>
      <c r="M847" t="s">
        <v>32</v>
      </c>
      <c r="N847" s="1">
        <v>44246</v>
      </c>
      <c r="O847" t="s">
        <v>50</v>
      </c>
      <c r="P847" t="s">
        <v>45</v>
      </c>
      <c r="Q847">
        <v>28</v>
      </c>
    </row>
    <row r="848" spans="1:17" x14ac:dyDescent="0.35">
      <c r="A848" t="s">
        <v>769</v>
      </c>
      <c r="B848" t="str">
        <f t="shared" si="23"/>
        <v>66-75</v>
      </c>
      <c r="C848">
        <v>71</v>
      </c>
      <c r="D848" t="s">
        <v>16</v>
      </c>
      <c r="E848" t="s">
        <v>232</v>
      </c>
      <c r="F848" t="s">
        <v>37</v>
      </c>
      <c r="G848" s="1">
        <v>44324</v>
      </c>
      <c r="H848" t="s">
        <v>770</v>
      </c>
      <c r="I848" t="s">
        <v>771</v>
      </c>
      <c r="J848" t="s">
        <v>21</v>
      </c>
      <c r="K848">
        <v>23016.7601043223</v>
      </c>
      <c r="L848">
        <v>141</v>
      </c>
      <c r="M848" t="s">
        <v>43</v>
      </c>
      <c r="N848" s="1">
        <v>44342</v>
      </c>
      <c r="O848" t="s">
        <v>23</v>
      </c>
      <c r="P848" t="s">
        <v>34</v>
      </c>
      <c r="Q848">
        <v>18</v>
      </c>
    </row>
    <row r="849" spans="1:17" x14ac:dyDescent="0.35">
      <c r="A849" t="s">
        <v>1547</v>
      </c>
      <c r="B849" t="str">
        <f t="shared" si="23"/>
        <v>36-45</v>
      </c>
      <c r="C849">
        <v>40</v>
      </c>
      <c r="D849" t="s">
        <v>26</v>
      </c>
      <c r="E849" t="s">
        <v>92</v>
      </c>
      <c r="F849" t="s">
        <v>37</v>
      </c>
      <c r="G849" s="1">
        <v>44010</v>
      </c>
      <c r="H849" t="s">
        <v>1548</v>
      </c>
      <c r="I849" t="s">
        <v>1549</v>
      </c>
      <c r="J849" t="s">
        <v>63</v>
      </c>
      <c r="K849">
        <v>39914.276070550302</v>
      </c>
      <c r="L849">
        <v>458</v>
      </c>
      <c r="M849" t="s">
        <v>43</v>
      </c>
      <c r="N849" s="1">
        <v>44021</v>
      </c>
      <c r="O849" t="s">
        <v>44</v>
      </c>
      <c r="P849" t="s">
        <v>24</v>
      </c>
      <c r="Q849">
        <v>11</v>
      </c>
    </row>
    <row r="850" spans="1:17" x14ac:dyDescent="0.35">
      <c r="A850" t="s">
        <v>1802</v>
      </c>
      <c r="B850" t="str">
        <f t="shared" si="23"/>
        <v>66-75</v>
      </c>
      <c r="C850">
        <v>70</v>
      </c>
      <c r="D850" t="s">
        <v>26</v>
      </c>
      <c r="E850" t="s">
        <v>232</v>
      </c>
      <c r="F850" t="s">
        <v>37</v>
      </c>
      <c r="G850" s="1">
        <v>45042</v>
      </c>
      <c r="H850" t="s">
        <v>1803</v>
      </c>
      <c r="I850" t="s">
        <v>1804</v>
      </c>
      <c r="J850" t="s">
        <v>54</v>
      </c>
      <c r="K850">
        <v>37718.965979142296</v>
      </c>
      <c r="L850">
        <v>349</v>
      </c>
      <c r="M850" t="s">
        <v>43</v>
      </c>
      <c r="N850" s="1">
        <v>45055</v>
      </c>
      <c r="O850" t="s">
        <v>33</v>
      </c>
      <c r="P850" t="s">
        <v>24</v>
      </c>
      <c r="Q850">
        <v>13</v>
      </c>
    </row>
    <row r="851" spans="1:17" x14ac:dyDescent="0.35">
      <c r="A851" t="s">
        <v>401</v>
      </c>
      <c r="B851" t="str">
        <f t="shared" si="23"/>
        <v>26-35</v>
      </c>
      <c r="C851">
        <v>35</v>
      </c>
      <c r="D851" t="s">
        <v>26</v>
      </c>
      <c r="E851" t="s">
        <v>36</v>
      </c>
      <c r="F851" t="s">
        <v>37</v>
      </c>
      <c r="G851" s="1">
        <v>44001</v>
      </c>
      <c r="H851" t="s">
        <v>402</v>
      </c>
      <c r="I851" t="s">
        <v>403</v>
      </c>
      <c r="J851" t="s">
        <v>54</v>
      </c>
      <c r="K851">
        <v>36823.928259992303</v>
      </c>
      <c r="L851">
        <v>179</v>
      </c>
      <c r="M851" t="s">
        <v>22</v>
      </c>
      <c r="N851" s="1">
        <v>44016</v>
      </c>
      <c r="O851" t="s">
        <v>50</v>
      </c>
      <c r="P851" t="s">
        <v>34</v>
      </c>
      <c r="Q851">
        <v>15</v>
      </c>
    </row>
    <row r="852" spans="1:17" x14ac:dyDescent="0.35">
      <c r="A852" t="s">
        <v>1573</v>
      </c>
      <c r="B852" t="str">
        <f t="shared" ref="B852:B915" si="24">VLOOKUP(C852,$T$3:$U$9,2,TRUE)</f>
        <v>18-25</v>
      </c>
      <c r="C852">
        <v>23</v>
      </c>
      <c r="D852" t="s">
        <v>16</v>
      </c>
      <c r="E852" t="s">
        <v>117</v>
      </c>
      <c r="F852" t="s">
        <v>37</v>
      </c>
      <c r="G852" s="1">
        <v>43566</v>
      </c>
      <c r="H852" t="s">
        <v>1574</v>
      </c>
      <c r="I852" t="s">
        <v>1575</v>
      </c>
      <c r="J852" t="s">
        <v>54</v>
      </c>
      <c r="K852">
        <v>34710.043053737099</v>
      </c>
      <c r="L852">
        <v>115</v>
      </c>
      <c r="M852" t="s">
        <v>32</v>
      </c>
      <c r="N852" s="1">
        <v>43567</v>
      </c>
      <c r="O852" t="s">
        <v>44</v>
      </c>
      <c r="P852" t="s">
        <v>24</v>
      </c>
      <c r="Q852">
        <v>1</v>
      </c>
    </row>
    <row r="853" spans="1:17" x14ac:dyDescent="0.35">
      <c r="A853" t="s">
        <v>1370</v>
      </c>
      <c r="B853" t="str">
        <f t="shared" si="24"/>
        <v>46-55</v>
      </c>
      <c r="C853">
        <v>54</v>
      </c>
      <c r="D853" t="s">
        <v>26</v>
      </c>
      <c r="E853" t="s">
        <v>51</v>
      </c>
      <c r="F853" t="s">
        <v>37</v>
      </c>
      <c r="G853" s="1">
        <v>44069</v>
      </c>
      <c r="H853" t="s">
        <v>1371</v>
      </c>
      <c r="I853" t="s">
        <v>1372</v>
      </c>
      <c r="J853" t="s">
        <v>63</v>
      </c>
      <c r="K853">
        <v>1926.8812784193301</v>
      </c>
      <c r="L853">
        <v>485</v>
      </c>
      <c r="M853" t="s">
        <v>43</v>
      </c>
      <c r="N853" s="1">
        <v>44093</v>
      </c>
      <c r="O853" t="s">
        <v>44</v>
      </c>
      <c r="P853" t="s">
        <v>34</v>
      </c>
      <c r="Q853">
        <v>24</v>
      </c>
    </row>
    <row r="854" spans="1:17" x14ac:dyDescent="0.35">
      <c r="A854" t="s">
        <v>2051</v>
      </c>
      <c r="B854" t="str">
        <f t="shared" si="24"/>
        <v>26-35</v>
      </c>
      <c r="C854">
        <v>29</v>
      </c>
      <c r="D854" t="s">
        <v>16</v>
      </c>
      <c r="E854" t="s">
        <v>17</v>
      </c>
      <c r="F854" t="s">
        <v>37</v>
      </c>
      <c r="G854" s="1">
        <v>44994</v>
      </c>
      <c r="H854" t="s">
        <v>2052</v>
      </c>
      <c r="I854" t="s">
        <v>2053</v>
      </c>
      <c r="J854" t="s">
        <v>21</v>
      </c>
      <c r="K854">
        <v>24865.147652104901</v>
      </c>
      <c r="L854">
        <v>411</v>
      </c>
      <c r="M854" t="s">
        <v>32</v>
      </c>
      <c r="N854" s="1">
        <v>45007</v>
      </c>
      <c r="O854" t="s">
        <v>87</v>
      </c>
      <c r="P854" t="s">
        <v>24</v>
      </c>
      <c r="Q854">
        <v>13</v>
      </c>
    </row>
    <row r="855" spans="1:17" x14ac:dyDescent="0.35">
      <c r="A855" t="s">
        <v>2300</v>
      </c>
      <c r="B855" t="str">
        <f t="shared" si="24"/>
        <v>46-55</v>
      </c>
      <c r="C855">
        <v>53</v>
      </c>
      <c r="D855" t="s">
        <v>26</v>
      </c>
      <c r="E855" t="s">
        <v>27</v>
      </c>
      <c r="F855" t="s">
        <v>37</v>
      </c>
      <c r="G855" s="1">
        <v>43434</v>
      </c>
      <c r="H855" t="s">
        <v>2301</v>
      </c>
      <c r="I855" t="s">
        <v>2302</v>
      </c>
      <c r="J855" t="s">
        <v>63</v>
      </c>
      <c r="K855">
        <v>47650.809694668198</v>
      </c>
      <c r="L855">
        <v>364</v>
      </c>
      <c r="M855" t="s">
        <v>22</v>
      </c>
      <c r="N855" s="1">
        <v>43449</v>
      </c>
      <c r="O855" t="s">
        <v>33</v>
      </c>
      <c r="P855" t="s">
        <v>45</v>
      </c>
      <c r="Q855">
        <v>15</v>
      </c>
    </row>
    <row r="856" spans="1:17" x14ac:dyDescent="0.35">
      <c r="A856" t="s">
        <v>857</v>
      </c>
      <c r="B856" t="str">
        <f t="shared" si="24"/>
        <v>66-75</v>
      </c>
      <c r="C856">
        <v>67</v>
      </c>
      <c r="D856" t="s">
        <v>26</v>
      </c>
      <c r="E856" t="s">
        <v>27</v>
      </c>
      <c r="F856" t="s">
        <v>37</v>
      </c>
      <c r="G856" s="1">
        <v>44697</v>
      </c>
      <c r="H856" t="s">
        <v>858</v>
      </c>
      <c r="I856" t="s">
        <v>859</v>
      </c>
      <c r="J856" t="s">
        <v>54</v>
      </c>
      <c r="K856">
        <v>40757.910944602401</v>
      </c>
      <c r="L856">
        <v>303</v>
      </c>
      <c r="M856" t="s">
        <v>43</v>
      </c>
      <c r="N856" s="1">
        <v>44721</v>
      </c>
      <c r="O856" t="s">
        <v>44</v>
      </c>
      <c r="P856" t="s">
        <v>24</v>
      </c>
      <c r="Q856">
        <v>24</v>
      </c>
    </row>
    <row r="857" spans="1:17" x14ac:dyDescent="0.35">
      <c r="A857" t="s">
        <v>1017</v>
      </c>
      <c r="B857" t="str">
        <f t="shared" si="24"/>
        <v>36-45</v>
      </c>
      <c r="C857">
        <v>37</v>
      </c>
      <c r="D857" t="s">
        <v>16</v>
      </c>
      <c r="E857" t="s">
        <v>27</v>
      </c>
      <c r="F857" t="s">
        <v>37</v>
      </c>
      <c r="G857" s="1">
        <v>43960</v>
      </c>
      <c r="H857" t="s">
        <v>1018</v>
      </c>
      <c r="I857" t="s">
        <v>1019</v>
      </c>
      <c r="J857" t="s">
        <v>21</v>
      </c>
      <c r="K857">
        <v>40449.846433405699</v>
      </c>
      <c r="L857">
        <v>411</v>
      </c>
      <c r="M857" t="s">
        <v>32</v>
      </c>
      <c r="N857" s="1">
        <v>43987</v>
      </c>
      <c r="O857" t="s">
        <v>50</v>
      </c>
      <c r="P857" t="s">
        <v>34</v>
      </c>
      <c r="Q857">
        <v>27</v>
      </c>
    </row>
    <row r="858" spans="1:17" x14ac:dyDescent="0.35">
      <c r="A858" t="s">
        <v>969</v>
      </c>
      <c r="B858" t="str">
        <f t="shared" si="24"/>
        <v>56-65</v>
      </c>
      <c r="C858">
        <v>57</v>
      </c>
      <c r="D858" t="s">
        <v>26</v>
      </c>
      <c r="E858" t="s">
        <v>92</v>
      </c>
      <c r="F858" t="s">
        <v>37</v>
      </c>
      <c r="G858" s="1">
        <v>44736</v>
      </c>
      <c r="H858" t="s">
        <v>970</v>
      </c>
      <c r="I858" t="s">
        <v>971</v>
      </c>
      <c r="J858" t="s">
        <v>59</v>
      </c>
      <c r="K858">
        <v>34747.270077916299</v>
      </c>
      <c r="L858">
        <v>133</v>
      </c>
      <c r="M858" t="s">
        <v>32</v>
      </c>
      <c r="N858" s="1">
        <v>44745</v>
      </c>
      <c r="O858" t="s">
        <v>33</v>
      </c>
      <c r="P858" t="s">
        <v>24</v>
      </c>
      <c r="Q858">
        <v>9</v>
      </c>
    </row>
    <row r="859" spans="1:17" x14ac:dyDescent="0.35">
      <c r="A859" t="s">
        <v>153</v>
      </c>
      <c r="B859" t="str">
        <f t="shared" si="24"/>
        <v>66-75</v>
      </c>
      <c r="C859">
        <v>70</v>
      </c>
      <c r="D859" t="s">
        <v>16</v>
      </c>
      <c r="E859" t="s">
        <v>65</v>
      </c>
      <c r="F859" t="s">
        <v>37</v>
      </c>
      <c r="G859" s="1">
        <v>44810</v>
      </c>
      <c r="H859" t="s">
        <v>154</v>
      </c>
      <c r="I859" t="s">
        <v>155</v>
      </c>
      <c r="J859" t="s">
        <v>21</v>
      </c>
      <c r="K859">
        <v>1000.18083702175</v>
      </c>
      <c r="L859">
        <v>258</v>
      </c>
      <c r="M859" t="s">
        <v>32</v>
      </c>
      <c r="N859" s="1">
        <v>44822</v>
      </c>
      <c r="O859" t="s">
        <v>50</v>
      </c>
      <c r="P859" t="s">
        <v>45</v>
      </c>
      <c r="Q859">
        <v>12</v>
      </c>
    </row>
    <row r="860" spans="1:17" x14ac:dyDescent="0.35">
      <c r="A860" t="s">
        <v>265</v>
      </c>
      <c r="B860" t="str">
        <f t="shared" si="24"/>
        <v>56-65</v>
      </c>
      <c r="C860">
        <v>57</v>
      </c>
      <c r="D860" t="s">
        <v>26</v>
      </c>
      <c r="E860" t="s">
        <v>17</v>
      </c>
      <c r="F860" t="s">
        <v>37</v>
      </c>
      <c r="G860" s="1">
        <v>44675</v>
      </c>
      <c r="H860" t="s">
        <v>266</v>
      </c>
      <c r="I860" t="s">
        <v>267</v>
      </c>
      <c r="J860" t="s">
        <v>21</v>
      </c>
      <c r="K860">
        <v>4679.1190386771996</v>
      </c>
      <c r="L860">
        <v>358</v>
      </c>
      <c r="M860" t="s">
        <v>22</v>
      </c>
      <c r="N860" s="1">
        <v>44703</v>
      </c>
      <c r="O860" t="s">
        <v>87</v>
      </c>
      <c r="P860" t="s">
        <v>34</v>
      </c>
      <c r="Q860">
        <v>28</v>
      </c>
    </row>
    <row r="861" spans="1:17" x14ac:dyDescent="0.35">
      <c r="A861" t="s">
        <v>375</v>
      </c>
      <c r="B861" t="str">
        <f t="shared" si="24"/>
        <v>56-65</v>
      </c>
      <c r="C861">
        <v>61</v>
      </c>
      <c r="D861" t="s">
        <v>16</v>
      </c>
      <c r="E861" t="s">
        <v>36</v>
      </c>
      <c r="F861" t="s">
        <v>37</v>
      </c>
      <c r="G861" s="1">
        <v>45071</v>
      </c>
      <c r="H861" t="s">
        <v>376</v>
      </c>
      <c r="I861" t="s">
        <v>347</v>
      </c>
      <c r="J861" t="s">
        <v>63</v>
      </c>
      <c r="K861">
        <v>20312.769821444399</v>
      </c>
      <c r="L861">
        <v>263</v>
      </c>
      <c r="M861" t="s">
        <v>22</v>
      </c>
      <c r="N861" s="1">
        <v>45092</v>
      </c>
      <c r="O861" t="s">
        <v>50</v>
      </c>
      <c r="P861" t="s">
        <v>24</v>
      </c>
      <c r="Q861">
        <v>21</v>
      </c>
    </row>
    <row r="862" spans="1:17" x14ac:dyDescent="0.35">
      <c r="A862" t="s">
        <v>2375</v>
      </c>
      <c r="B862" t="str">
        <f t="shared" si="24"/>
        <v>46-55</v>
      </c>
      <c r="C862">
        <v>54</v>
      </c>
      <c r="D862" t="s">
        <v>26</v>
      </c>
      <c r="E862" t="s">
        <v>232</v>
      </c>
      <c r="F862" t="s">
        <v>37</v>
      </c>
      <c r="G862" s="1">
        <v>44738</v>
      </c>
      <c r="H862" t="s">
        <v>2376</v>
      </c>
      <c r="I862" t="s">
        <v>2377</v>
      </c>
      <c r="J862" t="s">
        <v>59</v>
      </c>
      <c r="K862">
        <v>8749.9237308924694</v>
      </c>
      <c r="L862">
        <v>295</v>
      </c>
      <c r="M862" t="s">
        <v>32</v>
      </c>
      <c r="N862" s="1">
        <v>44754</v>
      </c>
      <c r="O862" t="s">
        <v>87</v>
      </c>
      <c r="P862" t="s">
        <v>24</v>
      </c>
      <c r="Q862">
        <v>16</v>
      </c>
    </row>
    <row r="863" spans="1:17" x14ac:dyDescent="0.35">
      <c r="A863" t="s">
        <v>1495</v>
      </c>
      <c r="B863" t="str">
        <f t="shared" si="24"/>
        <v>46-55</v>
      </c>
      <c r="C863">
        <v>52</v>
      </c>
      <c r="D863" t="s">
        <v>16</v>
      </c>
      <c r="E863" t="s">
        <v>92</v>
      </c>
      <c r="F863" t="s">
        <v>37</v>
      </c>
      <c r="G863" s="1">
        <v>44425</v>
      </c>
      <c r="H863" t="s">
        <v>1496</v>
      </c>
      <c r="I863" t="s">
        <v>1497</v>
      </c>
      <c r="J863" t="s">
        <v>21</v>
      </c>
      <c r="K863">
        <v>48166.4649733162</v>
      </c>
      <c r="L863">
        <v>215</v>
      </c>
      <c r="M863" t="s">
        <v>32</v>
      </c>
      <c r="N863" s="1">
        <v>44443</v>
      </c>
      <c r="O863" t="s">
        <v>50</v>
      </c>
      <c r="P863" t="s">
        <v>24</v>
      </c>
      <c r="Q863">
        <v>18</v>
      </c>
    </row>
    <row r="864" spans="1:17" x14ac:dyDescent="0.35">
      <c r="A864" t="s">
        <v>2943</v>
      </c>
      <c r="B864" t="str">
        <f t="shared" si="24"/>
        <v>26-35</v>
      </c>
      <c r="C864">
        <v>33</v>
      </c>
      <c r="D864" t="s">
        <v>16</v>
      </c>
      <c r="E864" t="s">
        <v>27</v>
      </c>
      <c r="F864" t="s">
        <v>37</v>
      </c>
      <c r="G864" s="1">
        <v>44116</v>
      </c>
      <c r="H864" t="s">
        <v>2944</v>
      </c>
      <c r="I864" t="s">
        <v>2945</v>
      </c>
      <c r="J864" t="s">
        <v>63</v>
      </c>
      <c r="K864">
        <v>42685.200521269602</v>
      </c>
      <c r="L864">
        <v>333</v>
      </c>
      <c r="M864" t="s">
        <v>43</v>
      </c>
      <c r="N864" s="1">
        <v>44126</v>
      </c>
      <c r="O864" t="s">
        <v>50</v>
      </c>
      <c r="P864" t="s">
        <v>34</v>
      </c>
      <c r="Q864">
        <v>10</v>
      </c>
    </row>
    <row r="865" spans="1:17" x14ac:dyDescent="0.35">
      <c r="A865" t="s">
        <v>1331</v>
      </c>
      <c r="B865" t="str">
        <f t="shared" si="24"/>
        <v>56-65</v>
      </c>
      <c r="C865">
        <v>58</v>
      </c>
      <c r="D865" t="s">
        <v>26</v>
      </c>
      <c r="E865" t="s">
        <v>27</v>
      </c>
      <c r="F865" t="s">
        <v>37</v>
      </c>
      <c r="G865" s="1">
        <v>43672</v>
      </c>
      <c r="H865" t="s">
        <v>1332</v>
      </c>
      <c r="I865" t="s">
        <v>1333</v>
      </c>
      <c r="J865" t="s">
        <v>59</v>
      </c>
      <c r="K865">
        <v>49619.862546857403</v>
      </c>
      <c r="L865">
        <v>428</v>
      </c>
      <c r="M865" t="s">
        <v>22</v>
      </c>
      <c r="N865" s="1">
        <v>43702</v>
      </c>
      <c r="O865" t="s">
        <v>33</v>
      </c>
      <c r="P865" t="s">
        <v>45</v>
      </c>
      <c r="Q865">
        <v>30</v>
      </c>
    </row>
    <row r="866" spans="1:17" x14ac:dyDescent="0.35">
      <c r="A866" t="s">
        <v>1343</v>
      </c>
      <c r="B866" t="str">
        <f t="shared" si="24"/>
        <v>76-85</v>
      </c>
      <c r="C866">
        <v>79</v>
      </c>
      <c r="D866" t="s">
        <v>26</v>
      </c>
      <c r="E866" t="s">
        <v>92</v>
      </c>
      <c r="F866" t="s">
        <v>37</v>
      </c>
      <c r="G866" s="1">
        <v>44215</v>
      </c>
      <c r="H866" t="s">
        <v>1344</v>
      </c>
      <c r="I866" t="s">
        <v>1345</v>
      </c>
      <c r="J866" t="s">
        <v>31</v>
      </c>
      <c r="K866">
        <v>26017.3180732412</v>
      </c>
      <c r="L866">
        <v>264</v>
      </c>
      <c r="M866" t="s">
        <v>43</v>
      </c>
      <c r="N866" s="1">
        <v>44241</v>
      </c>
      <c r="O866" t="s">
        <v>33</v>
      </c>
      <c r="P866" t="s">
        <v>24</v>
      </c>
      <c r="Q866">
        <v>26</v>
      </c>
    </row>
    <row r="867" spans="1:17" x14ac:dyDescent="0.35">
      <c r="A867" t="s">
        <v>2821</v>
      </c>
      <c r="B867" t="str">
        <f t="shared" si="24"/>
        <v>56-65</v>
      </c>
      <c r="C867">
        <v>63</v>
      </c>
      <c r="D867" t="s">
        <v>16</v>
      </c>
      <c r="E867" t="s">
        <v>117</v>
      </c>
      <c r="F867" t="s">
        <v>37</v>
      </c>
      <c r="G867" s="1">
        <v>45037</v>
      </c>
      <c r="H867" t="s">
        <v>2822</v>
      </c>
      <c r="I867" t="s">
        <v>2823</v>
      </c>
      <c r="J867" t="s">
        <v>21</v>
      </c>
      <c r="K867">
        <v>6651.5004962202402</v>
      </c>
      <c r="L867">
        <v>124</v>
      </c>
      <c r="M867" t="s">
        <v>43</v>
      </c>
      <c r="N867" s="1">
        <v>45057</v>
      </c>
      <c r="O867" t="s">
        <v>50</v>
      </c>
      <c r="P867" t="s">
        <v>34</v>
      </c>
      <c r="Q867">
        <v>20</v>
      </c>
    </row>
    <row r="868" spans="1:17" x14ac:dyDescent="0.35">
      <c r="A868" t="s">
        <v>2303</v>
      </c>
      <c r="B868" t="str">
        <f t="shared" si="24"/>
        <v>66-75</v>
      </c>
      <c r="C868">
        <v>75</v>
      </c>
      <c r="D868" t="s">
        <v>16</v>
      </c>
      <c r="E868" t="s">
        <v>51</v>
      </c>
      <c r="F868" t="s">
        <v>37</v>
      </c>
      <c r="G868" s="1">
        <v>43877</v>
      </c>
      <c r="H868" t="s">
        <v>1123</v>
      </c>
      <c r="I868" t="s">
        <v>2304</v>
      </c>
      <c r="J868" t="s">
        <v>63</v>
      </c>
      <c r="K868">
        <v>6103.3890638331904</v>
      </c>
      <c r="L868">
        <v>369</v>
      </c>
      <c r="M868" t="s">
        <v>22</v>
      </c>
      <c r="N868" s="1">
        <v>43901</v>
      </c>
      <c r="O868" t="s">
        <v>33</v>
      </c>
      <c r="P868" t="s">
        <v>34</v>
      </c>
      <c r="Q868">
        <v>24</v>
      </c>
    </row>
    <row r="869" spans="1:17" x14ac:dyDescent="0.35">
      <c r="A869" t="s">
        <v>1093</v>
      </c>
      <c r="B869" t="str">
        <f t="shared" si="24"/>
        <v>66-75</v>
      </c>
      <c r="C869">
        <v>70</v>
      </c>
      <c r="D869" t="s">
        <v>16</v>
      </c>
      <c r="E869" t="s">
        <v>36</v>
      </c>
      <c r="F869" t="s">
        <v>37</v>
      </c>
      <c r="G869" s="1">
        <v>44666</v>
      </c>
      <c r="H869" t="s">
        <v>1094</v>
      </c>
      <c r="I869" t="s">
        <v>1095</v>
      </c>
      <c r="J869" t="s">
        <v>63</v>
      </c>
      <c r="K869">
        <v>27065.747046561901</v>
      </c>
      <c r="L869">
        <v>275</v>
      </c>
      <c r="M869" t="s">
        <v>22</v>
      </c>
      <c r="N869" s="1">
        <v>44693</v>
      </c>
      <c r="O869" t="s">
        <v>44</v>
      </c>
      <c r="P869" t="s">
        <v>34</v>
      </c>
      <c r="Q869">
        <v>27</v>
      </c>
    </row>
    <row r="870" spans="1:17" x14ac:dyDescent="0.35">
      <c r="A870" t="s">
        <v>2624</v>
      </c>
      <c r="B870" t="str">
        <f t="shared" si="24"/>
        <v>76-85</v>
      </c>
      <c r="C870">
        <v>84</v>
      </c>
      <c r="D870" t="s">
        <v>26</v>
      </c>
      <c r="E870" t="s">
        <v>17</v>
      </c>
      <c r="F870" t="s">
        <v>37</v>
      </c>
      <c r="G870" s="1">
        <v>43479</v>
      </c>
      <c r="H870" t="s">
        <v>2625</v>
      </c>
      <c r="I870" t="s">
        <v>230</v>
      </c>
      <c r="J870" t="s">
        <v>31</v>
      </c>
      <c r="K870">
        <v>39645.267804501702</v>
      </c>
      <c r="L870">
        <v>277</v>
      </c>
      <c r="M870" t="s">
        <v>32</v>
      </c>
      <c r="N870" s="1">
        <v>43503</v>
      </c>
      <c r="O870" t="s">
        <v>44</v>
      </c>
      <c r="P870" t="s">
        <v>34</v>
      </c>
      <c r="Q870">
        <v>24</v>
      </c>
    </row>
    <row r="871" spans="1:17" x14ac:dyDescent="0.35">
      <c r="A871" t="s">
        <v>35</v>
      </c>
      <c r="B871" t="str">
        <f t="shared" si="24"/>
        <v>56-65</v>
      </c>
      <c r="C871">
        <v>61</v>
      </c>
      <c r="D871" t="s">
        <v>26</v>
      </c>
      <c r="E871" t="s">
        <v>36</v>
      </c>
      <c r="F871" t="s">
        <v>37</v>
      </c>
      <c r="G871" s="1">
        <v>43474</v>
      </c>
      <c r="H871" t="s">
        <v>38</v>
      </c>
      <c r="I871" t="s">
        <v>39</v>
      </c>
      <c r="J871" t="s">
        <v>21</v>
      </c>
      <c r="K871">
        <v>36874.896996612697</v>
      </c>
      <c r="L871">
        <v>292</v>
      </c>
      <c r="M871" t="s">
        <v>32</v>
      </c>
      <c r="N871" s="1">
        <v>43504</v>
      </c>
      <c r="O871" t="s">
        <v>33</v>
      </c>
      <c r="P871" t="s">
        <v>34</v>
      </c>
      <c r="Q871">
        <v>30</v>
      </c>
    </row>
    <row r="872" spans="1:17" x14ac:dyDescent="0.35">
      <c r="A872" t="s">
        <v>1710</v>
      </c>
      <c r="B872" t="str">
        <f t="shared" si="24"/>
        <v>76-85</v>
      </c>
      <c r="C872">
        <v>80</v>
      </c>
      <c r="D872" t="s">
        <v>26</v>
      </c>
      <c r="E872" t="s">
        <v>27</v>
      </c>
      <c r="F872" t="s">
        <v>37</v>
      </c>
      <c r="G872" s="1">
        <v>44377</v>
      </c>
      <c r="H872" t="s">
        <v>1711</v>
      </c>
      <c r="I872" t="s">
        <v>481</v>
      </c>
      <c r="J872" t="s">
        <v>54</v>
      </c>
      <c r="K872">
        <v>47627.277838280599</v>
      </c>
      <c r="L872">
        <v>394</v>
      </c>
      <c r="M872" t="s">
        <v>43</v>
      </c>
      <c r="N872" s="1">
        <v>44386</v>
      </c>
      <c r="O872" t="s">
        <v>87</v>
      </c>
      <c r="P872" t="s">
        <v>24</v>
      </c>
      <c r="Q872">
        <v>9</v>
      </c>
    </row>
    <row r="873" spans="1:17" x14ac:dyDescent="0.35">
      <c r="A873" t="s">
        <v>1768</v>
      </c>
      <c r="B873" t="str">
        <f t="shared" si="24"/>
        <v>26-35</v>
      </c>
      <c r="C873">
        <v>27</v>
      </c>
      <c r="D873" t="s">
        <v>16</v>
      </c>
      <c r="E873" t="s">
        <v>17</v>
      </c>
      <c r="F873" t="s">
        <v>37</v>
      </c>
      <c r="G873" s="1">
        <v>45188</v>
      </c>
      <c r="H873" t="s">
        <v>1769</v>
      </c>
      <c r="I873" t="s">
        <v>1770</v>
      </c>
      <c r="J873" t="s">
        <v>59</v>
      </c>
      <c r="K873">
        <v>31546.0403445228</v>
      </c>
      <c r="L873">
        <v>118</v>
      </c>
      <c r="M873" t="s">
        <v>32</v>
      </c>
      <c r="N873" s="1">
        <v>45192</v>
      </c>
      <c r="O873" t="s">
        <v>33</v>
      </c>
      <c r="P873" t="s">
        <v>24</v>
      </c>
      <c r="Q873">
        <v>4</v>
      </c>
    </row>
    <row r="874" spans="1:17" x14ac:dyDescent="0.35">
      <c r="A874" t="s">
        <v>679</v>
      </c>
      <c r="B874" t="str">
        <f t="shared" si="24"/>
        <v>36-45</v>
      </c>
      <c r="C874">
        <v>36</v>
      </c>
      <c r="D874" t="s">
        <v>26</v>
      </c>
      <c r="E874" t="s">
        <v>51</v>
      </c>
      <c r="F874" t="s">
        <v>37</v>
      </c>
      <c r="G874" s="1">
        <v>44801</v>
      </c>
      <c r="H874" t="s">
        <v>680</v>
      </c>
      <c r="I874" t="s">
        <v>681</v>
      </c>
      <c r="J874" t="s">
        <v>63</v>
      </c>
      <c r="K874">
        <v>12580.8884281339</v>
      </c>
      <c r="L874">
        <v>443</v>
      </c>
      <c r="M874" t="s">
        <v>22</v>
      </c>
      <c r="N874" s="1">
        <v>44824</v>
      </c>
      <c r="O874" t="s">
        <v>23</v>
      </c>
      <c r="P874" t="s">
        <v>34</v>
      </c>
      <c r="Q874">
        <v>23</v>
      </c>
    </row>
    <row r="875" spans="1:17" x14ac:dyDescent="0.35">
      <c r="A875" t="s">
        <v>1612</v>
      </c>
      <c r="B875" t="str">
        <f t="shared" si="24"/>
        <v>66-75</v>
      </c>
      <c r="C875">
        <v>69</v>
      </c>
      <c r="D875" t="s">
        <v>16</v>
      </c>
      <c r="E875" t="s">
        <v>117</v>
      </c>
      <c r="F875" t="s">
        <v>37</v>
      </c>
      <c r="G875" s="1">
        <v>44355</v>
      </c>
      <c r="H875" t="s">
        <v>1613</v>
      </c>
      <c r="I875" t="s">
        <v>1614</v>
      </c>
      <c r="J875" t="s">
        <v>31</v>
      </c>
      <c r="K875">
        <v>41867.422765996504</v>
      </c>
      <c r="L875">
        <v>292</v>
      </c>
      <c r="M875" t="s">
        <v>22</v>
      </c>
      <c r="N875" s="1">
        <v>44360</v>
      </c>
      <c r="O875" t="s">
        <v>23</v>
      </c>
      <c r="P875" t="s">
        <v>34</v>
      </c>
      <c r="Q875">
        <v>5</v>
      </c>
    </row>
    <row r="876" spans="1:17" x14ac:dyDescent="0.35">
      <c r="A876" t="s">
        <v>342</v>
      </c>
      <c r="B876" t="str">
        <f t="shared" si="24"/>
        <v>76-85</v>
      </c>
      <c r="C876">
        <v>81</v>
      </c>
      <c r="D876" t="s">
        <v>26</v>
      </c>
      <c r="E876" t="s">
        <v>232</v>
      </c>
      <c r="F876" t="s">
        <v>37</v>
      </c>
      <c r="G876" s="1">
        <v>45039</v>
      </c>
      <c r="H876" t="s">
        <v>343</v>
      </c>
      <c r="I876" t="s">
        <v>344</v>
      </c>
      <c r="J876" t="s">
        <v>31</v>
      </c>
      <c r="K876">
        <v>38450.627462873097</v>
      </c>
      <c r="L876">
        <v>329</v>
      </c>
      <c r="M876" t="s">
        <v>43</v>
      </c>
      <c r="N876" s="1">
        <v>45047</v>
      </c>
      <c r="O876" t="s">
        <v>44</v>
      </c>
      <c r="P876" t="s">
        <v>34</v>
      </c>
      <c r="Q876">
        <v>8</v>
      </c>
    </row>
    <row r="877" spans="1:17" x14ac:dyDescent="0.35">
      <c r="A877" t="s">
        <v>2314</v>
      </c>
      <c r="B877" t="str">
        <f t="shared" si="24"/>
        <v>76-85</v>
      </c>
      <c r="C877">
        <v>82</v>
      </c>
      <c r="D877" t="s">
        <v>16</v>
      </c>
      <c r="E877" t="s">
        <v>27</v>
      </c>
      <c r="F877" t="s">
        <v>37</v>
      </c>
      <c r="G877" s="1">
        <v>44543</v>
      </c>
      <c r="H877" t="s">
        <v>2315</v>
      </c>
      <c r="I877" t="s">
        <v>2316</v>
      </c>
      <c r="J877" t="s">
        <v>21</v>
      </c>
      <c r="K877">
        <v>24954.731136095699</v>
      </c>
      <c r="L877">
        <v>343</v>
      </c>
      <c r="M877" t="s">
        <v>43</v>
      </c>
      <c r="N877" s="1">
        <v>44569</v>
      </c>
      <c r="O877" t="s">
        <v>50</v>
      </c>
      <c r="P877" t="s">
        <v>34</v>
      </c>
      <c r="Q877">
        <v>26</v>
      </c>
    </row>
    <row r="878" spans="1:17" x14ac:dyDescent="0.35">
      <c r="A878" t="s">
        <v>1044</v>
      </c>
      <c r="B878" t="str">
        <f t="shared" si="24"/>
        <v>46-55</v>
      </c>
      <c r="C878">
        <v>51</v>
      </c>
      <c r="D878" t="s">
        <v>26</v>
      </c>
      <c r="E878" t="s">
        <v>36</v>
      </c>
      <c r="F878" t="s">
        <v>37</v>
      </c>
      <c r="G878" s="1">
        <v>44089</v>
      </c>
      <c r="H878" t="s">
        <v>1045</v>
      </c>
      <c r="I878" t="s">
        <v>1046</v>
      </c>
      <c r="J878" t="s">
        <v>63</v>
      </c>
      <c r="K878">
        <v>45825.978895391199</v>
      </c>
      <c r="L878">
        <v>311</v>
      </c>
      <c r="M878" t="s">
        <v>43</v>
      </c>
      <c r="N878" s="1">
        <v>44099</v>
      </c>
      <c r="O878" t="s">
        <v>50</v>
      </c>
      <c r="P878" t="s">
        <v>34</v>
      </c>
      <c r="Q878">
        <v>10</v>
      </c>
    </row>
    <row r="879" spans="1:17" x14ac:dyDescent="0.35">
      <c r="A879" t="s">
        <v>935</v>
      </c>
      <c r="B879" t="str">
        <f t="shared" si="24"/>
        <v>26-35</v>
      </c>
      <c r="C879">
        <v>30</v>
      </c>
      <c r="D879" t="s">
        <v>26</v>
      </c>
      <c r="E879" t="s">
        <v>36</v>
      </c>
      <c r="F879" t="s">
        <v>37</v>
      </c>
      <c r="G879" s="1">
        <v>43896</v>
      </c>
      <c r="H879" t="s">
        <v>936</v>
      </c>
      <c r="I879" t="s">
        <v>937</v>
      </c>
      <c r="J879" t="s">
        <v>63</v>
      </c>
      <c r="K879">
        <v>16592.012152966501</v>
      </c>
      <c r="L879">
        <v>223</v>
      </c>
      <c r="M879" t="s">
        <v>32</v>
      </c>
      <c r="N879" s="1">
        <v>43912</v>
      </c>
      <c r="O879" t="s">
        <v>44</v>
      </c>
      <c r="P879" t="s">
        <v>45</v>
      </c>
      <c r="Q879">
        <v>16</v>
      </c>
    </row>
    <row r="880" spans="1:17" x14ac:dyDescent="0.35">
      <c r="A880" t="s">
        <v>1256</v>
      </c>
      <c r="B880" t="str">
        <f t="shared" si="24"/>
        <v>46-55</v>
      </c>
      <c r="C880">
        <v>53</v>
      </c>
      <c r="D880" t="s">
        <v>16</v>
      </c>
      <c r="E880" t="s">
        <v>36</v>
      </c>
      <c r="F880" t="s">
        <v>37</v>
      </c>
      <c r="G880" s="1">
        <v>44625</v>
      </c>
      <c r="H880" t="s">
        <v>1257</v>
      </c>
      <c r="I880" t="s">
        <v>1258</v>
      </c>
      <c r="J880" t="s">
        <v>54</v>
      </c>
      <c r="K880">
        <v>10045.003229309999</v>
      </c>
      <c r="L880">
        <v>349</v>
      </c>
      <c r="M880" t="s">
        <v>43</v>
      </c>
      <c r="N880" s="1">
        <v>44654</v>
      </c>
      <c r="O880" t="s">
        <v>33</v>
      </c>
      <c r="P880" t="s">
        <v>34</v>
      </c>
      <c r="Q880">
        <v>29</v>
      </c>
    </row>
    <row r="881" spans="1:17" x14ac:dyDescent="0.35">
      <c r="A881" t="s">
        <v>120</v>
      </c>
      <c r="B881" t="str">
        <f t="shared" si="24"/>
        <v>26-35</v>
      </c>
      <c r="C881">
        <v>26</v>
      </c>
      <c r="D881" t="s">
        <v>16</v>
      </c>
      <c r="E881" t="s">
        <v>36</v>
      </c>
      <c r="F881" t="s">
        <v>37</v>
      </c>
      <c r="G881" s="1">
        <v>44343</v>
      </c>
      <c r="H881" t="s">
        <v>121</v>
      </c>
      <c r="I881" t="s">
        <v>122</v>
      </c>
      <c r="J881" t="s">
        <v>31</v>
      </c>
      <c r="K881">
        <v>37766.521237356799</v>
      </c>
      <c r="L881">
        <v>292</v>
      </c>
      <c r="M881" t="s">
        <v>43</v>
      </c>
      <c r="N881" s="1">
        <v>44370</v>
      </c>
      <c r="O881" t="s">
        <v>50</v>
      </c>
      <c r="P881" t="s">
        <v>45</v>
      </c>
      <c r="Q881">
        <v>27</v>
      </c>
    </row>
    <row r="882" spans="1:17" x14ac:dyDescent="0.35">
      <c r="A882" t="s">
        <v>1280</v>
      </c>
      <c r="B882" t="str">
        <f t="shared" si="24"/>
        <v>26-35</v>
      </c>
      <c r="C882">
        <v>31</v>
      </c>
      <c r="D882" t="s">
        <v>16</v>
      </c>
      <c r="E882" t="s">
        <v>92</v>
      </c>
      <c r="F882" t="s">
        <v>37</v>
      </c>
      <c r="G882" s="1">
        <v>44851</v>
      </c>
      <c r="H882" t="s">
        <v>1281</v>
      </c>
      <c r="I882" t="s">
        <v>1282</v>
      </c>
      <c r="J882" t="s">
        <v>21</v>
      </c>
      <c r="K882">
        <v>22111.4556780698</v>
      </c>
      <c r="L882">
        <v>334</v>
      </c>
      <c r="M882" t="s">
        <v>32</v>
      </c>
      <c r="N882" s="1">
        <v>44874</v>
      </c>
      <c r="O882" t="s">
        <v>33</v>
      </c>
      <c r="P882" t="s">
        <v>45</v>
      </c>
      <c r="Q882">
        <v>23</v>
      </c>
    </row>
    <row r="883" spans="1:17" x14ac:dyDescent="0.35">
      <c r="A883" t="s">
        <v>1983</v>
      </c>
      <c r="B883" t="str">
        <f t="shared" si="24"/>
        <v>66-75</v>
      </c>
      <c r="C883">
        <v>67</v>
      </c>
      <c r="D883" t="s">
        <v>26</v>
      </c>
      <c r="E883" t="s">
        <v>232</v>
      </c>
      <c r="F883" t="s">
        <v>37</v>
      </c>
      <c r="G883" s="1">
        <v>44147</v>
      </c>
      <c r="H883" t="s">
        <v>1984</v>
      </c>
      <c r="I883" t="s">
        <v>1985</v>
      </c>
      <c r="J883" t="s">
        <v>31</v>
      </c>
      <c r="K883">
        <v>18890.599993942302</v>
      </c>
      <c r="L883">
        <v>323</v>
      </c>
      <c r="M883" t="s">
        <v>32</v>
      </c>
      <c r="N883" s="1">
        <v>44176</v>
      </c>
      <c r="O883" t="s">
        <v>33</v>
      </c>
      <c r="P883" t="s">
        <v>24</v>
      </c>
      <c r="Q883">
        <v>29</v>
      </c>
    </row>
    <row r="884" spans="1:17" x14ac:dyDescent="0.35">
      <c r="A884" t="s">
        <v>1707</v>
      </c>
      <c r="B884" t="str">
        <f t="shared" si="24"/>
        <v>56-65</v>
      </c>
      <c r="C884">
        <v>56</v>
      </c>
      <c r="D884" t="s">
        <v>26</v>
      </c>
      <c r="E884" t="s">
        <v>117</v>
      </c>
      <c r="F884" t="s">
        <v>37</v>
      </c>
      <c r="G884" s="1">
        <v>44966</v>
      </c>
      <c r="H884" t="s">
        <v>1708</v>
      </c>
      <c r="I884" t="s">
        <v>1709</v>
      </c>
      <c r="J884" t="s">
        <v>31</v>
      </c>
      <c r="K884">
        <v>11124.064664015599</v>
      </c>
      <c r="L884">
        <v>114</v>
      </c>
      <c r="M884" t="s">
        <v>43</v>
      </c>
      <c r="N884" s="1">
        <v>44979</v>
      </c>
      <c r="O884" t="s">
        <v>23</v>
      </c>
      <c r="P884" t="s">
        <v>24</v>
      </c>
      <c r="Q884">
        <v>13</v>
      </c>
    </row>
    <row r="885" spans="1:17" x14ac:dyDescent="0.35">
      <c r="A885" t="s">
        <v>2479</v>
      </c>
      <c r="B885" t="str">
        <f t="shared" si="24"/>
        <v>56-65</v>
      </c>
      <c r="C885">
        <v>59</v>
      </c>
      <c r="D885" t="s">
        <v>26</v>
      </c>
      <c r="E885" t="s">
        <v>65</v>
      </c>
      <c r="F885" t="s">
        <v>37</v>
      </c>
      <c r="G885" s="1">
        <v>45132</v>
      </c>
      <c r="H885" t="s">
        <v>2480</v>
      </c>
      <c r="I885" t="s">
        <v>2481</v>
      </c>
      <c r="J885" t="s">
        <v>63</v>
      </c>
      <c r="K885">
        <v>33854.296896301603</v>
      </c>
      <c r="L885">
        <v>461</v>
      </c>
      <c r="M885" t="s">
        <v>22</v>
      </c>
      <c r="N885" s="1">
        <v>45157</v>
      </c>
      <c r="O885" t="s">
        <v>44</v>
      </c>
      <c r="P885" t="s">
        <v>45</v>
      </c>
      <c r="Q885">
        <v>25</v>
      </c>
    </row>
    <row r="886" spans="1:17" x14ac:dyDescent="0.35">
      <c r="A886" t="s">
        <v>98</v>
      </c>
      <c r="B886" t="str">
        <f t="shared" si="24"/>
        <v>66-75</v>
      </c>
      <c r="C886">
        <v>66</v>
      </c>
      <c r="D886" t="s">
        <v>26</v>
      </c>
      <c r="E886" t="s">
        <v>27</v>
      </c>
      <c r="F886" t="s">
        <v>37</v>
      </c>
      <c r="G886" s="1">
        <v>44731</v>
      </c>
      <c r="H886" t="s">
        <v>99</v>
      </c>
      <c r="I886" t="s">
        <v>100</v>
      </c>
      <c r="J886" t="s">
        <v>31</v>
      </c>
      <c r="K886">
        <v>4262.9115781696401</v>
      </c>
      <c r="L886">
        <v>125</v>
      </c>
      <c r="M886" t="s">
        <v>22</v>
      </c>
      <c r="N886" s="1">
        <v>44741</v>
      </c>
      <c r="O886" t="s">
        <v>23</v>
      </c>
      <c r="P886" t="s">
        <v>24</v>
      </c>
      <c r="Q886">
        <v>10</v>
      </c>
    </row>
    <row r="887" spans="1:17" x14ac:dyDescent="0.35">
      <c r="A887" t="s">
        <v>943</v>
      </c>
      <c r="B887" t="str">
        <f t="shared" si="24"/>
        <v>56-65</v>
      </c>
      <c r="C887">
        <v>58</v>
      </c>
      <c r="D887" t="s">
        <v>16</v>
      </c>
      <c r="E887" t="s">
        <v>232</v>
      </c>
      <c r="F887" t="s">
        <v>37</v>
      </c>
      <c r="G887" s="1">
        <v>44458</v>
      </c>
      <c r="H887" t="s">
        <v>944</v>
      </c>
      <c r="I887" t="s">
        <v>945</v>
      </c>
      <c r="J887" t="s">
        <v>21</v>
      </c>
      <c r="K887">
        <v>32142.997573577399</v>
      </c>
      <c r="L887">
        <v>420</v>
      </c>
      <c r="M887" t="s">
        <v>22</v>
      </c>
      <c r="N887" s="1">
        <v>44467</v>
      </c>
      <c r="O887" t="s">
        <v>44</v>
      </c>
      <c r="P887" t="s">
        <v>34</v>
      </c>
      <c r="Q887">
        <v>9</v>
      </c>
    </row>
    <row r="888" spans="1:17" x14ac:dyDescent="0.35">
      <c r="A888" t="s">
        <v>1310</v>
      </c>
      <c r="B888" t="str">
        <f t="shared" si="24"/>
        <v>76-85</v>
      </c>
      <c r="C888">
        <v>84</v>
      </c>
      <c r="D888" t="s">
        <v>16</v>
      </c>
      <c r="E888" t="s">
        <v>51</v>
      </c>
      <c r="F888" t="s">
        <v>37</v>
      </c>
      <c r="G888" s="1">
        <v>44626</v>
      </c>
      <c r="H888" t="s">
        <v>1311</v>
      </c>
      <c r="I888" t="s">
        <v>1312</v>
      </c>
      <c r="J888" t="s">
        <v>21</v>
      </c>
      <c r="K888">
        <v>45565.749805829299</v>
      </c>
      <c r="L888">
        <v>340</v>
      </c>
      <c r="M888" t="s">
        <v>22</v>
      </c>
      <c r="N888" s="1">
        <v>44649</v>
      </c>
      <c r="O888" t="s">
        <v>44</v>
      </c>
      <c r="P888" t="s">
        <v>24</v>
      </c>
      <c r="Q888">
        <v>23</v>
      </c>
    </row>
    <row r="889" spans="1:17" x14ac:dyDescent="0.35">
      <c r="A889" t="s">
        <v>1217</v>
      </c>
      <c r="B889" t="str">
        <f t="shared" si="24"/>
        <v>66-75</v>
      </c>
      <c r="C889">
        <v>73</v>
      </c>
      <c r="D889" t="s">
        <v>16</v>
      </c>
      <c r="E889" t="s">
        <v>65</v>
      </c>
      <c r="F889" t="s">
        <v>37</v>
      </c>
      <c r="G889" s="1">
        <v>44865</v>
      </c>
      <c r="H889" t="s">
        <v>1218</v>
      </c>
      <c r="I889" t="s">
        <v>1219</v>
      </c>
      <c r="J889" t="s">
        <v>54</v>
      </c>
      <c r="K889">
        <v>17185.194410454202</v>
      </c>
      <c r="L889">
        <v>369</v>
      </c>
      <c r="M889" t="s">
        <v>32</v>
      </c>
      <c r="N889" s="1">
        <v>44891</v>
      </c>
      <c r="O889" t="s">
        <v>33</v>
      </c>
      <c r="P889" t="s">
        <v>34</v>
      </c>
      <c r="Q889">
        <v>26</v>
      </c>
    </row>
    <row r="890" spans="1:17" x14ac:dyDescent="0.35">
      <c r="A890" t="s">
        <v>2275</v>
      </c>
      <c r="B890" t="str">
        <f t="shared" si="24"/>
        <v>56-65</v>
      </c>
      <c r="C890">
        <v>59</v>
      </c>
      <c r="D890" t="s">
        <v>26</v>
      </c>
      <c r="E890" t="s">
        <v>92</v>
      </c>
      <c r="F890" t="s">
        <v>37</v>
      </c>
      <c r="G890" s="1">
        <v>44788</v>
      </c>
      <c r="H890" t="s">
        <v>2276</v>
      </c>
      <c r="I890" t="s">
        <v>2277</v>
      </c>
      <c r="J890" t="s">
        <v>31</v>
      </c>
      <c r="K890">
        <v>41120.098996037297</v>
      </c>
      <c r="L890">
        <v>208</v>
      </c>
      <c r="M890" t="s">
        <v>32</v>
      </c>
      <c r="N890" s="1">
        <v>44803</v>
      </c>
      <c r="O890" t="s">
        <v>33</v>
      </c>
      <c r="P890" t="s">
        <v>24</v>
      </c>
      <c r="Q890">
        <v>15</v>
      </c>
    </row>
    <row r="891" spans="1:17" x14ac:dyDescent="0.35">
      <c r="A891" t="s">
        <v>2211</v>
      </c>
      <c r="B891" t="str">
        <f t="shared" si="24"/>
        <v>76-85</v>
      </c>
      <c r="C891">
        <v>78</v>
      </c>
      <c r="D891" t="s">
        <v>26</v>
      </c>
      <c r="E891" t="s">
        <v>17</v>
      </c>
      <c r="F891" t="s">
        <v>37</v>
      </c>
      <c r="G891" s="1">
        <v>44450</v>
      </c>
      <c r="H891" t="s">
        <v>2212</v>
      </c>
      <c r="I891" t="s">
        <v>2213</v>
      </c>
      <c r="J891" t="s">
        <v>31</v>
      </c>
      <c r="K891">
        <v>33209.185515422898</v>
      </c>
      <c r="L891">
        <v>331</v>
      </c>
      <c r="M891" t="s">
        <v>22</v>
      </c>
      <c r="N891" s="1">
        <v>44472</v>
      </c>
      <c r="O891" t="s">
        <v>33</v>
      </c>
      <c r="P891" t="s">
        <v>45</v>
      </c>
      <c r="Q891">
        <v>22</v>
      </c>
    </row>
    <row r="892" spans="1:17" x14ac:dyDescent="0.35">
      <c r="A892" t="s">
        <v>231</v>
      </c>
      <c r="B892" t="str">
        <f t="shared" si="24"/>
        <v>36-45</v>
      </c>
      <c r="C892">
        <v>42</v>
      </c>
      <c r="D892" t="s">
        <v>16</v>
      </c>
      <c r="E892" t="s">
        <v>232</v>
      </c>
      <c r="F892" t="s">
        <v>37</v>
      </c>
      <c r="G892" s="1">
        <v>44234</v>
      </c>
      <c r="H892" t="s">
        <v>233</v>
      </c>
      <c r="I892" t="s">
        <v>234</v>
      </c>
      <c r="J892" t="s">
        <v>21</v>
      </c>
      <c r="K892">
        <v>9991.0744455412496</v>
      </c>
      <c r="L892">
        <v>199</v>
      </c>
      <c r="M892" t="s">
        <v>32</v>
      </c>
      <c r="N892" s="1">
        <v>44261</v>
      </c>
      <c r="O892" t="s">
        <v>23</v>
      </c>
      <c r="P892" t="s">
        <v>34</v>
      </c>
      <c r="Q892">
        <v>27</v>
      </c>
    </row>
    <row r="893" spans="1:17" x14ac:dyDescent="0.35">
      <c r="A893" t="s">
        <v>201</v>
      </c>
      <c r="B893" t="str">
        <f t="shared" si="24"/>
        <v>66-75</v>
      </c>
      <c r="C893">
        <v>70</v>
      </c>
      <c r="D893" t="s">
        <v>26</v>
      </c>
      <c r="E893" t="s">
        <v>65</v>
      </c>
      <c r="F893" t="s">
        <v>37</v>
      </c>
      <c r="G893" s="1">
        <v>45163</v>
      </c>
      <c r="H893" t="s">
        <v>202</v>
      </c>
      <c r="I893" t="s">
        <v>203</v>
      </c>
      <c r="J893" t="s">
        <v>63</v>
      </c>
      <c r="K893">
        <v>8005.8283370563404</v>
      </c>
      <c r="L893">
        <v>271</v>
      </c>
      <c r="M893" t="s">
        <v>43</v>
      </c>
      <c r="N893" s="1">
        <v>45181</v>
      </c>
      <c r="O893" t="s">
        <v>87</v>
      </c>
      <c r="P893" t="s">
        <v>24</v>
      </c>
      <c r="Q893">
        <v>18</v>
      </c>
    </row>
    <row r="894" spans="1:17" x14ac:dyDescent="0.35">
      <c r="A894" t="s">
        <v>210</v>
      </c>
      <c r="B894" t="str">
        <f t="shared" si="24"/>
        <v>56-65</v>
      </c>
      <c r="C894">
        <v>61</v>
      </c>
      <c r="D894" t="s">
        <v>16</v>
      </c>
      <c r="E894" t="s">
        <v>51</v>
      </c>
      <c r="F894" t="s">
        <v>37</v>
      </c>
      <c r="G894" s="1">
        <v>43773</v>
      </c>
      <c r="H894" t="s">
        <v>211</v>
      </c>
      <c r="I894" t="s">
        <v>212</v>
      </c>
      <c r="J894" t="s">
        <v>63</v>
      </c>
      <c r="K894">
        <v>1888.0021112903401</v>
      </c>
      <c r="L894">
        <v>317</v>
      </c>
      <c r="M894" t="s">
        <v>32</v>
      </c>
      <c r="N894" s="1">
        <v>43788</v>
      </c>
      <c r="O894" t="s">
        <v>44</v>
      </c>
      <c r="P894" t="s">
        <v>24</v>
      </c>
      <c r="Q894">
        <v>15</v>
      </c>
    </row>
    <row r="895" spans="1:17" x14ac:dyDescent="0.35">
      <c r="A895" t="s">
        <v>2919</v>
      </c>
      <c r="B895" t="str">
        <f t="shared" si="24"/>
        <v>36-45</v>
      </c>
      <c r="C895">
        <v>39</v>
      </c>
      <c r="D895" t="s">
        <v>16</v>
      </c>
      <c r="E895" t="s">
        <v>65</v>
      </c>
      <c r="F895" t="s">
        <v>37</v>
      </c>
      <c r="G895" s="1">
        <v>44024</v>
      </c>
      <c r="H895" t="s">
        <v>2920</v>
      </c>
      <c r="I895" t="s">
        <v>2921</v>
      </c>
      <c r="J895" t="s">
        <v>63</v>
      </c>
      <c r="K895">
        <v>26153.3892231717</v>
      </c>
      <c r="L895">
        <v>199</v>
      </c>
      <c r="M895" t="s">
        <v>22</v>
      </c>
      <c r="N895" s="1">
        <v>44038</v>
      </c>
      <c r="O895" t="s">
        <v>33</v>
      </c>
      <c r="P895" t="s">
        <v>34</v>
      </c>
      <c r="Q895">
        <v>14</v>
      </c>
    </row>
    <row r="896" spans="1:17" x14ac:dyDescent="0.35">
      <c r="A896" t="s">
        <v>688</v>
      </c>
      <c r="B896" t="str">
        <f t="shared" si="24"/>
        <v>46-55</v>
      </c>
      <c r="C896">
        <v>54</v>
      </c>
      <c r="D896" t="s">
        <v>16</v>
      </c>
      <c r="E896" t="s">
        <v>117</v>
      </c>
      <c r="F896" t="s">
        <v>37</v>
      </c>
      <c r="G896" s="1">
        <v>44322</v>
      </c>
      <c r="H896" t="s">
        <v>689</v>
      </c>
      <c r="I896" t="s">
        <v>690</v>
      </c>
      <c r="J896" t="s">
        <v>63</v>
      </c>
      <c r="K896">
        <v>35774.256988922898</v>
      </c>
      <c r="L896">
        <v>164</v>
      </c>
      <c r="M896" t="s">
        <v>32</v>
      </c>
      <c r="N896" s="1">
        <v>44346</v>
      </c>
      <c r="O896" t="s">
        <v>23</v>
      </c>
      <c r="P896" t="s">
        <v>24</v>
      </c>
      <c r="Q896">
        <v>24</v>
      </c>
    </row>
    <row r="897" spans="1:17" x14ac:dyDescent="0.35">
      <c r="A897" t="s">
        <v>2827</v>
      </c>
      <c r="B897" t="str">
        <f t="shared" si="24"/>
        <v>18-25</v>
      </c>
      <c r="C897">
        <v>20</v>
      </c>
      <c r="D897" t="s">
        <v>26</v>
      </c>
      <c r="E897" t="s">
        <v>232</v>
      </c>
      <c r="F897" t="s">
        <v>37</v>
      </c>
      <c r="G897" s="1">
        <v>44680</v>
      </c>
      <c r="H897" t="s">
        <v>2828</v>
      </c>
      <c r="I897" t="s">
        <v>2829</v>
      </c>
      <c r="J897" t="s">
        <v>21</v>
      </c>
      <c r="K897">
        <v>9964.0629533703304</v>
      </c>
      <c r="L897">
        <v>375</v>
      </c>
      <c r="M897" t="s">
        <v>32</v>
      </c>
      <c r="N897" s="1">
        <v>44681</v>
      </c>
      <c r="O897" t="s">
        <v>33</v>
      </c>
      <c r="P897" t="s">
        <v>34</v>
      </c>
      <c r="Q897">
        <v>1</v>
      </c>
    </row>
    <row r="898" spans="1:17" x14ac:dyDescent="0.35">
      <c r="A898" t="s">
        <v>110</v>
      </c>
      <c r="B898" t="str">
        <f t="shared" si="24"/>
        <v>46-55</v>
      </c>
      <c r="C898">
        <v>51</v>
      </c>
      <c r="D898" t="s">
        <v>26</v>
      </c>
      <c r="E898" t="s">
        <v>36</v>
      </c>
      <c r="F898" t="s">
        <v>37</v>
      </c>
      <c r="G898" s="1">
        <v>44843</v>
      </c>
      <c r="H898" t="s">
        <v>111</v>
      </c>
      <c r="I898" t="s">
        <v>112</v>
      </c>
      <c r="J898" t="s">
        <v>21</v>
      </c>
      <c r="K898">
        <v>16701.347131962099</v>
      </c>
      <c r="L898">
        <v>130</v>
      </c>
      <c r="M898" t="s">
        <v>32</v>
      </c>
      <c r="N898" s="1">
        <v>44866</v>
      </c>
      <c r="O898" t="s">
        <v>33</v>
      </c>
      <c r="P898" t="s">
        <v>45</v>
      </c>
      <c r="Q898">
        <v>23</v>
      </c>
    </row>
    <row r="899" spans="1:17" x14ac:dyDescent="0.35">
      <c r="A899" t="s">
        <v>1247</v>
      </c>
      <c r="B899" t="str">
        <f t="shared" si="24"/>
        <v>76-85</v>
      </c>
      <c r="C899">
        <v>81</v>
      </c>
      <c r="D899" t="s">
        <v>26</v>
      </c>
      <c r="E899" t="s">
        <v>27</v>
      </c>
      <c r="F899" t="s">
        <v>37</v>
      </c>
      <c r="G899" s="1">
        <v>43859</v>
      </c>
      <c r="H899" t="s">
        <v>1248</v>
      </c>
      <c r="I899" t="s">
        <v>1249</v>
      </c>
      <c r="J899" t="s">
        <v>21</v>
      </c>
      <c r="K899">
        <v>11300.5272735659</v>
      </c>
      <c r="L899">
        <v>497</v>
      </c>
      <c r="M899" t="s">
        <v>43</v>
      </c>
      <c r="N899" s="1">
        <v>43876</v>
      </c>
      <c r="O899" t="s">
        <v>33</v>
      </c>
      <c r="P899" t="s">
        <v>45</v>
      </c>
      <c r="Q899">
        <v>17</v>
      </c>
    </row>
    <row r="900" spans="1:17" x14ac:dyDescent="0.35">
      <c r="A900" t="s">
        <v>2607</v>
      </c>
      <c r="B900" t="str">
        <f t="shared" si="24"/>
        <v>26-35</v>
      </c>
      <c r="C900">
        <v>32</v>
      </c>
      <c r="D900" t="s">
        <v>26</v>
      </c>
      <c r="E900" t="s">
        <v>27</v>
      </c>
      <c r="F900" t="s">
        <v>37</v>
      </c>
      <c r="G900" s="1">
        <v>45099</v>
      </c>
      <c r="H900" t="s">
        <v>2608</v>
      </c>
      <c r="I900" t="s">
        <v>2609</v>
      </c>
      <c r="J900" t="s">
        <v>21</v>
      </c>
      <c r="K900">
        <v>37221.718937929698</v>
      </c>
      <c r="L900">
        <v>382</v>
      </c>
      <c r="M900" t="s">
        <v>43</v>
      </c>
      <c r="N900" s="1">
        <v>45122</v>
      </c>
      <c r="O900" t="s">
        <v>44</v>
      </c>
      <c r="P900" t="s">
        <v>24</v>
      </c>
      <c r="Q900">
        <v>23</v>
      </c>
    </row>
    <row r="901" spans="1:17" x14ac:dyDescent="0.35">
      <c r="A901" t="s">
        <v>581</v>
      </c>
      <c r="B901" t="str">
        <f t="shared" si="24"/>
        <v>76-85</v>
      </c>
      <c r="C901">
        <v>76</v>
      </c>
      <c r="D901" t="s">
        <v>26</v>
      </c>
      <c r="E901" t="s">
        <v>117</v>
      </c>
      <c r="F901" t="s">
        <v>37</v>
      </c>
      <c r="G901" s="1">
        <v>45048</v>
      </c>
      <c r="H901" t="s">
        <v>582</v>
      </c>
      <c r="I901" t="s">
        <v>583</v>
      </c>
      <c r="J901" t="s">
        <v>31</v>
      </c>
      <c r="K901">
        <v>21901.8266441587</v>
      </c>
      <c r="L901">
        <v>103</v>
      </c>
      <c r="M901" t="s">
        <v>43</v>
      </c>
      <c r="N901" s="1">
        <v>45073</v>
      </c>
      <c r="O901" t="s">
        <v>33</v>
      </c>
      <c r="P901" t="s">
        <v>24</v>
      </c>
      <c r="Q901">
        <v>25</v>
      </c>
    </row>
    <row r="902" spans="1:17" x14ac:dyDescent="0.35">
      <c r="A902" t="s">
        <v>2387</v>
      </c>
      <c r="B902" t="str">
        <f t="shared" si="24"/>
        <v>46-55</v>
      </c>
      <c r="C902">
        <v>46</v>
      </c>
      <c r="D902" t="s">
        <v>16</v>
      </c>
      <c r="E902" t="s">
        <v>36</v>
      </c>
      <c r="F902" t="s">
        <v>37</v>
      </c>
      <c r="G902" s="1">
        <v>45143</v>
      </c>
      <c r="H902" t="s">
        <v>1524</v>
      </c>
      <c r="I902" t="s">
        <v>2388</v>
      </c>
      <c r="J902" t="s">
        <v>31</v>
      </c>
      <c r="K902">
        <v>22420.439275320401</v>
      </c>
      <c r="L902">
        <v>200</v>
      </c>
      <c r="M902" t="s">
        <v>43</v>
      </c>
      <c r="N902" s="1">
        <v>45156</v>
      </c>
      <c r="O902" t="s">
        <v>87</v>
      </c>
      <c r="P902" t="s">
        <v>24</v>
      </c>
      <c r="Q902">
        <v>13</v>
      </c>
    </row>
    <row r="903" spans="1:17" x14ac:dyDescent="0.35">
      <c r="A903" t="s">
        <v>2985</v>
      </c>
      <c r="B903" t="str">
        <f t="shared" si="24"/>
        <v>56-65</v>
      </c>
      <c r="C903">
        <v>65</v>
      </c>
      <c r="D903" t="s">
        <v>26</v>
      </c>
      <c r="E903" t="s">
        <v>36</v>
      </c>
      <c r="F903" t="s">
        <v>37</v>
      </c>
      <c r="G903" s="1">
        <v>44208</v>
      </c>
      <c r="H903" t="s">
        <v>2986</v>
      </c>
      <c r="I903" t="s">
        <v>2987</v>
      </c>
      <c r="J903" t="s">
        <v>21</v>
      </c>
      <c r="K903">
        <v>47792.230687314601</v>
      </c>
      <c r="L903">
        <v>338</v>
      </c>
      <c r="M903" t="s">
        <v>43</v>
      </c>
      <c r="N903" s="1">
        <v>44229</v>
      </c>
      <c r="O903" t="s">
        <v>23</v>
      </c>
      <c r="P903" t="s">
        <v>45</v>
      </c>
      <c r="Q903">
        <v>21</v>
      </c>
    </row>
    <row r="904" spans="1:17" x14ac:dyDescent="0.35">
      <c r="A904" t="s">
        <v>357</v>
      </c>
      <c r="B904" t="str">
        <f t="shared" si="24"/>
        <v>66-75</v>
      </c>
      <c r="C904">
        <v>69</v>
      </c>
      <c r="D904" t="s">
        <v>16</v>
      </c>
      <c r="E904" t="s">
        <v>27</v>
      </c>
      <c r="F904" t="s">
        <v>37</v>
      </c>
      <c r="G904" s="1">
        <v>43702</v>
      </c>
      <c r="H904" t="s">
        <v>358</v>
      </c>
      <c r="I904" t="s">
        <v>359</v>
      </c>
      <c r="J904" t="s">
        <v>21</v>
      </c>
      <c r="K904">
        <v>24116.5997256066</v>
      </c>
      <c r="L904">
        <v>217</v>
      </c>
      <c r="M904" t="s">
        <v>43</v>
      </c>
      <c r="N904" s="1">
        <v>43731</v>
      </c>
      <c r="O904" t="s">
        <v>23</v>
      </c>
      <c r="P904" t="s">
        <v>24</v>
      </c>
      <c r="Q904">
        <v>29</v>
      </c>
    </row>
    <row r="905" spans="1:17" x14ac:dyDescent="0.35">
      <c r="A905" t="s">
        <v>1651</v>
      </c>
      <c r="B905" t="str">
        <f t="shared" si="24"/>
        <v>66-75</v>
      </c>
      <c r="C905">
        <v>75</v>
      </c>
      <c r="D905" t="s">
        <v>16</v>
      </c>
      <c r="E905" t="s">
        <v>36</v>
      </c>
      <c r="F905" t="s">
        <v>37</v>
      </c>
      <c r="G905" s="1">
        <v>44728</v>
      </c>
      <c r="H905" t="s">
        <v>1652</v>
      </c>
      <c r="I905" t="s">
        <v>1653</v>
      </c>
      <c r="J905" t="s">
        <v>63</v>
      </c>
      <c r="K905">
        <v>23127.2195571394</v>
      </c>
      <c r="L905">
        <v>489</v>
      </c>
      <c r="M905" t="s">
        <v>32</v>
      </c>
      <c r="N905" s="1">
        <v>44748</v>
      </c>
      <c r="O905" t="s">
        <v>44</v>
      </c>
      <c r="P905" t="s">
        <v>45</v>
      </c>
      <c r="Q905">
        <v>20</v>
      </c>
    </row>
    <row r="906" spans="1:17" x14ac:dyDescent="0.35">
      <c r="A906" t="s">
        <v>2824</v>
      </c>
      <c r="B906" t="str">
        <f t="shared" si="24"/>
        <v>18-25</v>
      </c>
      <c r="C906">
        <v>20</v>
      </c>
      <c r="D906" t="s">
        <v>16</v>
      </c>
      <c r="E906" t="s">
        <v>232</v>
      </c>
      <c r="F906" t="s">
        <v>37</v>
      </c>
      <c r="G906" s="1">
        <v>44767</v>
      </c>
      <c r="H906" t="s">
        <v>2825</v>
      </c>
      <c r="I906" t="s">
        <v>2826</v>
      </c>
      <c r="J906" t="s">
        <v>54</v>
      </c>
      <c r="K906">
        <v>43965.778714354499</v>
      </c>
      <c r="L906">
        <v>470</v>
      </c>
      <c r="M906" t="s">
        <v>43</v>
      </c>
      <c r="N906" s="1">
        <v>44787</v>
      </c>
      <c r="O906" t="s">
        <v>23</v>
      </c>
      <c r="P906" t="s">
        <v>45</v>
      </c>
      <c r="Q906">
        <v>20</v>
      </c>
    </row>
    <row r="907" spans="1:17" x14ac:dyDescent="0.35">
      <c r="A907" t="s">
        <v>1677</v>
      </c>
      <c r="B907" t="str">
        <f t="shared" si="24"/>
        <v>66-75</v>
      </c>
      <c r="C907">
        <v>69</v>
      </c>
      <c r="D907" t="s">
        <v>16</v>
      </c>
      <c r="E907" t="s">
        <v>117</v>
      </c>
      <c r="F907" t="s">
        <v>37</v>
      </c>
      <c r="G907" s="1">
        <v>43836</v>
      </c>
      <c r="H907" t="s">
        <v>1678</v>
      </c>
      <c r="I907" t="s">
        <v>1679</v>
      </c>
      <c r="J907" t="s">
        <v>63</v>
      </c>
      <c r="K907">
        <v>44848.3132673047</v>
      </c>
      <c r="L907">
        <v>394</v>
      </c>
      <c r="M907" t="s">
        <v>32</v>
      </c>
      <c r="N907" s="1">
        <v>43842</v>
      </c>
      <c r="O907" t="s">
        <v>23</v>
      </c>
      <c r="P907" t="s">
        <v>34</v>
      </c>
      <c r="Q907">
        <v>6</v>
      </c>
    </row>
    <row r="908" spans="1:17" x14ac:dyDescent="0.35">
      <c r="A908" t="s">
        <v>1268</v>
      </c>
      <c r="B908" t="str">
        <f t="shared" si="24"/>
        <v>66-75</v>
      </c>
      <c r="C908">
        <v>70</v>
      </c>
      <c r="D908" t="s">
        <v>16</v>
      </c>
      <c r="E908" t="s">
        <v>92</v>
      </c>
      <c r="F908" t="s">
        <v>37</v>
      </c>
      <c r="G908" s="1">
        <v>43652</v>
      </c>
      <c r="H908" t="s">
        <v>1269</v>
      </c>
      <c r="I908" t="s">
        <v>1270</v>
      </c>
      <c r="J908" t="s">
        <v>63</v>
      </c>
      <c r="K908">
        <v>19425.967815040502</v>
      </c>
      <c r="L908">
        <v>257</v>
      </c>
      <c r="M908" t="s">
        <v>32</v>
      </c>
      <c r="N908" s="1">
        <v>43671</v>
      </c>
      <c r="O908" t="s">
        <v>50</v>
      </c>
      <c r="P908" t="s">
        <v>34</v>
      </c>
      <c r="Q908">
        <v>19</v>
      </c>
    </row>
    <row r="909" spans="1:17" x14ac:dyDescent="0.35">
      <c r="A909" t="s">
        <v>2092</v>
      </c>
      <c r="B909" t="str">
        <f t="shared" si="24"/>
        <v>66-75</v>
      </c>
      <c r="C909">
        <v>74</v>
      </c>
      <c r="D909" t="s">
        <v>16</v>
      </c>
      <c r="E909" t="s">
        <v>65</v>
      </c>
      <c r="F909" t="s">
        <v>37</v>
      </c>
      <c r="G909" s="1">
        <v>44064</v>
      </c>
      <c r="H909" t="s">
        <v>2093</v>
      </c>
      <c r="I909" t="s">
        <v>1425</v>
      </c>
      <c r="J909" t="s">
        <v>63</v>
      </c>
      <c r="K909">
        <v>10100.077988372899</v>
      </c>
      <c r="L909">
        <v>229</v>
      </c>
      <c r="M909" t="s">
        <v>22</v>
      </c>
      <c r="N909" s="1">
        <v>44074</v>
      </c>
      <c r="O909" t="s">
        <v>50</v>
      </c>
      <c r="P909" t="s">
        <v>34</v>
      </c>
      <c r="Q909">
        <v>10</v>
      </c>
    </row>
    <row r="910" spans="1:17" x14ac:dyDescent="0.35">
      <c r="A910" t="s">
        <v>186</v>
      </c>
      <c r="B910" t="str">
        <f t="shared" si="24"/>
        <v>36-45</v>
      </c>
      <c r="C910">
        <v>37</v>
      </c>
      <c r="D910" t="s">
        <v>26</v>
      </c>
      <c r="E910" t="s">
        <v>92</v>
      </c>
      <c r="F910" t="s">
        <v>37</v>
      </c>
      <c r="G910" s="1">
        <v>43642</v>
      </c>
      <c r="H910" t="s">
        <v>187</v>
      </c>
      <c r="I910" t="s">
        <v>188</v>
      </c>
      <c r="J910" t="s">
        <v>63</v>
      </c>
      <c r="K910">
        <v>34132.623000118001</v>
      </c>
      <c r="L910">
        <v>182</v>
      </c>
      <c r="M910" t="s">
        <v>32</v>
      </c>
      <c r="N910" s="1">
        <v>43670</v>
      </c>
      <c r="O910" t="s">
        <v>87</v>
      </c>
      <c r="P910" t="s">
        <v>34</v>
      </c>
      <c r="Q910">
        <v>28</v>
      </c>
    </row>
    <row r="911" spans="1:17" x14ac:dyDescent="0.35">
      <c r="A911" t="s">
        <v>860</v>
      </c>
      <c r="B911" t="str">
        <f t="shared" si="24"/>
        <v>46-55</v>
      </c>
      <c r="C911">
        <v>51</v>
      </c>
      <c r="D911" t="s">
        <v>16</v>
      </c>
      <c r="E911" t="s">
        <v>65</v>
      </c>
      <c r="F911" t="s">
        <v>37</v>
      </c>
      <c r="G911" s="1">
        <v>44953</v>
      </c>
      <c r="H911" t="s">
        <v>861</v>
      </c>
      <c r="I911" t="s">
        <v>862</v>
      </c>
      <c r="J911" t="s">
        <v>31</v>
      </c>
      <c r="K911">
        <v>23331.281203322698</v>
      </c>
      <c r="L911">
        <v>225</v>
      </c>
      <c r="M911" t="s">
        <v>22</v>
      </c>
      <c r="N911" s="1">
        <v>44969</v>
      </c>
      <c r="O911" t="s">
        <v>44</v>
      </c>
      <c r="P911" t="s">
        <v>45</v>
      </c>
      <c r="Q911">
        <v>16</v>
      </c>
    </row>
    <row r="912" spans="1:17" x14ac:dyDescent="0.35">
      <c r="A912" t="s">
        <v>792</v>
      </c>
      <c r="B912" t="str">
        <f t="shared" si="24"/>
        <v>36-45</v>
      </c>
      <c r="C912">
        <v>41</v>
      </c>
      <c r="D912" t="s">
        <v>16</v>
      </c>
      <c r="E912" t="s">
        <v>51</v>
      </c>
      <c r="F912" t="s">
        <v>37</v>
      </c>
      <c r="G912" s="1">
        <v>45001</v>
      </c>
      <c r="H912" t="s">
        <v>793</v>
      </c>
      <c r="I912" t="s">
        <v>794</v>
      </c>
      <c r="J912" t="s">
        <v>54</v>
      </c>
      <c r="K912">
        <v>30570.902071926801</v>
      </c>
      <c r="L912">
        <v>243</v>
      </c>
      <c r="M912" t="s">
        <v>22</v>
      </c>
      <c r="N912" s="1">
        <v>45030</v>
      </c>
      <c r="O912" t="s">
        <v>50</v>
      </c>
      <c r="P912" t="s">
        <v>34</v>
      </c>
      <c r="Q912">
        <v>29</v>
      </c>
    </row>
    <row r="913" spans="1:17" x14ac:dyDescent="0.35">
      <c r="A913" t="s">
        <v>984</v>
      </c>
      <c r="B913" t="str">
        <f t="shared" si="24"/>
        <v>66-75</v>
      </c>
      <c r="C913">
        <v>71</v>
      </c>
      <c r="D913" t="s">
        <v>26</v>
      </c>
      <c r="E913" t="s">
        <v>92</v>
      </c>
      <c r="F913" t="s">
        <v>37</v>
      </c>
      <c r="G913" s="1">
        <v>45175</v>
      </c>
      <c r="H913" t="s">
        <v>985</v>
      </c>
      <c r="I913" t="s">
        <v>986</v>
      </c>
      <c r="J913" t="s">
        <v>31</v>
      </c>
      <c r="K913">
        <v>29673.0084746334</v>
      </c>
      <c r="L913">
        <v>253</v>
      </c>
      <c r="M913" t="s">
        <v>43</v>
      </c>
      <c r="N913" s="1">
        <v>45199</v>
      </c>
      <c r="O913" t="s">
        <v>33</v>
      </c>
      <c r="P913" t="s">
        <v>45</v>
      </c>
      <c r="Q913">
        <v>24</v>
      </c>
    </row>
    <row r="914" spans="1:17" x14ac:dyDescent="0.35">
      <c r="A914" t="s">
        <v>2709</v>
      </c>
      <c r="B914" t="str">
        <f t="shared" si="24"/>
        <v>76-85</v>
      </c>
      <c r="C914">
        <v>83</v>
      </c>
      <c r="D914" t="s">
        <v>16</v>
      </c>
      <c r="E914" t="s">
        <v>92</v>
      </c>
      <c r="F914" t="s">
        <v>37</v>
      </c>
      <c r="G914" s="1">
        <v>44954</v>
      </c>
      <c r="H914" t="s">
        <v>2710</v>
      </c>
      <c r="I914" t="s">
        <v>2711</v>
      </c>
      <c r="J914" t="s">
        <v>63</v>
      </c>
      <c r="K914">
        <v>32125.1634023513</v>
      </c>
      <c r="L914">
        <v>170</v>
      </c>
      <c r="M914" t="s">
        <v>43</v>
      </c>
      <c r="N914" s="1">
        <v>44978</v>
      </c>
      <c r="O914" t="s">
        <v>87</v>
      </c>
      <c r="P914" t="s">
        <v>45</v>
      </c>
      <c r="Q914">
        <v>24</v>
      </c>
    </row>
    <row r="915" spans="1:17" x14ac:dyDescent="0.35">
      <c r="A915" t="s">
        <v>990</v>
      </c>
      <c r="B915" t="str">
        <f t="shared" si="24"/>
        <v>36-45</v>
      </c>
      <c r="C915">
        <v>38</v>
      </c>
      <c r="D915" t="s">
        <v>16</v>
      </c>
      <c r="E915" t="s">
        <v>92</v>
      </c>
      <c r="F915" t="s">
        <v>37</v>
      </c>
      <c r="G915" s="1">
        <v>44493</v>
      </c>
      <c r="H915" t="s">
        <v>991</v>
      </c>
      <c r="I915" t="s">
        <v>992</v>
      </c>
      <c r="J915" t="s">
        <v>59</v>
      </c>
      <c r="K915">
        <v>14496.083089014701</v>
      </c>
      <c r="L915">
        <v>458</v>
      </c>
      <c r="M915" t="s">
        <v>22</v>
      </c>
      <c r="N915" s="1">
        <v>44512</v>
      </c>
      <c r="O915" t="s">
        <v>87</v>
      </c>
      <c r="P915" t="s">
        <v>24</v>
      </c>
      <c r="Q915">
        <v>19</v>
      </c>
    </row>
    <row r="916" spans="1:17" x14ac:dyDescent="0.35">
      <c r="A916" t="s">
        <v>2916</v>
      </c>
      <c r="B916" t="str">
        <f t="shared" ref="B916:B979" si="25">VLOOKUP(C916,$T$3:$U$9,2,TRUE)</f>
        <v>66-75</v>
      </c>
      <c r="C916">
        <v>74</v>
      </c>
      <c r="D916" t="s">
        <v>16</v>
      </c>
      <c r="E916" t="s">
        <v>117</v>
      </c>
      <c r="F916" t="s">
        <v>37</v>
      </c>
      <c r="G916" s="1">
        <v>44296</v>
      </c>
      <c r="H916" t="s">
        <v>2917</v>
      </c>
      <c r="I916" t="s">
        <v>2918</v>
      </c>
      <c r="J916" t="s">
        <v>21</v>
      </c>
      <c r="K916">
        <v>10035.332962985</v>
      </c>
      <c r="L916">
        <v>489</v>
      </c>
      <c r="M916" t="s">
        <v>32</v>
      </c>
      <c r="N916" s="1">
        <v>44313</v>
      </c>
      <c r="O916" t="s">
        <v>23</v>
      </c>
      <c r="P916" t="s">
        <v>34</v>
      </c>
      <c r="Q916">
        <v>17</v>
      </c>
    </row>
    <row r="917" spans="1:17" x14ac:dyDescent="0.35">
      <c r="A917" t="s">
        <v>2860</v>
      </c>
      <c r="B917" t="str">
        <f t="shared" si="25"/>
        <v>66-75</v>
      </c>
      <c r="C917">
        <v>73</v>
      </c>
      <c r="D917" t="s">
        <v>16</v>
      </c>
      <c r="E917" t="s">
        <v>51</v>
      </c>
      <c r="F917" t="s">
        <v>37</v>
      </c>
      <c r="G917" s="1">
        <v>44171</v>
      </c>
      <c r="H917" t="s">
        <v>2861</v>
      </c>
      <c r="I917" t="s">
        <v>2862</v>
      </c>
      <c r="J917" t="s">
        <v>54</v>
      </c>
      <c r="K917">
        <v>42052.5248785968</v>
      </c>
      <c r="L917">
        <v>308</v>
      </c>
      <c r="M917" t="s">
        <v>22</v>
      </c>
      <c r="N917" s="1">
        <v>44201</v>
      </c>
      <c r="O917" t="s">
        <v>87</v>
      </c>
      <c r="P917" t="s">
        <v>34</v>
      </c>
      <c r="Q917">
        <v>30</v>
      </c>
    </row>
    <row r="918" spans="1:17" x14ac:dyDescent="0.35">
      <c r="A918" t="s">
        <v>2685</v>
      </c>
      <c r="B918" t="str">
        <f t="shared" si="25"/>
        <v>56-65</v>
      </c>
      <c r="C918">
        <v>59</v>
      </c>
      <c r="D918" t="s">
        <v>16</v>
      </c>
      <c r="E918" t="s">
        <v>36</v>
      </c>
      <c r="F918" t="s">
        <v>37</v>
      </c>
      <c r="G918" s="1">
        <v>44469</v>
      </c>
      <c r="H918" t="s">
        <v>2686</v>
      </c>
      <c r="I918" t="s">
        <v>2687</v>
      </c>
      <c r="J918" t="s">
        <v>21</v>
      </c>
      <c r="K918">
        <v>39148.113565753498</v>
      </c>
      <c r="L918">
        <v>417</v>
      </c>
      <c r="M918" t="s">
        <v>43</v>
      </c>
      <c r="N918" s="1">
        <v>44474</v>
      </c>
      <c r="O918" t="s">
        <v>23</v>
      </c>
      <c r="P918" t="s">
        <v>24</v>
      </c>
      <c r="Q918">
        <v>5</v>
      </c>
    </row>
    <row r="919" spans="1:17" x14ac:dyDescent="0.35">
      <c r="A919" t="s">
        <v>530</v>
      </c>
      <c r="B919" t="str">
        <f t="shared" si="25"/>
        <v>76-85</v>
      </c>
      <c r="C919">
        <v>81</v>
      </c>
      <c r="D919" t="s">
        <v>16</v>
      </c>
      <c r="E919" t="s">
        <v>117</v>
      </c>
      <c r="F919" t="s">
        <v>37</v>
      </c>
      <c r="G919" s="1">
        <v>45065</v>
      </c>
      <c r="H919" t="s">
        <v>531</v>
      </c>
      <c r="I919" t="s">
        <v>532</v>
      </c>
      <c r="J919" t="s">
        <v>54</v>
      </c>
      <c r="K919">
        <v>36745.210455298402</v>
      </c>
      <c r="L919">
        <v>451</v>
      </c>
      <c r="M919" t="s">
        <v>22</v>
      </c>
      <c r="N919" s="1">
        <v>45068</v>
      </c>
      <c r="O919" t="s">
        <v>33</v>
      </c>
      <c r="P919" t="s">
        <v>45</v>
      </c>
      <c r="Q919">
        <v>3</v>
      </c>
    </row>
    <row r="920" spans="1:17" x14ac:dyDescent="0.35">
      <c r="A920" t="s">
        <v>1167</v>
      </c>
      <c r="B920" t="str">
        <f t="shared" si="25"/>
        <v>46-55</v>
      </c>
      <c r="C920">
        <v>51</v>
      </c>
      <c r="D920" t="s">
        <v>16</v>
      </c>
      <c r="E920" t="s">
        <v>17</v>
      </c>
      <c r="F920" t="s">
        <v>37</v>
      </c>
      <c r="G920" s="1">
        <v>45171</v>
      </c>
      <c r="H920" t="s">
        <v>1168</v>
      </c>
      <c r="I920" t="s">
        <v>1169</v>
      </c>
      <c r="J920" t="s">
        <v>63</v>
      </c>
      <c r="K920">
        <v>27667.1265989272</v>
      </c>
      <c r="L920">
        <v>252</v>
      </c>
      <c r="M920" t="s">
        <v>43</v>
      </c>
      <c r="N920" s="1">
        <v>45179</v>
      </c>
      <c r="O920" t="s">
        <v>87</v>
      </c>
      <c r="P920" t="s">
        <v>45</v>
      </c>
      <c r="Q920">
        <v>8</v>
      </c>
    </row>
    <row r="921" spans="1:17" x14ac:dyDescent="0.35">
      <c r="A921" t="s">
        <v>828</v>
      </c>
      <c r="B921" t="str">
        <f t="shared" si="25"/>
        <v>56-65</v>
      </c>
      <c r="C921">
        <v>57</v>
      </c>
      <c r="D921" t="s">
        <v>16</v>
      </c>
      <c r="E921" t="s">
        <v>92</v>
      </c>
      <c r="F921" t="s">
        <v>37</v>
      </c>
      <c r="G921" s="1">
        <v>43532</v>
      </c>
      <c r="H921" t="s">
        <v>829</v>
      </c>
      <c r="I921" t="s">
        <v>830</v>
      </c>
      <c r="J921" t="s">
        <v>63</v>
      </c>
      <c r="K921">
        <v>22985.616664913199</v>
      </c>
      <c r="L921">
        <v>366</v>
      </c>
      <c r="M921" t="s">
        <v>43</v>
      </c>
      <c r="N921" s="1">
        <v>43549</v>
      </c>
      <c r="O921" t="s">
        <v>87</v>
      </c>
      <c r="P921" t="s">
        <v>24</v>
      </c>
      <c r="Q921">
        <v>17</v>
      </c>
    </row>
    <row r="922" spans="1:17" x14ac:dyDescent="0.35">
      <c r="A922" t="s">
        <v>446</v>
      </c>
      <c r="B922" t="str">
        <f t="shared" si="25"/>
        <v>26-35</v>
      </c>
      <c r="C922">
        <v>31</v>
      </c>
      <c r="D922" t="s">
        <v>16</v>
      </c>
      <c r="E922" t="s">
        <v>117</v>
      </c>
      <c r="F922" t="s">
        <v>37</v>
      </c>
      <c r="G922" s="1">
        <v>43982</v>
      </c>
      <c r="H922" t="s">
        <v>447</v>
      </c>
      <c r="I922" t="s">
        <v>448</v>
      </c>
      <c r="J922" t="s">
        <v>59</v>
      </c>
      <c r="K922">
        <v>17415.975767106698</v>
      </c>
      <c r="L922">
        <v>398</v>
      </c>
      <c r="M922" t="s">
        <v>32</v>
      </c>
      <c r="N922" s="1">
        <v>44000</v>
      </c>
      <c r="O922" t="s">
        <v>23</v>
      </c>
      <c r="P922" t="s">
        <v>34</v>
      </c>
      <c r="Q922">
        <v>18</v>
      </c>
    </row>
    <row r="923" spans="1:17" x14ac:dyDescent="0.35">
      <c r="A923" t="s">
        <v>2979</v>
      </c>
      <c r="B923" t="str">
        <f t="shared" si="25"/>
        <v>56-65</v>
      </c>
      <c r="C923">
        <v>59</v>
      </c>
      <c r="D923" t="s">
        <v>16</v>
      </c>
      <c r="E923" t="s">
        <v>117</v>
      </c>
      <c r="F923" t="s">
        <v>37</v>
      </c>
      <c r="G923" s="1">
        <v>45038</v>
      </c>
      <c r="H923" t="s">
        <v>2980</v>
      </c>
      <c r="I923" t="s">
        <v>2981</v>
      </c>
      <c r="J923" t="s">
        <v>54</v>
      </c>
      <c r="K923">
        <v>46888.661109549299</v>
      </c>
      <c r="L923">
        <v>266</v>
      </c>
      <c r="M923" t="s">
        <v>43</v>
      </c>
      <c r="N923" s="1">
        <v>45066</v>
      </c>
      <c r="O923" t="s">
        <v>44</v>
      </c>
      <c r="P923" t="s">
        <v>34</v>
      </c>
      <c r="Q923">
        <v>28</v>
      </c>
    </row>
    <row r="924" spans="1:17" x14ac:dyDescent="0.35">
      <c r="A924" t="s">
        <v>1618</v>
      </c>
      <c r="B924" t="str">
        <f t="shared" si="25"/>
        <v>56-65</v>
      </c>
      <c r="C924">
        <v>58</v>
      </c>
      <c r="D924" t="s">
        <v>16</v>
      </c>
      <c r="E924" t="s">
        <v>36</v>
      </c>
      <c r="F924" t="s">
        <v>37</v>
      </c>
      <c r="G924" s="1">
        <v>43511</v>
      </c>
      <c r="H924" t="s">
        <v>1619</v>
      </c>
      <c r="I924" t="s">
        <v>1620</v>
      </c>
      <c r="J924" t="s">
        <v>21</v>
      </c>
      <c r="K924">
        <v>15650.8913636623</v>
      </c>
      <c r="L924">
        <v>323</v>
      </c>
      <c r="M924" t="s">
        <v>32</v>
      </c>
      <c r="N924" s="1">
        <v>43537</v>
      </c>
      <c r="O924" t="s">
        <v>23</v>
      </c>
      <c r="P924" t="s">
        <v>45</v>
      </c>
      <c r="Q924">
        <v>26</v>
      </c>
    </row>
    <row r="925" spans="1:17" x14ac:dyDescent="0.35">
      <c r="A925" t="s">
        <v>1762</v>
      </c>
      <c r="B925" t="str">
        <f t="shared" si="25"/>
        <v>36-45</v>
      </c>
      <c r="C925">
        <v>41</v>
      </c>
      <c r="D925" t="s">
        <v>26</v>
      </c>
      <c r="E925" t="s">
        <v>17</v>
      </c>
      <c r="F925" t="s">
        <v>37</v>
      </c>
      <c r="G925" s="1">
        <v>43759</v>
      </c>
      <c r="H925" t="s">
        <v>1763</v>
      </c>
      <c r="I925" t="s">
        <v>1764</v>
      </c>
      <c r="J925" t="s">
        <v>31</v>
      </c>
      <c r="K925">
        <v>11455.6382783353</v>
      </c>
      <c r="L925">
        <v>299</v>
      </c>
      <c r="M925" t="s">
        <v>22</v>
      </c>
      <c r="N925" s="1">
        <v>43776</v>
      </c>
      <c r="O925" t="s">
        <v>44</v>
      </c>
      <c r="P925" t="s">
        <v>45</v>
      </c>
      <c r="Q925">
        <v>17</v>
      </c>
    </row>
    <row r="926" spans="1:17" x14ac:dyDescent="0.35">
      <c r="A926" t="s">
        <v>1032</v>
      </c>
      <c r="B926" t="str">
        <f t="shared" si="25"/>
        <v>66-75</v>
      </c>
      <c r="C926">
        <v>68</v>
      </c>
      <c r="D926" t="s">
        <v>16</v>
      </c>
      <c r="E926" t="s">
        <v>17</v>
      </c>
      <c r="F926" t="s">
        <v>37</v>
      </c>
      <c r="G926" s="1">
        <v>43905</v>
      </c>
      <c r="H926" t="s">
        <v>1033</v>
      </c>
      <c r="I926" t="s">
        <v>1034</v>
      </c>
      <c r="J926" t="s">
        <v>63</v>
      </c>
      <c r="K926">
        <v>22268.034662054801</v>
      </c>
      <c r="L926">
        <v>315</v>
      </c>
      <c r="M926" t="s">
        <v>43</v>
      </c>
      <c r="N926" s="1">
        <v>43925</v>
      </c>
      <c r="O926" t="s">
        <v>44</v>
      </c>
      <c r="P926" t="s">
        <v>24</v>
      </c>
      <c r="Q926">
        <v>20</v>
      </c>
    </row>
    <row r="927" spans="1:17" x14ac:dyDescent="0.35">
      <c r="A927" t="s">
        <v>1447</v>
      </c>
      <c r="B927" t="str">
        <f t="shared" si="25"/>
        <v>76-85</v>
      </c>
      <c r="C927">
        <v>79</v>
      </c>
      <c r="D927" t="s">
        <v>16</v>
      </c>
      <c r="E927" t="s">
        <v>92</v>
      </c>
      <c r="F927" t="s">
        <v>37</v>
      </c>
      <c r="G927" s="1">
        <v>43877</v>
      </c>
      <c r="H927" t="s">
        <v>1448</v>
      </c>
      <c r="I927" t="s">
        <v>1449</v>
      </c>
      <c r="J927" t="s">
        <v>21</v>
      </c>
      <c r="K927">
        <v>22065.281396557799</v>
      </c>
      <c r="L927">
        <v>320</v>
      </c>
      <c r="M927" t="s">
        <v>22</v>
      </c>
      <c r="N927" s="1">
        <v>43897</v>
      </c>
      <c r="O927" t="s">
        <v>87</v>
      </c>
      <c r="P927" t="s">
        <v>45</v>
      </c>
      <c r="Q927">
        <v>20</v>
      </c>
    </row>
    <row r="928" spans="1:17" x14ac:dyDescent="0.35">
      <c r="A928" t="s">
        <v>545</v>
      </c>
      <c r="B928" t="str">
        <f t="shared" si="25"/>
        <v>36-45</v>
      </c>
      <c r="C928">
        <v>38</v>
      </c>
      <c r="D928" t="s">
        <v>26</v>
      </c>
      <c r="E928" t="s">
        <v>17</v>
      </c>
      <c r="F928" t="s">
        <v>37</v>
      </c>
      <c r="G928" s="1">
        <v>45207</v>
      </c>
      <c r="H928" t="s">
        <v>546</v>
      </c>
      <c r="I928" t="s">
        <v>547</v>
      </c>
      <c r="J928" t="s">
        <v>21</v>
      </c>
      <c r="K928">
        <v>13981.112613003201</v>
      </c>
      <c r="L928">
        <v>372</v>
      </c>
      <c r="M928" t="s">
        <v>22</v>
      </c>
      <c r="N928" s="1">
        <v>45226</v>
      </c>
      <c r="O928" t="s">
        <v>33</v>
      </c>
      <c r="P928" t="s">
        <v>45</v>
      </c>
      <c r="Q928">
        <v>19</v>
      </c>
    </row>
    <row r="929" spans="1:17" x14ac:dyDescent="0.35">
      <c r="A929" t="s">
        <v>1435</v>
      </c>
      <c r="B929" t="str">
        <f t="shared" si="25"/>
        <v>36-45</v>
      </c>
      <c r="C929">
        <v>36</v>
      </c>
      <c r="D929" t="s">
        <v>16</v>
      </c>
      <c r="E929" t="s">
        <v>27</v>
      </c>
      <c r="F929" t="s">
        <v>37</v>
      </c>
      <c r="G929" s="1">
        <v>44798</v>
      </c>
      <c r="H929" t="s">
        <v>1436</v>
      </c>
      <c r="I929" t="s">
        <v>1437</v>
      </c>
      <c r="J929" t="s">
        <v>59</v>
      </c>
      <c r="K929">
        <v>7813.2390886449602</v>
      </c>
      <c r="L929">
        <v>422</v>
      </c>
      <c r="M929" t="s">
        <v>32</v>
      </c>
      <c r="N929" s="1">
        <v>44800</v>
      </c>
      <c r="O929" t="s">
        <v>87</v>
      </c>
      <c r="P929" t="s">
        <v>45</v>
      </c>
      <c r="Q929">
        <v>2</v>
      </c>
    </row>
    <row r="930" spans="1:17" x14ac:dyDescent="0.35">
      <c r="A930" t="s">
        <v>2398</v>
      </c>
      <c r="B930" t="str">
        <f t="shared" si="25"/>
        <v>46-55</v>
      </c>
      <c r="C930">
        <v>55</v>
      </c>
      <c r="D930" t="s">
        <v>26</v>
      </c>
      <c r="E930" t="s">
        <v>65</v>
      </c>
      <c r="F930" t="s">
        <v>37</v>
      </c>
      <c r="G930" s="1">
        <v>44545</v>
      </c>
      <c r="H930" t="s">
        <v>2399</v>
      </c>
      <c r="I930" t="s">
        <v>2400</v>
      </c>
      <c r="J930" t="s">
        <v>63</v>
      </c>
      <c r="K930">
        <v>36408.226252387401</v>
      </c>
      <c r="L930">
        <v>135</v>
      </c>
      <c r="M930" t="s">
        <v>22</v>
      </c>
      <c r="N930" s="1">
        <v>44571</v>
      </c>
      <c r="O930" t="s">
        <v>50</v>
      </c>
      <c r="P930" t="s">
        <v>24</v>
      </c>
      <c r="Q930">
        <v>26</v>
      </c>
    </row>
    <row r="931" spans="1:17" x14ac:dyDescent="0.35">
      <c r="A931" t="s">
        <v>1659</v>
      </c>
      <c r="B931" t="str">
        <f t="shared" si="25"/>
        <v>76-85</v>
      </c>
      <c r="C931">
        <v>85</v>
      </c>
      <c r="D931" t="s">
        <v>16</v>
      </c>
      <c r="E931" t="s">
        <v>17</v>
      </c>
      <c r="F931" t="s">
        <v>37</v>
      </c>
      <c r="G931" s="1">
        <v>43760</v>
      </c>
      <c r="H931" t="s">
        <v>1660</v>
      </c>
      <c r="I931" t="s">
        <v>1661</v>
      </c>
      <c r="J931" t="s">
        <v>31</v>
      </c>
      <c r="K931">
        <v>26730.533030934999</v>
      </c>
      <c r="L931">
        <v>475</v>
      </c>
      <c r="M931" t="s">
        <v>22</v>
      </c>
      <c r="N931" s="1">
        <v>43783</v>
      </c>
      <c r="O931" t="s">
        <v>33</v>
      </c>
      <c r="P931" t="s">
        <v>34</v>
      </c>
      <c r="Q931">
        <v>23</v>
      </c>
    </row>
    <row r="932" spans="1:17" x14ac:dyDescent="0.35">
      <c r="A932" t="s">
        <v>1058</v>
      </c>
      <c r="B932" t="str">
        <f t="shared" si="25"/>
        <v>26-35</v>
      </c>
      <c r="C932">
        <v>35</v>
      </c>
      <c r="D932" t="s">
        <v>16</v>
      </c>
      <c r="E932" t="s">
        <v>65</v>
      </c>
      <c r="F932" t="s">
        <v>37</v>
      </c>
      <c r="G932" s="1">
        <v>43503</v>
      </c>
      <c r="H932" t="s">
        <v>1059</v>
      </c>
      <c r="I932" t="s">
        <v>1060</v>
      </c>
      <c r="J932" t="s">
        <v>21</v>
      </c>
      <c r="K932">
        <v>27676.337232617399</v>
      </c>
      <c r="L932">
        <v>242</v>
      </c>
      <c r="M932" t="s">
        <v>43</v>
      </c>
      <c r="N932" s="1">
        <v>43518</v>
      </c>
      <c r="O932" t="s">
        <v>44</v>
      </c>
      <c r="P932" t="s">
        <v>34</v>
      </c>
      <c r="Q932">
        <v>15</v>
      </c>
    </row>
    <row r="933" spans="1:17" x14ac:dyDescent="0.35">
      <c r="A933" t="s">
        <v>2381</v>
      </c>
      <c r="B933" t="str">
        <f t="shared" si="25"/>
        <v>76-85</v>
      </c>
      <c r="C933">
        <v>82</v>
      </c>
      <c r="D933" t="s">
        <v>26</v>
      </c>
      <c r="E933" t="s">
        <v>117</v>
      </c>
      <c r="F933" t="s">
        <v>37</v>
      </c>
      <c r="G933" s="1">
        <v>43660</v>
      </c>
      <c r="H933" t="s">
        <v>2382</v>
      </c>
      <c r="I933" t="s">
        <v>2383</v>
      </c>
      <c r="J933" t="s">
        <v>21</v>
      </c>
      <c r="K933">
        <v>20536.009181326499</v>
      </c>
      <c r="L933">
        <v>119</v>
      </c>
      <c r="M933" t="s">
        <v>43</v>
      </c>
      <c r="N933" s="1">
        <v>43690</v>
      </c>
      <c r="O933" t="s">
        <v>87</v>
      </c>
      <c r="P933" t="s">
        <v>34</v>
      </c>
      <c r="Q933">
        <v>30</v>
      </c>
    </row>
    <row r="934" spans="1:17" x14ac:dyDescent="0.35">
      <c r="A934" t="s">
        <v>2104</v>
      </c>
      <c r="B934" t="str">
        <f t="shared" si="25"/>
        <v>26-35</v>
      </c>
      <c r="C934">
        <v>28</v>
      </c>
      <c r="D934" t="s">
        <v>26</v>
      </c>
      <c r="E934" t="s">
        <v>17</v>
      </c>
      <c r="F934" t="s">
        <v>37</v>
      </c>
      <c r="G934" s="1">
        <v>45081</v>
      </c>
      <c r="H934" t="s">
        <v>2105</v>
      </c>
      <c r="I934" t="s">
        <v>2106</v>
      </c>
      <c r="J934" t="s">
        <v>21</v>
      </c>
      <c r="K934">
        <v>20789.8572740196</v>
      </c>
      <c r="L934">
        <v>179</v>
      </c>
      <c r="M934" t="s">
        <v>22</v>
      </c>
      <c r="N934" s="1">
        <v>45094</v>
      </c>
      <c r="O934" t="s">
        <v>23</v>
      </c>
      <c r="P934" t="s">
        <v>24</v>
      </c>
      <c r="Q934">
        <v>13</v>
      </c>
    </row>
    <row r="935" spans="1:17" x14ac:dyDescent="0.35">
      <c r="A935" t="s">
        <v>1671</v>
      </c>
      <c r="B935" t="str">
        <f t="shared" si="25"/>
        <v>36-45</v>
      </c>
      <c r="C935">
        <v>41</v>
      </c>
      <c r="D935" t="s">
        <v>26</v>
      </c>
      <c r="E935" t="s">
        <v>17</v>
      </c>
      <c r="F935" t="s">
        <v>37</v>
      </c>
      <c r="G935" s="1">
        <v>43433</v>
      </c>
      <c r="H935" t="s">
        <v>1672</v>
      </c>
      <c r="I935" t="s">
        <v>1673</v>
      </c>
      <c r="J935" t="s">
        <v>54</v>
      </c>
      <c r="K935">
        <v>29471.3385785633</v>
      </c>
      <c r="L935">
        <v>195</v>
      </c>
      <c r="M935" t="s">
        <v>32</v>
      </c>
      <c r="N935" s="1">
        <v>43463</v>
      </c>
      <c r="O935" t="s">
        <v>23</v>
      </c>
      <c r="P935" t="s">
        <v>34</v>
      </c>
      <c r="Q935">
        <v>30</v>
      </c>
    </row>
    <row r="936" spans="1:17" x14ac:dyDescent="0.35">
      <c r="A936" t="s">
        <v>389</v>
      </c>
      <c r="B936" t="str">
        <f t="shared" si="25"/>
        <v>18-25</v>
      </c>
      <c r="C936">
        <v>21</v>
      </c>
      <c r="D936" t="s">
        <v>16</v>
      </c>
      <c r="E936" t="s">
        <v>17</v>
      </c>
      <c r="F936" t="s">
        <v>37</v>
      </c>
      <c r="G936" s="1">
        <v>43637</v>
      </c>
      <c r="H936" t="s">
        <v>390</v>
      </c>
      <c r="I936" t="s">
        <v>391</v>
      </c>
      <c r="J936" t="s">
        <v>54</v>
      </c>
      <c r="K936">
        <v>39666.2405505719</v>
      </c>
      <c r="L936">
        <v>482</v>
      </c>
      <c r="M936" t="s">
        <v>22</v>
      </c>
      <c r="N936" s="1">
        <v>43666</v>
      </c>
      <c r="O936" t="s">
        <v>44</v>
      </c>
      <c r="P936" t="s">
        <v>24</v>
      </c>
      <c r="Q936">
        <v>29</v>
      </c>
    </row>
    <row r="937" spans="1:17" x14ac:dyDescent="0.35">
      <c r="A937" t="s">
        <v>2956</v>
      </c>
      <c r="B937" t="str">
        <f t="shared" si="25"/>
        <v>76-85</v>
      </c>
      <c r="C937">
        <v>76</v>
      </c>
      <c r="D937" t="s">
        <v>26</v>
      </c>
      <c r="E937" t="s">
        <v>65</v>
      </c>
      <c r="F937" t="s">
        <v>37</v>
      </c>
      <c r="G937" s="1">
        <v>43526</v>
      </c>
      <c r="H937" t="s">
        <v>2957</v>
      </c>
      <c r="I937" t="s">
        <v>2958</v>
      </c>
      <c r="J937" t="s">
        <v>54</v>
      </c>
      <c r="K937">
        <v>44947.469977418397</v>
      </c>
      <c r="L937">
        <v>155</v>
      </c>
      <c r="M937" t="s">
        <v>43</v>
      </c>
      <c r="N937" s="1">
        <v>43541</v>
      </c>
      <c r="O937" t="s">
        <v>87</v>
      </c>
      <c r="P937" t="s">
        <v>45</v>
      </c>
      <c r="Q937">
        <v>15</v>
      </c>
    </row>
    <row r="938" spans="1:17" x14ac:dyDescent="0.35">
      <c r="A938" t="s">
        <v>2907</v>
      </c>
      <c r="B938" t="str">
        <f t="shared" si="25"/>
        <v>66-75</v>
      </c>
      <c r="C938">
        <v>68</v>
      </c>
      <c r="D938" t="s">
        <v>16</v>
      </c>
      <c r="E938" t="s">
        <v>51</v>
      </c>
      <c r="F938" t="s">
        <v>37</v>
      </c>
      <c r="G938" s="1">
        <v>44833</v>
      </c>
      <c r="H938" t="s">
        <v>2908</v>
      </c>
      <c r="I938" t="s">
        <v>2909</v>
      </c>
      <c r="J938" t="s">
        <v>63</v>
      </c>
      <c r="K938">
        <v>35582.755821957602</v>
      </c>
      <c r="L938">
        <v>473</v>
      </c>
      <c r="M938" t="s">
        <v>32</v>
      </c>
      <c r="N938" s="1">
        <v>44860</v>
      </c>
      <c r="O938" t="s">
        <v>33</v>
      </c>
      <c r="P938" t="s">
        <v>45</v>
      </c>
      <c r="Q938">
        <v>27</v>
      </c>
    </row>
    <row r="939" spans="1:17" x14ac:dyDescent="0.35">
      <c r="A939" t="s">
        <v>123</v>
      </c>
      <c r="B939" t="str">
        <f t="shared" si="25"/>
        <v>66-75</v>
      </c>
      <c r="C939">
        <v>70</v>
      </c>
      <c r="D939" t="s">
        <v>16</v>
      </c>
      <c r="E939" t="s">
        <v>36</v>
      </c>
      <c r="F939" t="s">
        <v>37</v>
      </c>
      <c r="G939" s="1">
        <v>44389</v>
      </c>
      <c r="H939" t="s">
        <v>124</v>
      </c>
      <c r="I939" t="s">
        <v>125</v>
      </c>
      <c r="J939" t="s">
        <v>54</v>
      </c>
      <c r="K939">
        <v>35834.356603177599</v>
      </c>
      <c r="L939">
        <v>379</v>
      </c>
      <c r="M939" t="s">
        <v>22</v>
      </c>
      <c r="N939" s="1">
        <v>44406</v>
      </c>
      <c r="O939" t="s">
        <v>50</v>
      </c>
      <c r="P939" t="s">
        <v>45</v>
      </c>
      <c r="Q939">
        <v>17</v>
      </c>
    </row>
    <row r="940" spans="1:17" x14ac:dyDescent="0.35">
      <c r="A940" t="s">
        <v>2747</v>
      </c>
      <c r="B940" t="str">
        <f t="shared" si="25"/>
        <v>76-85</v>
      </c>
      <c r="C940">
        <v>83</v>
      </c>
      <c r="D940" t="s">
        <v>16</v>
      </c>
      <c r="E940" t="s">
        <v>92</v>
      </c>
      <c r="F940" t="s">
        <v>37</v>
      </c>
      <c r="G940" s="1">
        <v>43843</v>
      </c>
      <c r="H940" t="s">
        <v>2748</v>
      </c>
      <c r="I940" t="s">
        <v>2749</v>
      </c>
      <c r="J940" t="s">
        <v>21</v>
      </c>
      <c r="K940">
        <v>10669.985051244799</v>
      </c>
      <c r="L940">
        <v>317</v>
      </c>
      <c r="M940" t="s">
        <v>43</v>
      </c>
      <c r="N940" s="1">
        <v>43869</v>
      </c>
      <c r="O940" t="s">
        <v>50</v>
      </c>
      <c r="P940" t="s">
        <v>45</v>
      </c>
      <c r="Q940">
        <v>26</v>
      </c>
    </row>
    <row r="941" spans="1:17" x14ac:dyDescent="0.35">
      <c r="A941" t="s">
        <v>295</v>
      </c>
      <c r="B941" t="str">
        <f t="shared" si="25"/>
        <v>26-35</v>
      </c>
      <c r="C941">
        <v>27</v>
      </c>
      <c r="D941" t="s">
        <v>16</v>
      </c>
      <c r="E941" t="s">
        <v>232</v>
      </c>
      <c r="F941" t="s">
        <v>37</v>
      </c>
      <c r="G941" s="1">
        <v>43462</v>
      </c>
      <c r="H941" t="s">
        <v>296</v>
      </c>
      <c r="I941" t="s">
        <v>297</v>
      </c>
      <c r="J941" t="s">
        <v>54</v>
      </c>
      <c r="K941">
        <v>5319.5427627763202</v>
      </c>
      <c r="L941">
        <v>139</v>
      </c>
      <c r="M941" t="s">
        <v>22</v>
      </c>
      <c r="N941" s="1">
        <v>43492</v>
      </c>
      <c r="O941" t="s">
        <v>23</v>
      </c>
      <c r="P941" t="s">
        <v>45</v>
      </c>
      <c r="Q941">
        <v>30</v>
      </c>
    </row>
    <row r="942" spans="1:17" x14ac:dyDescent="0.35">
      <c r="A942" t="s">
        <v>247</v>
      </c>
      <c r="B942" t="str">
        <f t="shared" si="25"/>
        <v>66-75</v>
      </c>
      <c r="C942">
        <v>71</v>
      </c>
      <c r="D942" t="s">
        <v>16</v>
      </c>
      <c r="E942" t="s">
        <v>65</v>
      </c>
      <c r="F942" t="s">
        <v>37</v>
      </c>
      <c r="G942" s="1">
        <v>44888</v>
      </c>
      <c r="H942" t="s">
        <v>248</v>
      </c>
      <c r="I942" t="s">
        <v>249</v>
      </c>
      <c r="J942" t="s">
        <v>31</v>
      </c>
      <c r="K942">
        <v>8311.3973892222803</v>
      </c>
      <c r="L942">
        <v>205</v>
      </c>
      <c r="M942" t="s">
        <v>43</v>
      </c>
      <c r="N942" s="1">
        <v>44894</v>
      </c>
      <c r="O942" t="s">
        <v>33</v>
      </c>
      <c r="P942" t="s">
        <v>45</v>
      </c>
      <c r="Q942">
        <v>6</v>
      </c>
    </row>
    <row r="943" spans="1:17" x14ac:dyDescent="0.35">
      <c r="A943" t="s">
        <v>1916</v>
      </c>
      <c r="B943" t="str">
        <f t="shared" si="25"/>
        <v>18-25</v>
      </c>
      <c r="C943">
        <v>18</v>
      </c>
      <c r="D943" t="s">
        <v>16</v>
      </c>
      <c r="E943" t="s">
        <v>36</v>
      </c>
      <c r="F943" t="s">
        <v>37</v>
      </c>
      <c r="G943" s="1">
        <v>44852</v>
      </c>
      <c r="H943" t="s">
        <v>1917</v>
      </c>
      <c r="I943" t="s">
        <v>1918</v>
      </c>
      <c r="J943" t="s">
        <v>54</v>
      </c>
      <c r="K943">
        <v>30496.551023285101</v>
      </c>
      <c r="L943">
        <v>270</v>
      </c>
      <c r="M943" t="s">
        <v>22</v>
      </c>
      <c r="N943" s="1">
        <v>44873</v>
      </c>
      <c r="O943" t="s">
        <v>44</v>
      </c>
      <c r="P943" t="s">
        <v>45</v>
      </c>
      <c r="Q943">
        <v>21</v>
      </c>
    </row>
    <row r="944" spans="1:17" x14ac:dyDescent="0.35">
      <c r="A944" t="s">
        <v>363</v>
      </c>
      <c r="B944" t="str">
        <f t="shared" si="25"/>
        <v>26-35</v>
      </c>
      <c r="C944">
        <v>30</v>
      </c>
      <c r="D944" t="s">
        <v>16</v>
      </c>
      <c r="E944" t="s">
        <v>92</v>
      </c>
      <c r="F944" t="s">
        <v>37</v>
      </c>
      <c r="G944" s="1">
        <v>44726</v>
      </c>
      <c r="H944" t="s">
        <v>364</v>
      </c>
      <c r="I944" t="s">
        <v>365</v>
      </c>
      <c r="J944" t="s">
        <v>59</v>
      </c>
      <c r="K944">
        <v>48995.048838771698</v>
      </c>
      <c r="L944">
        <v>299</v>
      </c>
      <c r="M944" t="s">
        <v>32</v>
      </c>
      <c r="N944" s="1">
        <v>44755</v>
      </c>
      <c r="O944" t="s">
        <v>23</v>
      </c>
      <c r="P944" t="s">
        <v>24</v>
      </c>
      <c r="Q944">
        <v>29</v>
      </c>
    </row>
    <row r="945" spans="1:17" x14ac:dyDescent="0.35">
      <c r="A945" t="s">
        <v>2910</v>
      </c>
      <c r="B945" t="str">
        <f t="shared" si="25"/>
        <v>66-75</v>
      </c>
      <c r="C945">
        <v>71</v>
      </c>
      <c r="D945" t="s">
        <v>16</v>
      </c>
      <c r="E945" t="s">
        <v>17</v>
      </c>
      <c r="F945" t="s">
        <v>37</v>
      </c>
      <c r="G945" s="1">
        <v>45110</v>
      </c>
      <c r="H945" t="s">
        <v>2911</v>
      </c>
      <c r="I945" t="s">
        <v>2912</v>
      </c>
      <c r="J945" t="s">
        <v>21</v>
      </c>
      <c r="K945">
        <v>22722.0003202751</v>
      </c>
      <c r="L945">
        <v>232</v>
      </c>
      <c r="M945" t="s">
        <v>22</v>
      </c>
      <c r="N945" s="1">
        <v>45111</v>
      </c>
      <c r="O945" t="s">
        <v>44</v>
      </c>
      <c r="P945" t="s">
        <v>24</v>
      </c>
      <c r="Q945">
        <v>1</v>
      </c>
    </row>
    <row r="946" spans="1:17" x14ac:dyDescent="0.35">
      <c r="A946" t="s">
        <v>1701</v>
      </c>
      <c r="B946" t="str">
        <f t="shared" si="25"/>
        <v>76-85</v>
      </c>
      <c r="C946">
        <v>83</v>
      </c>
      <c r="D946" t="s">
        <v>16</v>
      </c>
      <c r="E946" t="s">
        <v>51</v>
      </c>
      <c r="F946" t="s">
        <v>37</v>
      </c>
      <c r="G946" s="1">
        <v>44541</v>
      </c>
      <c r="H946" t="s">
        <v>1702</v>
      </c>
      <c r="I946" t="s">
        <v>1703</v>
      </c>
      <c r="J946" t="s">
        <v>54</v>
      </c>
      <c r="K946">
        <v>30663.060917614701</v>
      </c>
      <c r="L946">
        <v>350</v>
      </c>
      <c r="M946" t="s">
        <v>22</v>
      </c>
      <c r="N946" s="1">
        <v>44548</v>
      </c>
      <c r="O946" t="s">
        <v>23</v>
      </c>
      <c r="P946" t="s">
        <v>45</v>
      </c>
      <c r="Q946">
        <v>7</v>
      </c>
    </row>
    <row r="947" spans="1:17" x14ac:dyDescent="0.35">
      <c r="A947" t="s">
        <v>2806</v>
      </c>
      <c r="B947" t="str">
        <f t="shared" si="25"/>
        <v>36-45</v>
      </c>
      <c r="C947">
        <v>41</v>
      </c>
      <c r="D947" t="s">
        <v>16</v>
      </c>
      <c r="E947" t="s">
        <v>92</v>
      </c>
      <c r="F947" t="s">
        <v>37</v>
      </c>
      <c r="G947" s="1">
        <v>44275</v>
      </c>
      <c r="H947" t="s">
        <v>2807</v>
      </c>
      <c r="I947" t="s">
        <v>2808</v>
      </c>
      <c r="J947" t="s">
        <v>59</v>
      </c>
      <c r="K947">
        <v>40247.689763677699</v>
      </c>
      <c r="L947">
        <v>401</v>
      </c>
      <c r="M947" t="s">
        <v>43</v>
      </c>
      <c r="N947" s="1">
        <v>44279</v>
      </c>
      <c r="O947" t="s">
        <v>33</v>
      </c>
      <c r="P947" t="s">
        <v>24</v>
      </c>
      <c r="Q947">
        <v>4</v>
      </c>
    </row>
    <row r="948" spans="1:17" x14ac:dyDescent="0.35">
      <c r="A948" t="s">
        <v>691</v>
      </c>
      <c r="B948" t="str">
        <f t="shared" si="25"/>
        <v>76-85</v>
      </c>
      <c r="C948">
        <v>80</v>
      </c>
      <c r="D948" t="s">
        <v>16</v>
      </c>
      <c r="E948" t="s">
        <v>36</v>
      </c>
      <c r="F948" t="s">
        <v>37</v>
      </c>
      <c r="G948" s="1">
        <v>43414</v>
      </c>
      <c r="H948" t="s">
        <v>692</v>
      </c>
      <c r="I948" t="s">
        <v>693</v>
      </c>
      <c r="J948" t="s">
        <v>54</v>
      </c>
      <c r="K948">
        <v>26660.612444034701</v>
      </c>
      <c r="L948">
        <v>486</v>
      </c>
      <c r="M948" t="s">
        <v>22</v>
      </c>
      <c r="N948" s="1">
        <v>43418</v>
      </c>
      <c r="O948" t="s">
        <v>33</v>
      </c>
      <c r="P948" t="s">
        <v>45</v>
      </c>
      <c r="Q948">
        <v>4</v>
      </c>
    </row>
    <row r="949" spans="1:17" x14ac:dyDescent="0.35">
      <c r="A949" t="s">
        <v>2230</v>
      </c>
      <c r="B949" t="str">
        <f t="shared" si="25"/>
        <v>66-75</v>
      </c>
      <c r="C949">
        <v>66</v>
      </c>
      <c r="D949" t="s">
        <v>26</v>
      </c>
      <c r="E949" t="s">
        <v>51</v>
      </c>
      <c r="F949" t="s">
        <v>37</v>
      </c>
      <c r="G949" s="1">
        <v>43432</v>
      </c>
      <c r="H949" t="s">
        <v>2231</v>
      </c>
      <c r="I949" t="s">
        <v>2232</v>
      </c>
      <c r="J949" t="s">
        <v>54</v>
      </c>
      <c r="K949">
        <v>24362.373960440302</v>
      </c>
      <c r="L949">
        <v>424</v>
      </c>
      <c r="M949" t="s">
        <v>43</v>
      </c>
      <c r="N949" s="1">
        <v>43436</v>
      </c>
      <c r="O949" t="s">
        <v>87</v>
      </c>
      <c r="P949" t="s">
        <v>45</v>
      </c>
      <c r="Q949">
        <v>4</v>
      </c>
    </row>
    <row r="950" spans="1:17" x14ac:dyDescent="0.35">
      <c r="A950" t="s">
        <v>1877</v>
      </c>
      <c r="B950" t="str">
        <f t="shared" si="25"/>
        <v>56-65</v>
      </c>
      <c r="C950">
        <v>64</v>
      </c>
      <c r="D950" t="s">
        <v>26</v>
      </c>
      <c r="E950" t="s">
        <v>17</v>
      </c>
      <c r="F950" t="s">
        <v>37</v>
      </c>
      <c r="G950" s="1">
        <v>44444</v>
      </c>
      <c r="H950" t="s">
        <v>1878</v>
      </c>
      <c r="I950" t="s">
        <v>1879</v>
      </c>
      <c r="J950" t="s">
        <v>31</v>
      </c>
      <c r="K950">
        <v>3672.3107384172999</v>
      </c>
      <c r="L950">
        <v>287</v>
      </c>
      <c r="M950" t="s">
        <v>43</v>
      </c>
      <c r="N950" s="1">
        <v>44452</v>
      </c>
      <c r="O950" t="s">
        <v>33</v>
      </c>
      <c r="P950" t="s">
        <v>24</v>
      </c>
      <c r="Q950">
        <v>8</v>
      </c>
    </row>
    <row r="951" spans="1:17" x14ac:dyDescent="0.35">
      <c r="A951" t="s">
        <v>1161</v>
      </c>
      <c r="B951" t="str">
        <f t="shared" si="25"/>
        <v>56-65</v>
      </c>
      <c r="C951">
        <v>61</v>
      </c>
      <c r="D951" t="s">
        <v>26</v>
      </c>
      <c r="E951" t="s">
        <v>117</v>
      </c>
      <c r="F951" t="s">
        <v>37</v>
      </c>
      <c r="G951" s="1">
        <v>43981</v>
      </c>
      <c r="H951" t="s">
        <v>1162</v>
      </c>
      <c r="I951" t="s">
        <v>1163</v>
      </c>
      <c r="J951" t="s">
        <v>63</v>
      </c>
      <c r="K951">
        <v>21864.010007428202</v>
      </c>
      <c r="L951">
        <v>406</v>
      </c>
      <c r="M951" t="s">
        <v>22</v>
      </c>
      <c r="N951" s="1">
        <v>43997</v>
      </c>
      <c r="O951" t="s">
        <v>33</v>
      </c>
      <c r="P951" t="s">
        <v>24</v>
      </c>
      <c r="Q951">
        <v>16</v>
      </c>
    </row>
    <row r="952" spans="1:17" x14ac:dyDescent="0.35">
      <c r="A952" t="s">
        <v>2527</v>
      </c>
      <c r="B952" t="str">
        <f t="shared" si="25"/>
        <v>36-45</v>
      </c>
      <c r="C952">
        <v>44</v>
      </c>
      <c r="D952" t="s">
        <v>16</v>
      </c>
      <c r="E952" t="s">
        <v>92</v>
      </c>
      <c r="F952" t="s">
        <v>37</v>
      </c>
      <c r="G952" s="1">
        <v>45113</v>
      </c>
      <c r="H952" t="s">
        <v>2528</v>
      </c>
      <c r="I952" t="s">
        <v>2529</v>
      </c>
      <c r="J952" t="s">
        <v>63</v>
      </c>
      <c r="K952">
        <v>13108.5108870487</v>
      </c>
      <c r="L952">
        <v>209</v>
      </c>
      <c r="M952" t="s">
        <v>22</v>
      </c>
      <c r="N952" s="1">
        <v>45127</v>
      </c>
      <c r="O952" t="s">
        <v>50</v>
      </c>
      <c r="P952" t="s">
        <v>45</v>
      </c>
      <c r="Q952">
        <v>14</v>
      </c>
    </row>
    <row r="953" spans="1:17" x14ac:dyDescent="0.35">
      <c r="A953" t="s">
        <v>449</v>
      </c>
      <c r="B953" t="str">
        <f t="shared" si="25"/>
        <v>46-55</v>
      </c>
      <c r="C953">
        <v>53</v>
      </c>
      <c r="D953" t="s">
        <v>26</v>
      </c>
      <c r="E953" t="s">
        <v>92</v>
      </c>
      <c r="F953" t="s">
        <v>37</v>
      </c>
      <c r="G953" s="1">
        <v>44041</v>
      </c>
      <c r="H953" t="s">
        <v>450</v>
      </c>
      <c r="I953" t="s">
        <v>451</v>
      </c>
      <c r="J953" t="s">
        <v>63</v>
      </c>
      <c r="K953">
        <v>49219.209543074401</v>
      </c>
      <c r="L953">
        <v>146</v>
      </c>
      <c r="M953" t="s">
        <v>22</v>
      </c>
      <c r="N953" s="1">
        <v>44063</v>
      </c>
      <c r="O953" t="s">
        <v>50</v>
      </c>
      <c r="P953" t="s">
        <v>24</v>
      </c>
      <c r="Q953">
        <v>22</v>
      </c>
    </row>
    <row r="954" spans="1:17" x14ac:dyDescent="0.35">
      <c r="A954" t="s">
        <v>1038</v>
      </c>
      <c r="B954" t="str">
        <f t="shared" si="25"/>
        <v>76-85</v>
      </c>
      <c r="C954">
        <v>81</v>
      </c>
      <c r="D954" t="s">
        <v>16</v>
      </c>
      <c r="E954" t="s">
        <v>117</v>
      </c>
      <c r="F954" t="s">
        <v>37</v>
      </c>
      <c r="G954" s="1">
        <v>45106</v>
      </c>
      <c r="H954" t="s">
        <v>1039</v>
      </c>
      <c r="I954" t="s">
        <v>1040</v>
      </c>
      <c r="J954" t="s">
        <v>63</v>
      </c>
      <c r="K954">
        <v>33399.4656069333</v>
      </c>
      <c r="L954">
        <v>274</v>
      </c>
      <c r="M954" t="s">
        <v>43</v>
      </c>
      <c r="N954" s="1">
        <v>45109</v>
      </c>
      <c r="O954" t="s">
        <v>23</v>
      </c>
      <c r="P954" t="s">
        <v>45</v>
      </c>
      <c r="Q954">
        <v>3</v>
      </c>
    </row>
    <row r="955" spans="1:17" x14ac:dyDescent="0.35">
      <c r="A955" t="s">
        <v>2297</v>
      </c>
      <c r="B955" t="str">
        <f t="shared" si="25"/>
        <v>66-75</v>
      </c>
      <c r="C955">
        <v>71</v>
      </c>
      <c r="D955" t="s">
        <v>16</v>
      </c>
      <c r="E955" t="s">
        <v>36</v>
      </c>
      <c r="F955" t="s">
        <v>37</v>
      </c>
      <c r="G955" s="1">
        <v>43893</v>
      </c>
      <c r="H955" t="s">
        <v>2298</v>
      </c>
      <c r="I955" t="s">
        <v>2299</v>
      </c>
      <c r="J955" t="s">
        <v>59</v>
      </c>
      <c r="K955">
        <v>44982.000414836599</v>
      </c>
      <c r="L955">
        <v>299</v>
      </c>
      <c r="M955" t="s">
        <v>32</v>
      </c>
      <c r="N955" s="1">
        <v>43908</v>
      </c>
      <c r="O955" t="s">
        <v>44</v>
      </c>
      <c r="P955" t="s">
        <v>45</v>
      </c>
      <c r="Q955">
        <v>15</v>
      </c>
    </row>
    <row r="956" spans="1:17" x14ac:dyDescent="0.35">
      <c r="A956" t="s">
        <v>2311</v>
      </c>
      <c r="B956" t="str">
        <f t="shared" si="25"/>
        <v>26-35</v>
      </c>
      <c r="C956">
        <v>26</v>
      </c>
      <c r="D956" t="s">
        <v>26</v>
      </c>
      <c r="E956" t="s">
        <v>232</v>
      </c>
      <c r="F956" t="s">
        <v>37</v>
      </c>
      <c r="G956" s="1">
        <v>43723</v>
      </c>
      <c r="H956" t="s">
        <v>2312</v>
      </c>
      <c r="I956" t="s">
        <v>2313</v>
      </c>
      <c r="J956" t="s">
        <v>63</v>
      </c>
      <c r="K956">
        <v>42103.263033222604</v>
      </c>
      <c r="L956">
        <v>366</v>
      </c>
      <c r="M956" t="s">
        <v>43</v>
      </c>
      <c r="N956" s="1">
        <v>43745</v>
      </c>
      <c r="O956" t="s">
        <v>33</v>
      </c>
      <c r="P956" t="s">
        <v>34</v>
      </c>
      <c r="Q956">
        <v>22</v>
      </c>
    </row>
    <row r="957" spans="1:17" x14ac:dyDescent="0.35">
      <c r="A957" t="s">
        <v>2592</v>
      </c>
      <c r="B957" t="str">
        <f t="shared" si="25"/>
        <v>66-75</v>
      </c>
      <c r="C957">
        <v>71</v>
      </c>
      <c r="D957" t="s">
        <v>16</v>
      </c>
      <c r="E957" t="s">
        <v>232</v>
      </c>
      <c r="F957" t="s">
        <v>37</v>
      </c>
      <c r="G957" s="1">
        <v>44444</v>
      </c>
      <c r="H957" t="s">
        <v>2593</v>
      </c>
      <c r="I957" t="s">
        <v>2594</v>
      </c>
      <c r="J957" t="s">
        <v>31</v>
      </c>
      <c r="K957">
        <v>34122.433884829297</v>
      </c>
      <c r="L957">
        <v>120</v>
      </c>
      <c r="M957" t="s">
        <v>32</v>
      </c>
      <c r="N957" s="1">
        <v>44458</v>
      </c>
      <c r="O957" t="s">
        <v>33</v>
      </c>
      <c r="P957" t="s">
        <v>34</v>
      </c>
      <c r="Q957">
        <v>14</v>
      </c>
    </row>
    <row r="958" spans="1:17" x14ac:dyDescent="0.35">
      <c r="A958" t="s">
        <v>1116</v>
      </c>
      <c r="B958" t="str">
        <f t="shared" si="25"/>
        <v>36-45</v>
      </c>
      <c r="C958">
        <v>44</v>
      </c>
      <c r="D958" t="s">
        <v>26</v>
      </c>
      <c r="E958" t="s">
        <v>51</v>
      </c>
      <c r="F958" t="s">
        <v>37</v>
      </c>
      <c r="G958" s="1">
        <v>43629</v>
      </c>
      <c r="H958" t="s">
        <v>1117</v>
      </c>
      <c r="I958" t="s">
        <v>1118</v>
      </c>
      <c r="J958" t="s">
        <v>54</v>
      </c>
      <c r="K958">
        <v>13591.0430874877</v>
      </c>
      <c r="L958">
        <v>240</v>
      </c>
      <c r="M958" t="s">
        <v>32</v>
      </c>
      <c r="N958" s="1">
        <v>43648</v>
      </c>
      <c r="O958" t="s">
        <v>33</v>
      </c>
      <c r="P958" t="s">
        <v>24</v>
      </c>
      <c r="Q958">
        <v>19</v>
      </c>
    </row>
    <row r="959" spans="1:17" x14ac:dyDescent="0.35">
      <c r="A959" t="s">
        <v>1349</v>
      </c>
      <c r="B959" t="str">
        <f t="shared" si="25"/>
        <v>76-85</v>
      </c>
      <c r="C959">
        <v>79</v>
      </c>
      <c r="D959" t="s">
        <v>16</v>
      </c>
      <c r="E959" t="s">
        <v>232</v>
      </c>
      <c r="F959" t="s">
        <v>37</v>
      </c>
      <c r="G959" s="1">
        <v>44653</v>
      </c>
      <c r="H959" t="s">
        <v>1350</v>
      </c>
      <c r="I959" t="s">
        <v>1351</v>
      </c>
      <c r="J959" t="s">
        <v>63</v>
      </c>
      <c r="K959">
        <v>12723.420482916599</v>
      </c>
      <c r="L959">
        <v>174</v>
      </c>
      <c r="M959" t="s">
        <v>22</v>
      </c>
      <c r="N959" s="1">
        <v>44660</v>
      </c>
      <c r="O959" t="s">
        <v>50</v>
      </c>
      <c r="P959" t="s">
        <v>24</v>
      </c>
      <c r="Q959">
        <v>7</v>
      </c>
    </row>
    <row r="960" spans="1:17" x14ac:dyDescent="0.35">
      <c r="A960" t="s">
        <v>1075</v>
      </c>
      <c r="B960" t="str">
        <f t="shared" si="25"/>
        <v>36-45</v>
      </c>
      <c r="C960">
        <v>40</v>
      </c>
      <c r="D960" t="s">
        <v>26</v>
      </c>
      <c r="E960" t="s">
        <v>117</v>
      </c>
      <c r="F960" t="s">
        <v>37</v>
      </c>
      <c r="G960" s="1">
        <v>45014</v>
      </c>
      <c r="H960" t="s">
        <v>1076</v>
      </c>
      <c r="I960" t="s">
        <v>1077</v>
      </c>
      <c r="J960" t="s">
        <v>59</v>
      </c>
      <c r="K960">
        <v>30730.893293449401</v>
      </c>
      <c r="L960">
        <v>400</v>
      </c>
      <c r="M960" t="s">
        <v>43</v>
      </c>
      <c r="N960" s="1">
        <v>45030</v>
      </c>
      <c r="O960" t="s">
        <v>44</v>
      </c>
      <c r="P960" t="s">
        <v>24</v>
      </c>
      <c r="Q960">
        <v>16</v>
      </c>
    </row>
    <row r="961" spans="1:17" x14ac:dyDescent="0.35">
      <c r="A961" t="s">
        <v>2021</v>
      </c>
      <c r="B961" t="str">
        <f t="shared" si="25"/>
        <v>36-45</v>
      </c>
      <c r="C961">
        <v>36</v>
      </c>
      <c r="D961" t="s">
        <v>26</v>
      </c>
      <c r="E961" t="s">
        <v>17</v>
      </c>
      <c r="F961" t="s">
        <v>37</v>
      </c>
      <c r="G961" s="1">
        <v>44858</v>
      </c>
      <c r="H961" t="s">
        <v>2022</v>
      </c>
      <c r="I961" t="s">
        <v>2023</v>
      </c>
      <c r="J961" t="s">
        <v>63</v>
      </c>
      <c r="K961">
        <v>38397.633513422901</v>
      </c>
      <c r="L961">
        <v>381</v>
      </c>
      <c r="M961" t="s">
        <v>32</v>
      </c>
      <c r="N961" s="1">
        <v>44861</v>
      </c>
      <c r="O961" t="s">
        <v>23</v>
      </c>
      <c r="P961" t="s">
        <v>34</v>
      </c>
      <c r="Q961">
        <v>3</v>
      </c>
    </row>
    <row r="962" spans="1:17" x14ac:dyDescent="0.35">
      <c r="A962" t="s">
        <v>2291</v>
      </c>
      <c r="B962" t="str">
        <f t="shared" si="25"/>
        <v>18-25</v>
      </c>
      <c r="C962">
        <v>25</v>
      </c>
      <c r="D962" t="s">
        <v>16</v>
      </c>
      <c r="E962" t="s">
        <v>36</v>
      </c>
      <c r="F962" t="s">
        <v>37</v>
      </c>
      <c r="G962" s="1">
        <v>44416</v>
      </c>
      <c r="H962" t="s">
        <v>2292</v>
      </c>
      <c r="I962" t="s">
        <v>2293</v>
      </c>
      <c r="J962" t="s">
        <v>31</v>
      </c>
      <c r="K962">
        <v>40812.454056502102</v>
      </c>
      <c r="L962">
        <v>374</v>
      </c>
      <c r="M962" t="s">
        <v>22</v>
      </c>
      <c r="N962" s="1">
        <v>44430</v>
      </c>
      <c r="O962" t="s">
        <v>87</v>
      </c>
      <c r="P962" t="s">
        <v>34</v>
      </c>
      <c r="Q962">
        <v>14</v>
      </c>
    </row>
    <row r="963" spans="1:17" x14ac:dyDescent="0.35">
      <c r="A963" t="s">
        <v>869</v>
      </c>
      <c r="B963" t="str">
        <f t="shared" si="25"/>
        <v>26-35</v>
      </c>
      <c r="C963">
        <v>29</v>
      </c>
      <c r="D963" t="s">
        <v>26</v>
      </c>
      <c r="E963" t="s">
        <v>117</v>
      </c>
      <c r="F963" t="s">
        <v>37</v>
      </c>
      <c r="G963" s="1">
        <v>44616</v>
      </c>
      <c r="H963" t="s">
        <v>870</v>
      </c>
      <c r="I963" t="s">
        <v>871</v>
      </c>
      <c r="J963" t="s">
        <v>63</v>
      </c>
      <c r="K963">
        <v>7364.75096059512</v>
      </c>
      <c r="L963">
        <v>270</v>
      </c>
      <c r="M963" t="s">
        <v>43</v>
      </c>
      <c r="N963" s="1">
        <v>44625</v>
      </c>
      <c r="O963" t="s">
        <v>33</v>
      </c>
      <c r="P963" t="s">
        <v>24</v>
      </c>
      <c r="Q963">
        <v>9</v>
      </c>
    </row>
    <row r="964" spans="1:17" x14ac:dyDescent="0.35">
      <c r="A964" t="s">
        <v>1396</v>
      </c>
      <c r="B964" t="str">
        <f t="shared" si="25"/>
        <v>56-65</v>
      </c>
      <c r="C964">
        <v>61</v>
      </c>
      <c r="D964" t="s">
        <v>26</v>
      </c>
      <c r="E964" t="s">
        <v>17</v>
      </c>
      <c r="F964" t="s">
        <v>37</v>
      </c>
      <c r="G964" s="1">
        <v>43613</v>
      </c>
      <c r="H964" t="s">
        <v>1397</v>
      </c>
      <c r="I964" t="s">
        <v>1398</v>
      </c>
      <c r="J964" t="s">
        <v>54</v>
      </c>
      <c r="K964">
        <v>22938.061375785801</v>
      </c>
      <c r="L964">
        <v>363</v>
      </c>
      <c r="M964" t="s">
        <v>22</v>
      </c>
      <c r="N964" s="1">
        <v>43628</v>
      </c>
      <c r="O964" t="s">
        <v>23</v>
      </c>
      <c r="P964" t="s">
        <v>34</v>
      </c>
      <c r="Q964">
        <v>15</v>
      </c>
    </row>
    <row r="965" spans="1:17" x14ac:dyDescent="0.35">
      <c r="A965" t="s">
        <v>2815</v>
      </c>
      <c r="B965" t="str">
        <f t="shared" si="25"/>
        <v>46-55</v>
      </c>
      <c r="C965">
        <v>53</v>
      </c>
      <c r="D965" t="s">
        <v>16</v>
      </c>
      <c r="E965" t="s">
        <v>65</v>
      </c>
      <c r="F965" t="s">
        <v>37</v>
      </c>
      <c r="G965" s="1">
        <v>43937</v>
      </c>
      <c r="H965" t="s">
        <v>2816</v>
      </c>
      <c r="I965" t="s">
        <v>2817</v>
      </c>
      <c r="J965" t="s">
        <v>21</v>
      </c>
      <c r="K965">
        <v>32979.146245165401</v>
      </c>
      <c r="L965">
        <v>313</v>
      </c>
      <c r="M965" t="s">
        <v>22</v>
      </c>
      <c r="N965" s="1">
        <v>43957</v>
      </c>
      <c r="O965" t="s">
        <v>50</v>
      </c>
      <c r="P965" t="s">
        <v>45</v>
      </c>
      <c r="Q965">
        <v>20</v>
      </c>
    </row>
    <row r="966" spans="1:17" x14ac:dyDescent="0.35">
      <c r="A966" t="s">
        <v>1205</v>
      </c>
      <c r="B966" t="str">
        <f t="shared" si="25"/>
        <v>36-45</v>
      </c>
      <c r="C966">
        <v>43</v>
      </c>
      <c r="D966" t="s">
        <v>26</v>
      </c>
      <c r="E966" t="s">
        <v>232</v>
      </c>
      <c r="F966" t="s">
        <v>37</v>
      </c>
      <c r="G966" s="1">
        <v>44627</v>
      </c>
      <c r="H966" t="s">
        <v>1206</v>
      </c>
      <c r="I966" t="s">
        <v>1207</v>
      </c>
      <c r="J966" t="s">
        <v>54</v>
      </c>
      <c r="K966">
        <v>22624.0054607118</v>
      </c>
      <c r="L966">
        <v>158</v>
      </c>
      <c r="M966" t="s">
        <v>32</v>
      </c>
      <c r="N966" s="1">
        <v>44629</v>
      </c>
      <c r="O966" t="s">
        <v>50</v>
      </c>
      <c r="P966" t="s">
        <v>34</v>
      </c>
      <c r="Q966">
        <v>2</v>
      </c>
    </row>
    <row r="967" spans="1:17" x14ac:dyDescent="0.35">
      <c r="A967" t="s">
        <v>2458</v>
      </c>
      <c r="B967" t="str">
        <f t="shared" si="25"/>
        <v>18-25</v>
      </c>
      <c r="C967">
        <v>23</v>
      </c>
      <c r="D967" t="s">
        <v>26</v>
      </c>
      <c r="E967" t="s">
        <v>51</v>
      </c>
      <c r="F967" t="s">
        <v>37</v>
      </c>
      <c r="G967" s="1">
        <v>45098</v>
      </c>
      <c r="H967" t="s">
        <v>2459</v>
      </c>
      <c r="I967" t="s">
        <v>2460</v>
      </c>
      <c r="J967" t="s">
        <v>59</v>
      </c>
      <c r="K967">
        <v>35435.875071456001</v>
      </c>
      <c r="L967">
        <v>363</v>
      </c>
      <c r="M967" t="s">
        <v>32</v>
      </c>
      <c r="N967" s="1">
        <v>45123</v>
      </c>
      <c r="O967" t="s">
        <v>33</v>
      </c>
      <c r="P967" t="s">
        <v>24</v>
      </c>
      <c r="Q967">
        <v>25</v>
      </c>
    </row>
    <row r="968" spans="1:17" x14ac:dyDescent="0.35">
      <c r="A968" t="s">
        <v>345</v>
      </c>
      <c r="B968" t="str">
        <f t="shared" si="25"/>
        <v>18-25</v>
      </c>
      <c r="C968">
        <v>21</v>
      </c>
      <c r="D968" t="s">
        <v>26</v>
      </c>
      <c r="E968" t="s">
        <v>65</v>
      </c>
      <c r="F968" t="s">
        <v>37</v>
      </c>
      <c r="G968" s="1">
        <v>44109</v>
      </c>
      <c r="H968" t="s">
        <v>346</v>
      </c>
      <c r="I968" t="s">
        <v>347</v>
      </c>
      <c r="J968" t="s">
        <v>21</v>
      </c>
      <c r="K968">
        <v>48379.062559042199</v>
      </c>
      <c r="L968">
        <v>335</v>
      </c>
      <c r="M968" t="s">
        <v>43</v>
      </c>
      <c r="N968" s="1">
        <v>44138</v>
      </c>
      <c r="O968" t="s">
        <v>23</v>
      </c>
      <c r="P968" t="s">
        <v>24</v>
      </c>
      <c r="Q968">
        <v>29</v>
      </c>
    </row>
    <row r="969" spans="1:17" x14ac:dyDescent="0.35">
      <c r="A969" t="s">
        <v>1606</v>
      </c>
      <c r="B969" t="str">
        <f t="shared" si="25"/>
        <v>76-85</v>
      </c>
      <c r="C969">
        <v>82</v>
      </c>
      <c r="D969" t="s">
        <v>26</v>
      </c>
      <c r="E969" t="s">
        <v>36</v>
      </c>
      <c r="F969" t="s">
        <v>37</v>
      </c>
      <c r="G969" s="1">
        <v>44304</v>
      </c>
      <c r="H969" t="s">
        <v>1607</v>
      </c>
      <c r="I969" t="s">
        <v>1608</v>
      </c>
      <c r="J969" t="s">
        <v>59</v>
      </c>
      <c r="K969">
        <v>11480.5080938622</v>
      </c>
      <c r="L969">
        <v>150</v>
      </c>
      <c r="M969" t="s">
        <v>22</v>
      </c>
      <c r="N969" s="1">
        <v>44322</v>
      </c>
      <c r="O969" t="s">
        <v>44</v>
      </c>
      <c r="P969" t="s">
        <v>34</v>
      </c>
      <c r="Q969">
        <v>18</v>
      </c>
    </row>
    <row r="970" spans="1:17" x14ac:dyDescent="0.35">
      <c r="A970" t="s">
        <v>1815</v>
      </c>
      <c r="B970" t="str">
        <f t="shared" si="25"/>
        <v>76-85</v>
      </c>
      <c r="C970">
        <v>84</v>
      </c>
      <c r="D970" t="s">
        <v>26</v>
      </c>
      <c r="E970" t="s">
        <v>36</v>
      </c>
      <c r="F970" t="s">
        <v>37</v>
      </c>
      <c r="G970" s="1">
        <v>44840</v>
      </c>
      <c r="H970" t="s">
        <v>1816</v>
      </c>
      <c r="I970" t="s">
        <v>1817</v>
      </c>
      <c r="J970" t="s">
        <v>59</v>
      </c>
      <c r="K970">
        <v>17325.665238130099</v>
      </c>
      <c r="L970">
        <v>356</v>
      </c>
      <c r="M970" t="s">
        <v>22</v>
      </c>
      <c r="N970" s="1">
        <v>44841</v>
      </c>
      <c r="O970" t="s">
        <v>33</v>
      </c>
      <c r="P970" t="s">
        <v>24</v>
      </c>
      <c r="Q970">
        <v>1</v>
      </c>
    </row>
    <row r="971" spans="1:17" x14ac:dyDescent="0.35">
      <c r="A971" t="s">
        <v>2024</v>
      </c>
      <c r="B971" t="str">
        <f t="shared" si="25"/>
        <v>66-75</v>
      </c>
      <c r="C971">
        <v>69</v>
      </c>
      <c r="D971" t="s">
        <v>26</v>
      </c>
      <c r="E971" t="s">
        <v>232</v>
      </c>
      <c r="F971" t="s">
        <v>37</v>
      </c>
      <c r="G971" s="1">
        <v>44135</v>
      </c>
      <c r="H971" t="s">
        <v>2025</v>
      </c>
      <c r="I971" t="s">
        <v>2026</v>
      </c>
      <c r="J971" t="s">
        <v>54</v>
      </c>
      <c r="K971">
        <v>19815.017938770099</v>
      </c>
      <c r="L971">
        <v>225</v>
      </c>
      <c r="M971" t="s">
        <v>32</v>
      </c>
      <c r="N971" s="1">
        <v>44146</v>
      </c>
      <c r="O971" t="s">
        <v>33</v>
      </c>
      <c r="P971" t="s">
        <v>24</v>
      </c>
      <c r="Q971">
        <v>11</v>
      </c>
    </row>
    <row r="972" spans="1:17" x14ac:dyDescent="0.35">
      <c r="A972" t="s">
        <v>855</v>
      </c>
      <c r="B972" t="str">
        <f t="shared" si="25"/>
        <v>26-35</v>
      </c>
      <c r="C972">
        <v>27</v>
      </c>
      <c r="D972" t="s">
        <v>16</v>
      </c>
      <c r="E972" t="s">
        <v>117</v>
      </c>
      <c r="F972" t="s">
        <v>37</v>
      </c>
      <c r="G972" s="1">
        <v>44458</v>
      </c>
      <c r="H972" t="s">
        <v>856</v>
      </c>
      <c r="I972" t="s">
        <v>182</v>
      </c>
      <c r="J972" t="s">
        <v>59</v>
      </c>
      <c r="K972">
        <v>37360.639585599703</v>
      </c>
      <c r="L972">
        <v>135</v>
      </c>
      <c r="M972" t="s">
        <v>22</v>
      </c>
      <c r="N972" s="1">
        <v>44468</v>
      </c>
      <c r="O972" t="s">
        <v>23</v>
      </c>
      <c r="P972" t="s">
        <v>34</v>
      </c>
      <c r="Q972">
        <v>10</v>
      </c>
    </row>
    <row r="973" spans="1:17" x14ac:dyDescent="0.35">
      <c r="A973" t="s">
        <v>2724</v>
      </c>
      <c r="B973" t="str">
        <f t="shared" si="25"/>
        <v>26-35</v>
      </c>
      <c r="C973">
        <v>29</v>
      </c>
      <c r="D973" t="s">
        <v>26</v>
      </c>
      <c r="E973" t="s">
        <v>27</v>
      </c>
      <c r="F973" t="s">
        <v>37</v>
      </c>
      <c r="G973" s="1">
        <v>45174</v>
      </c>
      <c r="H973" t="s">
        <v>2725</v>
      </c>
      <c r="I973" t="s">
        <v>2726</v>
      </c>
      <c r="J973" t="s">
        <v>59</v>
      </c>
      <c r="K973">
        <v>38216.130499696403</v>
      </c>
      <c r="L973">
        <v>394</v>
      </c>
      <c r="M973" t="s">
        <v>32</v>
      </c>
      <c r="N973" s="1">
        <v>45191</v>
      </c>
      <c r="O973" t="s">
        <v>33</v>
      </c>
      <c r="P973" t="s">
        <v>24</v>
      </c>
      <c r="Q973">
        <v>17</v>
      </c>
    </row>
    <row r="974" spans="1:17" x14ac:dyDescent="0.35">
      <c r="A974" t="s">
        <v>138</v>
      </c>
      <c r="B974" t="str">
        <f t="shared" si="25"/>
        <v>76-85</v>
      </c>
      <c r="C974">
        <v>81</v>
      </c>
      <c r="D974" t="s">
        <v>26</v>
      </c>
      <c r="E974" t="s">
        <v>92</v>
      </c>
      <c r="F974" t="s">
        <v>37</v>
      </c>
      <c r="G974" s="1">
        <v>45116</v>
      </c>
      <c r="H974" t="s">
        <v>139</v>
      </c>
      <c r="I974" t="s">
        <v>140</v>
      </c>
      <c r="J974" t="s">
        <v>63</v>
      </c>
      <c r="K974">
        <v>21001.274872832098</v>
      </c>
      <c r="L974">
        <v>197</v>
      </c>
      <c r="M974" t="s">
        <v>32</v>
      </c>
      <c r="N974" s="1">
        <v>45124</v>
      </c>
      <c r="O974" t="s">
        <v>33</v>
      </c>
      <c r="P974" t="s">
        <v>34</v>
      </c>
      <c r="Q974">
        <v>8</v>
      </c>
    </row>
    <row r="975" spans="1:17" x14ac:dyDescent="0.35">
      <c r="A975" t="s">
        <v>369</v>
      </c>
      <c r="B975" t="str">
        <f t="shared" si="25"/>
        <v>36-45</v>
      </c>
      <c r="C975">
        <v>37</v>
      </c>
      <c r="D975" t="s">
        <v>16</v>
      </c>
      <c r="E975" t="s">
        <v>27</v>
      </c>
      <c r="F975" t="s">
        <v>37</v>
      </c>
      <c r="G975" s="1">
        <v>44987</v>
      </c>
      <c r="H975" t="s">
        <v>370</v>
      </c>
      <c r="I975" t="s">
        <v>371</v>
      </c>
      <c r="J975" t="s">
        <v>31</v>
      </c>
      <c r="K975">
        <v>36379.947147434301</v>
      </c>
      <c r="L975">
        <v>181</v>
      </c>
      <c r="M975" t="s">
        <v>32</v>
      </c>
      <c r="N975" s="1">
        <v>45012</v>
      </c>
      <c r="O975" t="s">
        <v>87</v>
      </c>
      <c r="P975" t="s">
        <v>45</v>
      </c>
      <c r="Q975">
        <v>25</v>
      </c>
    </row>
    <row r="976" spans="1:17" x14ac:dyDescent="0.35">
      <c r="A976" t="s">
        <v>563</v>
      </c>
      <c r="B976" t="str">
        <f t="shared" si="25"/>
        <v>66-75</v>
      </c>
      <c r="C976">
        <v>75</v>
      </c>
      <c r="D976" t="s">
        <v>26</v>
      </c>
      <c r="E976" t="s">
        <v>17</v>
      </c>
      <c r="F976" t="s">
        <v>37</v>
      </c>
      <c r="G976" s="1">
        <v>43603</v>
      </c>
      <c r="H976" t="s">
        <v>564</v>
      </c>
      <c r="I976" t="s">
        <v>565</v>
      </c>
      <c r="J976" t="s">
        <v>54</v>
      </c>
      <c r="K976">
        <v>48782.8563156624</v>
      </c>
      <c r="L976">
        <v>452</v>
      </c>
      <c r="M976" t="s">
        <v>32</v>
      </c>
      <c r="N976" s="1">
        <v>43616</v>
      </c>
      <c r="O976" t="s">
        <v>33</v>
      </c>
      <c r="P976" t="s">
        <v>34</v>
      </c>
      <c r="Q976">
        <v>13</v>
      </c>
    </row>
    <row r="977" spans="1:17" x14ac:dyDescent="0.35">
      <c r="A977" t="s">
        <v>872</v>
      </c>
      <c r="B977" t="str">
        <f t="shared" si="25"/>
        <v>26-35</v>
      </c>
      <c r="C977">
        <v>34</v>
      </c>
      <c r="D977" t="s">
        <v>16</v>
      </c>
      <c r="E977" t="s">
        <v>51</v>
      </c>
      <c r="F977" t="s">
        <v>37</v>
      </c>
      <c r="G977" s="1">
        <v>44714</v>
      </c>
      <c r="H977" t="s">
        <v>873</v>
      </c>
      <c r="I977" t="s">
        <v>874</v>
      </c>
      <c r="J977" t="s">
        <v>63</v>
      </c>
      <c r="K977">
        <v>1939.31910216341</v>
      </c>
      <c r="L977">
        <v>454</v>
      </c>
      <c r="M977" t="s">
        <v>22</v>
      </c>
      <c r="N977" s="1">
        <v>44730</v>
      </c>
      <c r="O977" t="s">
        <v>50</v>
      </c>
      <c r="P977" t="s">
        <v>34</v>
      </c>
      <c r="Q977">
        <v>16</v>
      </c>
    </row>
    <row r="978" spans="1:17" x14ac:dyDescent="0.35">
      <c r="A978" t="s">
        <v>2242</v>
      </c>
      <c r="B978" t="str">
        <f t="shared" si="25"/>
        <v>36-45</v>
      </c>
      <c r="C978">
        <v>44</v>
      </c>
      <c r="D978" t="s">
        <v>26</v>
      </c>
      <c r="E978" t="s">
        <v>92</v>
      </c>
      <c r="F978" t="s">
        <v>37</v>
      </c>
      <c r="G978" s="1">
        <v>44780</v>
      </c>
      <c r="H978" t="s">
        <v>2243</v>
      </c>
      <c r="I978" t="s">
        <v>2244</v>
      </c>
      <c r="J978" t="s">
        <v>59</v>
      </c>
      <c r="K978">
        <v>46411.598052508103</v>
      </c>
      <c r="L978">
        <v>299</v>
      </c>
      <c r="M978" t="s">
        <v>22</v>
      </c>
      <c r="N978" s="1">
        <v>44806</v>
      </c>
      <c r="O978" t="s">
        <v>50</v>
      </c>
      <c r="P978" t="s">
        <v>45</v>
      </c>
      <c r="Q978">
        <v>26</v>
      </c>
    </row>
    <row r="979" spans="1:17" x14ac:dyDescent="0.35">
      <c r="A979" t="s">
        <v>2732</v>
      </c>
      <c r="B979" t="str">
        <f t="shared" si="25"/>
        <v>36-45</v>
      </c>
      <c r="C979">
        <v>41</v>
      </c>
      <c r="D979" t="s">
        <v>16</v>
      </c>
      <c r="E979" t="s">
        <v>51</v>
      </c>
      <c r="F979" t="s">
        <v>37</v>
      </c>
      <c r="G979" s="1">
        <v>45173</v>
      </c>
      <c r="H979" t="s">
        <v>2733</v>
      </c>
      <c r="I979" t="s">
        <v>2734</v>
      </c>
      <c r="J979" t="s">
        <v>59</v>
      </c>
      <c r="K979">
        <v>41477.444808396896</v>
      </c>
      <c r="L979">
        <v>102</v>
      </c>
      <c r="M979" t="s">
        <v>22</v>
      </c>
      <c r="N979" s="1">
        <v>45190</v>
      </c>
      <c r="O979" t="s">
        <v>23</v>
      </c>
      <c r="P979" t="s">
        <v>34</v>
      </c>
      <c r="Q979">
        <v>17</v>
      </c>
    </row>
    <row r="980" spans="1:17" x14ac:dyDescent="0.35">
      <c r="A980" t="s">
        <v>646</v>
      </c>
      <c r="B980" t="str">
        <f t="shared" ref="B980:B1000" si="26">VLOOKUP(C980,$T$3:$U$9,2,TRUE)</f>
        <v>66-75</v>
      </c>
      <c r="C980">
        <v>73</v>
      </c>
      <c r="D980" t="s">
        <v>26</v>
      </c>
      <c r="E980" t="s">
        <v>17</v>
      </c>
      <c r="F980" t="s">
        <v>37</v>
      </c>
      <c r="G980" s="1">
        <v>43667</v>
      </c>
      <c r="H980" t="s">
        <v>647</v>
      </c>
      <c r="I980" t="s">
        <v>648</v>
      </c>
      <c r="J980" t="s">
        <v>63</v>
      </c>
      <c r="K980">
        <v>48659.5988317909</v>
      </c>
      <c r="L980">
        <v>108</v>
      </c>
      <c r="M980" t="s">
        <v>43</v>
      </c>
      <c r="N980" s="1">
        <v>43687</v>
      </c>
      <c r="O980" t="s">
        <v>33</v>
      </c>
      <c r="P980" t="s">
        <v>34</v>
      </c>
      <c r="Q980">
        <v>20</v>
      </c>
    </row>
    <row r="981" spans="1:17" x14ac:dyDescent="0.35">
      <c r="A981" t="s">
        <v>1794</v>
      </c>
      <c r="B981" t="str">
        <f t="shared" si="26"/>
        <v>76-85</v>
      </c>
      <c r="C981">
        <v>84</v>
      </c>
      <c r="D981" t="s">
        <v>26</v>
      </c>
      <c r="E981" t="s">
        <v>17</v>
      </c>
      <c r="F981" t="s">
        <v>37</v>
      </c>
      <c r="G981" s="1">
        <v>44430</v>
      </c>
      <c r="H981" t="s">
        <v>1795</v>
      </c>
      <c r="I981" t="s">
        <v>1796</v>
      </c>
      <c r="J981" t="s">
        <v>59</v>
      </c>
      <c r="K981">
        <v>4430.9357578915296</v>
      </c>
      <c r="L981">
        <v>283</v>
      </c>
      <c r="M981" t="s">
        <v>43</v>
      </c>
      <c r="N981" s="1">
        <v>44451</v>
      </c>
      <c r="O981" t="s">
        <v>50</v>
      </c>
      <c r="P981" t="s">
        <v>45</v>
      </c>
      <c r="Q981">
        <v>21</v>
      </c>
    </row>
    <row r="982" spans="1:17" x14ac:dyDescent="0.35">
      <c r="A982" t="s">
        <v>2148</v>
      </c>
      <c r="B982" t="str">
        <f t="shared" si="26"/>
        <v>36-45</v>
      </c>
      <c r="C982">
        <v>37</v>
      </c>
      <c r="D982" t="s">
        <v>26</v>
      </c>
      <c r="E982" t="s">
        <v>92</v>
      </c>
      <c r="F982" t="s">
        <v>37</v>
      </c>
      <c r="G982" s="1">
        <v>44646</v>
      </c>
      <c r="H982" t="s">
        <v>2149</v>
      </c>
      <c r="I982" t="s">
        <v>2150</v>
      </c>
      <c r="J982" t="s">
        <v>59</v>
      </c>
      <c r="K982">
        <v>27726.725877822901</v>
      </c>
      <c r="L982">
        <v>313</v>
      </c>
      <c r="M982" t="s">
        <v>22</v>
      </c>
      <c r="N982" s="1">
        <v>44674</v>
      </c>
      <c r="O982" t="s">
        <v>23</v>
      </c>
      <c r="P982" t="s">
        <v>45</v>
      </c>
      <c r="Q982">
        <v>28</v>
      </c>
    </row>
    <row r="983" spans="1:17" x14ac:dyDescent="0.35">
      <c r="A983" t="s">
        <v>1966</v>
      </c>
      <c r="B983" t="str">
        <f t="shared" si="26"/>
        <v>46-55</v>
      </c>
      <c r="C983">
        <v>48</v>
      </c>
      <c r="D983" t="s">
        <v>26</v>
      </c>
      <c r="E983" t="s">
        <v>51</v>
      </c>
      <c r="F983" t="s">
        <v>37</v>
      </c>
      <c r="G983" s="1">
        <v>43425</v>
      </c>
      <c r="H983" t="s">
        <v>1967</v>
      </c>
      <c r="I983" t="s">
        <v>1968</v>
      </c>
      <c r="J983" t="s">
        <v>59</v>
      </c>
      <c r="K983">
        <v>35824.277183371298</v>
      </c>
      <c r="L983">
        <v>147</v>
      </c>
      <c r="M983" t="s">
        <v>32</v>
      </c>
      <c r="N983" s="1">
        <v>43451</v>
      </c>
      <c r="O983" t="s">
        <v>50</v>
      </c>
      <c r="P983" t="s">
        <v>45</v>
      </c>
      <c r="Q983">
        <v>26</v>
      </c>
    </row>
    <row r="984" spans="1:17" x14ac:dyDescent="0.35">
      <c r="A984" t="s">
        <v>2777</v>
      </c>
      <c r="B984" t="str">
        <f t="shared" si="26"/>
        <v>36-45</v>
      </c>
      <c r="C984">
        <v>39</v>
      </c>
      <c r="D984" t="s">
        <v>26</v>
      </c>
      <c r="E984" t="s">
        <v>36</v>
      </c>
      <c r="F984" t="s">
        <v>37</v>
      </c>
      <c r="G984" s="1">
        <v>43529</v>
      </c>
      <c r="H984" t="s">
        <v>2778</v>
      </c>
      <c r="I984" t="s">
        <v>2779</v>
      </c>
      <c r="J984" t="s">
        <v>31</v>
      </c>
      <c r="K984">
        <v>22508.974337063901</v>
      </c>
      <c r="L984">
        <v>453</v>
      </c>
      <c r="M984" t="s">
        <v>32</v>
      </c>
      <c r="N984" s="1">
        <v>43531</v>
      </c>
      <c r="O984" t="s">
        <v>50</v>
      </c>
      <c r="P984" t="s">
        <v>34</v>
      </c>
      <c r="Q984">
        <v>2</v>
      </c>
    </row>
    <row r="985" spans="1:17" x14ac:dyDescent="0.35">
      <c r="A985" t="s">
        <v>694</v>
      </c>
      <c r="B985" t="str">
        <f t="shared" si="26"/>
        <v>46-55</v>
      </c>
      <c r="C985">
        <v>54</v>
      </c>
      <c r="D985" t="s">
        <v>26</v>
      </c>
      <c r="E985" t="s">
        <v>65</v>
      </c>
      <c r="F985" t="s">
        <v>37</v>
      </c>
      <c r="G985" s="1">
        <v>44498</v>
      </c>
      <c r="H985" t="s">
        <v>695</v>
      </c>
      <c r="I985" t="s">
        <v>696</v>
      </c>
      <c r="J985" t="s">
        <v>54</v>
      </c>
      <c r="K985">
        <v>12586.402694767599</v>
      </c>
      <c r="L985">
        <v>440</v>
      </c>
      <c r="M985" t="s">
        <v>22</v>
      </c>
      <c r="N985" s="1">
        <v>44512</v>
      </c>
      <c r="O985" t="s">
        <v>44</v>
      </c>
      <c r="P985" t="s">
        <v>24</v>
      </c>
      <c r="Q985">
        <v>14</v>
      </c>
    </row>
    <row r="986" spans="1:17" x14ac:dyDescent="0.35">
      <c r="A986" t="s">
        <v>2151</v>
      </c>
      <c r="B986" t="str">
        <f t="shared" si="26"/>
        <v>26-35</v>
      </c>
      <c r="C986">
        <v>26</v>
      </c>
      <c r="D986" t="s">
        <v>26</v>
      </c>
      <c r="E986" t="s">
        <v>92</v>
      </c>
      <c r="F986" t="s">
        <v>37</v>
      </c>
      <c r="G986" s="1">
        <v>43654</v>
      </c>
      <c r="H986" t="s">
        <v>2152</v>
      </c>
      <c r="I986" t="s">
        <v>2153</v>
      </c>
      <c r="J986" t="s">
        <v>63</v>
      </c>
      <c r="K986">
        <v>34328.250210011698</v>
      </c>
      <c r="L986">
        <v>313</v>
      </c>
      <c r="M986" t="s">
        <v>32</v>
      </c>
      <c r="N986" s="1">
        <v>43664</v>
      </c>
      <c r="O986" t="s">
        <v>33</v>
      </c>
      <c r="P986" t="s">
        <v>45</v>
      </c>
      <c r="Q986">
        <v>10</v>
      </c>
    </row>
    <row r="987" spans="1:17" x14ac:dyDescent="0.35">
      <c r="A987" t="s">
        <v>2664</v>
      </c>
      <c r="B987" t="str">
        <f t="shared" si="26"/>
        <v>36-45</v>
      </c>
      <c r="C987">
        <v>37</v>
      </c>
      <c r="D987" t="s">
        <v>16</v>
      </c>
      <c r="E987" t="s">
        <v>117</v>
      </c>
      <c r="F987" t="s">
        <v>37</v>
      </c>
      <c r="G987" s="1">
        <v>43642</v>
      </c>
      <c r="H987" t="s">
        <v>2665</v>
      </c>
      <c r="I987" t="s">
        <v>2666</v>
      </c>
      <c r="J987" t="s">
        <v>63</v>
      </c>
      <c r="K987">
        <v>25974.552828002899</v>
      </c>
      <c r="L987">
        <v>317</v>
      </c>
      <c r="M987" t="s">
        <v>22</v>
      </c>
      <c r="N987" s="1">
        <v>43651</v>
      </c>
      <c r="O987" t="s">
        <v>44</v>
      </c>
      <c r="P987" t="s">
        <v>24</v>
      </c>
      <c r="Q987">
        <v>9</v>
      </c>
    </row>
    <row r="988" spans="1:17" x14ac:dyDescent="0.35">
      <c r="A988" t="s">
        <v>160</v>
      </c>
      <c r="B988" t="str">
        <f t="shared" si="26"/>
        <v>36-45</v>
      </c>
      <c r="C988">
        <v>45</v>
      </c>
      <c r="D988" t="s">
        <v>26</v>
      </c>
      <c r="E988" t="s">
        <v>65</v>
      </c>
      <c r="F988" t="s">
        <v>37</v>
      </c>
      <c r="G988" s="1">
        <v>44634</v>
      </c>
      <c r="H988" t="s">
        <v>2286</v>
      </c>
      <c r="I988" t="s">
        <v>2287</v>
      </c>
      <c r="J988" t="s">
        <v>59</v>
      </c>
      <c r="K988">
        <v>27639.326063183002</v>
      </c>
      <c r="L988">
        <v>162</v>
      </c>
      <c r="M988" t="s">
        <v>22</v>
      </c>
      <c r="N988" s="1">
        <v>44647</v>
      </c>
      <c r="O988" t="s">
        <v>50</v>
      </c>
      <c r="P988" t="s">
        <v>45</v>
      </c>
      <c r="Q988">
        <v>13</v>
      </c>
    </row>
    <row r="989" spans="1:17" x14ac:dyDescent="0.35">
      <c r="A989" t="s">
        <v>2142</v>
      </c>
      <c r="B989" t="str">
        <f t="shared" si="26"/>
        <v>76-85</v>
      </c>
      <c r="C989">
        <v>80</v>
      </c>
      <c r="D989" t="s">
        <v>26</v>
      </c>
      <c r="E989" t="s">
        <v>92</v>
      </c>
      <c r="F989" t="s">
        <v>37</v>
      </c>
      <c r="G989" s="1">
        <v>44497</v>
      </c>
      <c r="H989" t="s">
        <v>2143</v>
      </c>
      <c r="I989" t="s">
        <v>2144</v>
      </c>
      <c r="J989" t="s">
        <v>31</v>
      </c>
      <c r="K989">
        <v>39053.622943805603</v>
      </c>
      <c r="L989">
        <v>481</v>
      </c>
      <c r="M989" t="s">
        <v>22</v>
      </c>
      <c r="N989" s="1">
        <v>44504</v>
      </c>
      <c r="O989" t="s">
        <v>87</v>
      </c>
      <c r="P989" t="s">
        <v>45</v>
      </c>
      <c r="Q989">
        <v>7</v>
      </c>
    </row>
    <row r="990" spans="1:17" x14ac:dyDescent="0.35">
      <c r="A990" t="s">
        <v>1833</v>
      </c>
      <c r="B990" t="str">
        <f t="shared" si="26"/>
        <v>18-25</v>
      </c>
      <c r="C990">
        <v>22</v>
      </c>
      <c r="D990" t="s">
        <v>26</v>
      </c>
      <c r="E990" t="s">
        <v>27</v>
      </c>
      <c r="F990" t="s">
        <v>37</v>
      </c>
      <c r="G990" s="1">
        <v>43694</v>
      </c>
      <c r="H990" t="s">
        <v>1834</v>
      </c>
      <c r="I990" t="s">
        <v>1835</v>
      </c>
      <c r="J990" t="s">
        <v>63</v>
      </c>
      <c r="K990">
        <v>25943.140950768699</v>
      </c>
      <c r="L990">
        <v>386</v>
      </c>
      <c r="M990" t="s">
        <v>43</v>
      </c>
      <c r="N990" s="1">
        <v>43707</v>
      </c>
      <c r="O990" t="s">
        <v>87</v>
      </c>
      <c r="P990" t="s">
        <v>34</v>
      </c>
      <c r="Q990">
        <v>13</v>
      </c>
    </row>
    <row r="991" spans="1:17" x14ac:dyDescent="0.35">
      <c r="A991" t="s">
        <v>1507</v>
      </c>
      <c r="B991" t="str">
        <f t="shared" si="26"/>
        <v>76-85</v>
      </c>
      <c r="C991">
        <v>81</v>
      </c>
      <c r="D991" t="s">
        <v>26</v>
      </c>
      <c r="E991" t="s">
        <v>17</v>
      </c>
      <c r="F991" t="s">
        <v>37</v>
      </c>
      <c r="G991" s="1">
        <v>44537</v>
      </c>
      <c r="H991" t="s">
        <v>1508</v>
      </c>
      <c r="I991" t="s">
        <v>1509</v>
      </c>
      <c r="J991" t="s">
        <v>59</v>
      </c>
      <c r="K991">
        <v>24931.510709500799</v>
      </c>
      <c r="L991">
        <v>129</v>
      </c>
      <c r="M991" t="s">
        <v>43</v>
      </c>
      <c r="N991" s="1">
        <v>44555</v>
      </c>
      <c r="O991" t="s">
        <v>44</v>
      </c>
      <c r="P991" t="s">
        <v>34</v>
      </c>
      <c r="Q991">
        <v>18</v>
      </c>
    </row>
    <row r="992" spans="1:17" x14ac:dyDescent="0.35">
      <c r="A992" t="s">
        <v>1340</v>
      </c>
      <c r="B992" t="str">
        <f t="shared" si="26"/>
        <v>46-55</v>
      </c>
      <c r="C992">
        <v>53</v>
      </c>
      <c r="D992" t="s">
        <v>16</v>
      </c>
      <c r="E992" t="s">
        <v>92</v>
      </c>
      <c r="F992" t="s">
        <v>37</v>
      </c>
      <c r="G992" s="1">
        <v>44144</v>
      </c>
      <c r="H992" t="s">
        <v>1341</v>
      </c>
      <c r="I992" t="s">
        <v>1342</v>
      </c>
      <c r="J992" t="s">
        <v>59</v>
      </c>
      <c r="K992">
        <v>33919.881462226003</v>
      </c>
      <c r="L992">
        <v>153</v>
      </c>
      <c r="M992" t="s">
        <v>22</v>
      </c>
      <c r="N992" s="1">
        <v>44152</v>
      </c>
      <c r="O992" t="s">
        <v>50</v>
      </c>
      <c r="P992" t="s">
        <v>45</v>
      </c>
      <c r="Q992">
        <v>8</v>
      </c>
    </row>
    <row r="993" spans="1:17" x14ac:dyDescent="0.35">
      <c r="A993" t="s">
        <v>905</v>
      </c>
      <c r="B993" t="str">
        <f t="shared" si="26"/>
        <v>46-55</v>
      </c>
      <c r="C993">
        <v>54</v>
      </c>
      <c r="D993" t="s">
        <v>16</v>
      </c>
      <c r="E993" t="s">
        <v>65</v>
      </c>
      <c r="F993" t="s">
        <v>37</v>
      </c>
      <c r="G993" s="1">
        <v>43982</v>
      </c>
      <c r="H993" t="s">
        <v>906</v>
      </c>
      <c r="I993" t="s">
        <v>907</v>
      </c>
      <c r="J993" t="s">
        <v>21</v>
      </c>
      <c r="K993">
        <v>20699.8134361507</v>
      </c>
      <c r="L993">
        <v>218</v>
      </c>
      <c r="M993" t="s">
        <v>22</v>
      </c>
      <c r="N993" s="1">
        <v>43999</v>
      </c>
      <c r="O993" t="s">
        <v>50</v>
      </c>
      <c r="P993" t="s">
        <v>24</v>
      </c>
      <c r="Q993">
        <v>17</v>
      </c>
    </row>
    <row r="994" spans="1:17" x14ac:dyDescent="0.35">
      <c r="A994" t="s">
        <v>2521</v>
      </c>
      <c r="B994" t="str">
        <f t="shared" si="26"/>
        <v>26-35</v>
      </c>
      <c r="C994">
        <v>26</v>
      </c>
      <c r="D994" t="s">
        <v>26</v>
      </c>
      <c r="E994" t="s">
        <v>92</v>
      </c>
      <c r="F994" t="s">
        <v>37</v>
      </c>
      <c r="G994" s="1">
        <v>44636</v>
      </c>
      <c r="H994" t="s">
        <v>2522</v>
      </c>
      <c r="I994" t="s">
        <v>2523</v>
      </c>
      <c r="J994" t="s">
        <v>63</v>
      </c>
      <c r="K994">
        <v>32000.195853033099</v>
      </c>
      <c r="L994">
        <v>292</v>
      </c>
      <c r="M994" t="s">
        <v>32</v>
      </c>
      <c r="N994" s="1">
        <v>44651</v>
      </c>
      <c r="O994" t="s">
        <v>33</v>
      </c>
      <c r="P994" t="s">
        <v>34</v>
      </c>
      <c r="Q994">
        <v>15</v>
      </c>
    </row>
    <row r="995" spans="1:17" x14ac:dyDescent="0.35">
      <c r="A995" t="s">
        <v>599</v>
      </c>
      <c r="B995" t="str">
        <f t="shared" si="26"/>
        <v>36-45</v>
      </c>
      <c r="C995">
        <v>45</v>
      </c>
      <c r="D995" t="s">
        <v>16</v>
      </c>
      <c r="E995" t="s">
        <v>65</v>
      </c>
      <c r="F995" t="s">
        <v>37</v>
      </c>
      <c r="G995" s="1">
        <v>45078</v>
      </c>
      <c r="H995" t="s">
        <v>600</v>
      </c>
      <c r="I995" t="s">
        <v>601</v>
      </c>
      <c r="J995" t="s">
        <v>21</v>
      </c>
      <c r="K995">
        <v>14876.215477845801</v>
      </c>
      <c r="L995">
        <v>162</v>
      </c>
      <c r="M995" t="s">
        <v>32</v>
      </c>
      <c r="N995" s="1">
        <v>45090</v>
      </c>
      <c r="O995" t="s">
        <v>33</v>
      </c>
      <c r="P995" t="s">
        <v>45</v>
      </c>
      <c r="Q995">
        <v>12</v>
      </c>
    </row>
    <row r="996" spans="1:17" x14ac:dyDescent="0.35">
      <c r="A996" t="s">
        <v>1417</v>
      </c>
      <c r="B996" t="str">
        <f t="shared" si="26"/>
        <v>18-25</v>
      </c>
      <c r="C996">
        <v>20</v>
      </c>
      <c r="D996" t="s">
        <v>16</v>
      </c>
      <c r="E996" t="s">
        <v>27</v>
      </c>
      <c r="F996" t="s">
        <v>37</v>
      </c>
      <c r="G996" s="1">
        <v>43511</v>
      </c>
      <c r="H996" t="s">
        <v>1418</v>
      </c>
      <c r="I996" t="s">
        <v>1419</v>
      </c>
      <c r="J996" t="s">
        <v>63</v>
      </c>
      <c r="K996">
        <v>41665.423598671499</v>
      </c>
      <c r="L996">
        <v>146</v>
      </c>
      <c r="M996" t="s">
        <v>22</v>
      </c>
      <c r="N996" s="1">
        <v>43535</v>
      </c>
      <c r="O996" t="s">
        <v>44</v>
      </c>
      <c r="P996" t="s">
        <v>24</v>
      </c>
      <c r="Q996">
        <v>24</v>
      </c>
    </row>
    <row r="997" spans="1:17" x14ac:dyDescent="0.35">
      <c r="A997" t="s">
        <v>2851</v>
      </c>
      <c r="B997" t="str">
        <f t="shared" si="26"/>
        <v>26-35</v>
      </c>
      <c r="C997">
        <v>31</v>
      </c>
      <c r="D997" t="s">
        <v>16</v>
      </c>
      <c r="E997" t="s">
        <v>27</v>
      </c>
      <c r="F997" t="s">
        <v>37</v>
      </c>
      <c r="G997" s="1">
        <v>44284</v>
      </c>
      <c r="H997" t="s">
        <v>2852</v>
      </c>
      <c r="I997" t="s">
        <v>2853</v>
      </c>
      <c r="J997" t="s">
        <v>54</v>
      </c>
      <c r="K997">
        <v>44765.716751287102</v>
      </c>
      <c r="L997">
        <v>437</v>
      </c>
      <c r="M997" t="s">
        <v>22</v>
      </c>
      <c r="N997" s="1">
        <v>44288</v>
      </c>
      <c r="O997" t="s">
        <v>87</v>
      </c>
      <c r="P997" t="s">
        <v>45</v>
      </c>
      <c r="Q997">
        <v>4</v>
      </c>
    </row>
    <row r="998" spans="1:17" x14ac:dyDescent="0.35">
      <c r="A998" t="s">
        <v>2251</v>
      </c>
      <c r="B998" t="str">
        <f t="shared" si="26"/>
        <v>76-85</v>
      </c>
      <c r="C998">
        <v>78</v>
      </c>
      <c r="D998" t="s">
        <v>26</v>
      </c>
      <c r="E998" t="s">
        <v>51</v>
      </c>
      <c r="F998" t="s">
        <v>37</v>
      </c>
      <c r="G998" s="1">
        <v>44725</v>
      </c>
      <c r="H998" t="s">
        <v>2252</v>
      </c>
      <c r="I998" t="s">
        <v>2253</v>
      </c>
      <c r="J998" t="s">
        <v>63</v>
      </c>
      <c r="K998">
        <v>38597.001678769098</v>
      </c>
      <c r="L998">
        <v>136</v>
      </c>
      <c r="M998" t="s">
        <v>43</v>
      </c>
      <c r="N998" s="1">
        <v>44727</v>
      </c>
      <c r="O998" t="s">
        <v>23</v>
      </c>
      <c r="P998" t="s">
        <v>45</v>
      </c>
      <c r="Q998">
        <v>2</v>
      </c>
    </row>
    <row r="999" spans="1:17" x14ac:dyDescent="0.35">
      <c r="A999" t="s">
        <v>1674</v>
      </c>
      <c r="B999" t="str">
        <f t="shared" si="26"/>
        <v>26-35</v>
      </c>
      <c r="C999">
        <v>32</v>
      </c>
      <c r="D999" t="s">
        <v>16</v>
      </c>
      <c r="E999" t="s">
        <v>36</v>
      </c>
      <c r="F999" t="s">
        <v>37</v>
      </c>
      <c r="G999" s="1">
        <v>45135</v>
      </c>
      <c r="H999" t="s">
        <v>1675</v>
      </c>
      <c r="I999" t="s">
        <v>1676</v>
      </c>
      <c r="J999" t="s">
        <v>59</v>
      </c>
      <c r="K999">
        <v>13566.273821021499</v>
      </c>
      <c r="L999">
        <v>370</v>
      </c>
      <c r="M999" t="s">
        <v>43</v>
      </c>
      <c r="N999" s="1">
        <v>45140</v>
      </c>
      <c r="O999" t="s">
        <v>50</v>
      </c>
      <c r="P999" t="s">
        <v>24</v>
      </c>
      <c r="Q999">
        <v>5</v>
      </c>
    </row>
    <row r="1000" spans="1:17" x14ac:dyDescent="0.35">
      <c r="A1000" t="s">
        <v>2973</v>
      </c>
      <c r="B1000" t="str">
        <f t="shared" si="26"/>
        <v>66-75</v>
      </c>
      <c r="C1000">
        <v>75</v>
      </c>
      <c r="D1000" t="s">
        <v>16</v>
      </c>
      <c r="E1000" t="s">
        <v>232</v>
      </c>
      <c r="F1000" t="s">
        <v>37</v>
      </c>
      <c r="G1000" s="1">
        <v>43865</v>
      </c>
      <c r="H1000" t="s">
        <v>2974</v>
      </c>
      <c r="I1000" t="s">
        <v>2975</v>
      </c>
      <c r="J1000" t="s">
        <v>63</v>
      </c>
      <c r="K1000">
        <v>47549.050864579098</v>
      </c>
      <c r="L1000">
        <v>418</v>
      </c>
      <c r="M1000" t="s">
        <v>32</v>
      </c>
      <c r="N1000" s="1">
        <v>43867</v>
      </c>
      <c r="O1000" t="s">
        <v>23</v>
      </c>
      <c r="P1000" t="s">
        <v>24</v>
      </c>
      <c r="Q1000">
        <v>2</v>
      </c>
    </row>
    <row r="1001" spans="1:17" x14ac:dyDescent="0.35">
      <c r="A1001">
        <f>COUNTA($A$2:$A$1000)</f>
        <v>999</v>
      </c>
      <c r="C1001">
        <f>SUM(C2:C1000)</f>
        <v>52510</v>
      </c>
      <c r="G1001" s="1"/>
      <c r="I1001">
        <f>COUNTA($I$2:$I$1000)</f>
        <v>999</v>
      </c>
      <c r="N1001" s="1"/>
    </row>
    <row r="1002" spans="1:17" x14ac:dyDescent="0.35">
      <c r="G1002" s="1"/>
      <c r="N1002" s="1"/>
    </row>
    <row r="1003" spans="1:17" x14ac:dyDescent="0.35">
      <c r="G1003" s="1"/>
      <c r="N1003" s="1"/>
    </row>
    <row r="1004" spans="1:17" x14ac:dyDescent="0.35">
      <c r="G1004" s="1"/>
      <c r="N1004" s="1"/>
    </row>
    <row r="1005" spans="1:17" x14ac:dyDescent="0.35">
      <c r="G1005" s="1"/>
      <c r="N1005" s="1"/>
    </row>
    <row r="1006" spans="1:17" x14ac:dyDescent="0.35">
      <c r="G1006" s="1"/>
      <c r="N1006" s="1"/>
    </row>
    <row r="1007" spans="1:17" x14ac:dyDescent="0.35">
      <c r="G1007" s="1"/>
      <c r="N1007" s="1"/>
    </row>
    <row r="1008" spans="1:17" x14ac:dyDescent="0.35">
      <c r="G1008" s="1"/>
      <c r="N1008" s="1"/>
    </row>
    <row r="1009" spans="7:14" x14ac:dyDescent="0.35">
      <c r="G1009" s="1"/>
      <c r="N1009" s="1"/>
    </row>
    <row r="1010" spans="7:14" x14ac:dyDescent="0.35">
      <c r="G1010" s="1"/>
      <c r="N1010" s="1"/>
    </row>
    <row r="1011" spans="7:14" x14ac:dyDescent="0.35">
      <c r="G1011" s="1"/>
      <c r="N1011" s="1"/>
    </row>
    <row r="1012" spans="7:14" x14ac:dyDescent="0.35">
      <c r="G1012" s="1"/>
      <c r="N1012" s="1"/>
    </row>
    <row r="1013" spans="7:14" x14ac:dyDescent="0.35">
      <c r="G1013" s="1"/>
      <c r="N1013" s="1"/>
    </row>
    <row r="1014" spans="7:14" x14ac:dyDescent="0.35">
      <c r="G1014" s="1"/>
      <c r="N1014" s="1"/>
    </row>
    <row r="1015" spans="7:14" x14ac:dyDescent="0.35">
      <c r="G1015" s="1"/>
      <c r="N1015" s="1"/>
    </row>
    <row r="1016" spans="7:14" x14ac:dyDescent="0.35">
      <c r="G1016" s="1"/>
      <c r="N1016" s="1"/>
    </row>
    <row r="1017" spans="7:14" x14ac:dyDescent="0.35">
      <c r="G1017" s="1"/>
      <c r="N1017" s="1"/>
    </row>
    <row r="1018" spans="7:14" x14ac:dyDescent="0.35">
      <c r="G1018" s="1"/>
      <c r="N1018" s="1"/>
    </row>
    <row r="1019" spans="7:14" x14ac:dyDescent="0.35">
      <c r="G1019" s="1"/>
      <c r="N1019" s="1"/>
    </row>
    <row r="1020" spans="7:14" x14ac:dyDescent="0.35">
      <c r="G1020" s="1"/>
      <c r="N1020" s="1"/>
    </row>
    <row r="1021" spans="7:14" x14ac:dyDescent="0.35">
      <c r="G1021" s="1"/>
      <c r="N1021" s="1"/>
    </row>
    <row r="1022" spans="7:14" x14ac:dyDescent="0.35">
      <c r="G1022" s="1"/>
      <c r="N1022" s="1"/>
    </row>
    <row r="1023" spans="7:14" x14ac:dyDescent="0.35">
      <c r="G1023" s="1"/>
      <c r="N1023" s="1"/>
    </row>
    <row r="1024" spans="7:14" x14ac:dyDescent="0.35">
      <c r="G1024" s="1"/>
      <c r="N1024" s="1"/>
    </row>
    <row r="1025" spans="7:14" x14ac:dyDescent="0.35">
      <c r="G1025" s="1"/>
      <c r="N1025" s="1"/>
    </row>
    <row r="1026" spans="7:14" x14ac:dyDescent="0.35">
      <c r="G1026" s="1"/>
      <c r="N1026" s="1"/>
    </row>
    <row r="1027" spans="7:14" x14ac:dyDescent="0.35">
      <c r="G1027" s="1"/>
      <c r="N1027" s="1"/>
    </row>
    <row r="1028" spans="7:14" x14ac:dyDescent="0.35">
      <c r="G1028" s="1"/>
      <c r="N1028" s="1"/>
    </row>
    <row r="1029" spans="7:14" x14ac:dyDescent="0.35">
      <c r="G1029" s="1"/>
      <c r="N1029" s="1"/>
    </row>
    <row r="1030" spans="7:14" x14ac:dyDescent="0.35">
      <c r="G1030" s="1"/>
      <c r="N1030" s="1"/>
    </row>
    <row r="1031" spans="7:14" x14ac:dyDescent="0.35">
      <c r="G1031" s="1"/>
      <c r="N1031" s="1"/>
    </row>
    <row r="1032" spans="7:14" x14ac:dyDescent="0.35">
      <c r="G1032" s="1"/>
      <c r="N1032" s="1"/>
    </row>
    <row r="1033" spans="7:14" x14ac:dyDescent="0.35">
      <c r="G1033" s="1"/>
      <c r="N1033" s="1"/>
    </row>
    <row r="1034" spans="7:14" x14ac:dyDescent="0.35">
      <c r="G1034" s="1"/>
      <c r="N1034" s="1"/>
    </row>
    <row r="1035" spans="7:14" x14ac:dyDescent="0.35">
      <c r="G1035" s="1"/>
      <c r="N1035" s="1"/>
    </row>
    <row r="1036" spans="7:14" x14ac:dyDescent="0.35">
      <c r="G1036" s="1"/>
      <c r="N1036" s="1"/>
    </row>
    <row r="1037" spans="7:14" x14ac:dyDescent="0.35">
      <c r="G1037" s="1"/>
      <c r="N1037" s="1"/>
    </row>
    <row r="1038" spans="7:14" x14ac:dyDescent="0.35">
      <c r="G1038" s="1"/>
      <c r="N1038" s="1"/>
    </row>
    <row r="1039" spans="7:14" x14ac:dyDescent="0.35">
      <c r="G1039" s="1"/>
      <c r="N1039" s="1"/>
    </row>
    <row r="1040" spans="7:14" x14ac:dyDescent="0.35">
      <c r="G1040" s="1"/>
      <c r="N1040" s="1"/>
    </row>
    <row r="1041" spans="7:14" x14ac:dyDescent="0.35">
      <c r="G1041" s="1"/>
      <c r="N1041" s="1"/>
    </row>
    <row r="1042" spans="7:14" x14ac:dyDescent="0.35">
      <c r="G1042" s="1"/>
      <c r="N1042" s="1"/>
    </row>
    <row r="1043" spans="7:14" x14ac:dyDescent="0.35">
      <c r="G1043" s="1"/>
      <c r="N1043" s="1"/>
    </row>
    <row r="1044" spans="7:14" x14ac:dyDescent="0.35">
      <c r="G1044" s="1"/>
      <c r="N1044" s="1"/>
    </row>
    <row r="1045" spans="7:14" x14ac:dyDescent="0.35">
      <c r="G1045" s="1"/>
      <c r="N1045" s="1"/>
    </row>
    <row r="1046" spans="7:14" x14ac:dyDescent="0.35">
      <c r="G1046" s="1"/>
      <c r="N1046" s="1"/>
    </row>
    <row r="1047" spans="7:14" x14ac:dyDescent="0.35">
      <c r="G1047" s="1"/>
      <c r="N1047" s="1"/>
    </row>
    <row r="1048" spans="7:14" x14ac:dyDescent="0.35">
      <c r="G1048" s="1"/>
      <c r="N1048" s="1"/>
    </row>
    <row r="1049" spans="7:14" x14ac:dyDescent="0.35">
      <c r="G1049" s="1"/>
      <c r="N1049" s="1"/>
    </row>
    <row r="1050" spans="7:14" x14ac:dyDescent="0.35">
      <c r="G1050" s="1"/>
      <c r="N1050" s="1"/>
    </row>
    <row r="1051" spans="7:14" x14ac:dyDescent="0.35">
      <c r="G1051" s="1"/>
      <c r="N1051" s="1"/>
    </row>
    <row r="1052" spans="7:14" x14ac:dyDescent="0.35">
      <c r="G1052" s="1"/>
      <c r="N1052" s="1"/>
    </row>
    <row r="1053" spans="7:14" x14ac:dyDescent="0.35">
      <c r="G1053" s="1"/>
      <c r="N1053" s="1"/>
    </row>
    <row r="1054" spans="7:14" x14ac:dyDescent="0.35">
      <c r="G1054" s="1"/>
      <c r="N1054" s="1"/>
    </row>
    <row r="1055" spans="7:14" x14ac:dyDescent="0.35">
      <c r="G1055" s="1"/>
      <c r="N1055" s="1"/>
    </row>
    <row r="1056" spans="7:14" x14ac:dyDescent="0.35">
      <c r="G1056" s="1"/>
      <c r="N1056" s="1"/>
    </row>
    <row r="1057" spans="7:14" x14ac:dyDescent="0.35">
      <c r="G1057" s="1"/>
      <c r="N1057" s="1"/>
    </row>
    <row r="1058" spans="7:14" x14ac:dyDescent="0.35">
      <c r="G1058" s="1"/>
      <c r="N1058" s="1"/>
    </row>
    <row r="1059" spans="7:14" x14ac:dyDescent="0.35">
      <c r="G1059" s="1"/>
      <c r="N1059" s="1"/>
    </row>
    <row r="1060" spans="7:14" x14ac:dyDescent="0.35">
      <c r="G1060" s="1"/>
      <c r="N1060" s="1"/>
    </row>
    <row r="1061" spans="7:14" x14ac:dyDescent="0.35">
      <c r="G1061" s="1"/>
      <c r="N1061" s="1"/>
    </row>
    <row r="1062" spans="7:14" x14ac:dyDescent="0.35">
      <c r="G1062" s="1"/>
      <c r="N1062" s="1"/>
    </row>
    <row r="1063" spans="7:14" x14ac:dyDescent="0.35">
      <c r="G1063" s="1"/>
      <c r="N1063" s="1"/>
    </row>
    <row r="1064" spans="7:14" x14ac:dyDescent="0.35">
      <c r="G1064" s="1"/>
      <c r="N1064" s="1"/>
    </row>
    <row r="1065" spans="7:14" x14ac:dyDescent="0.35">
      <c r="G1065" s="1"/>
      <c r="N1065" s="1"/>
    </row>
    <row r="1066" spans="7:14" x14ac:dyDescent="0.35">
      <c r="G1066" s="1"/>
      <c r="N1066" s="1"/>
    </row>
    <row r="1067" spans="7:14" x14ac:dyDescent="0.35">
      <c r="G1067" s="1"/>
      <c r="N1067" s="1"/>
    </row>
    <row r="1068" spans="7:14" x14ac:dyDescent="0.35">
      <c r="G1068" s="1"/>
      <c r="N1068" s="1"/>
    </row>
    <row r="1069" spans="7:14" x14ac:dyDescent="0.35">
      <c r="G1069" s="1"/>
      <c r="N1069" s="1"/>
    </row>
    <row r="1070" spans="7:14" x14ac:dyDescent="0.35">
      <c r="G1070" s="1"/>
      <c r="N1070" s="1"/>
    </row>
    <row r="1071" spans="7:14" x14ac:dyDescent="0.35">
      <c r="G1071" s="1"/>
      <c r="N1071" s="1"/>
    </row>
    <row r="1072" spans="7:14" x14ac:dyDescent="0.35">
      <c r="G1072" s="1"/>
      <c r="N1072" s="1"/>
    </row>
    <row r="1073" spans="7:14" x14ac:dyDescent="0.35">
      <c r="G1073" s="1"/>
      <c r="N1073" s="1"/>
    </row>
    <row r="1074" spans="7:14" x14ac:dyDescent="0.35">
      <c r="G1074" s="1"/>
      <c r="N1074" s="1"/>
    </row>
    <row r="1075" spans="7:14" x14ac:dyDescent="0.35">
      <c r="G1075" s="1"/>
      <c r="N1075" s="1"/>
    </row>
    <row r="1076" spans="7:14" x14ac:dyDescent="0.35">
      <c r="G1076" s="1"/>
      <c r="N1076" s="1"/>
    </row>
    <row r="1077" spans="7:14" x14ac:dyDescent="0.35">
      <c r="G1077" s="1"/>
      <c r="N1077" s="1"/>
    </row>
    <row r="1078" spans="7:14" x14ac:dyDescent="0.35">
      <c r="G1078" s="1"/>
      <c r="N1078" s="1"/>
    </row>
    <row r="1079" spans="7:14" x14ac:dyDescent="0.35">
      <c r="G1079" s="1"/>
      <c r="N1079" s="1"/>
    </row>
    <row r="1080" spans="7:14" x14ac:dyDescent="0.35">
      <c r="G1080" s="1"/>
      <c r="N1080" s="1"/>
    </row>
    <row r="1081" spans="7:14" x14ac:dyDescent="0.35">
      <c r="G1081" s="1"/>
      <c r="N1081" s="1"/>
    </row>
    <row r="1082" spans="7:14" x14ac:dyDescent="0.35">
      <c r="G1082" s="1"/>
      <c r="N1082" s="1"/>
    </row>
    <row r="1083" spans="7:14" x14ac:dyDescent="0.35">
      <c r="G1083" s="1"/>
      <c r="N1083" s="1"/>
    </row>
    <row r="1084" spans="7:14" x14ac:dyDescent="0.35">
      <c r="G1084" s="1"/>
      <c r="N1084" s="1"/>
    </row>
    <row r="1085" spans="7:14" x14ac:dyDescent="0.35">
      <c r="G1085" s="1"/>
      <c r="N1085" s="1"/>
    </row>
    <row r="1086" spans="7:14" x14ac:dyDescent="0.35">
      <c r="G1086" s="1"/>
      <c r="N1086" s="1"/>
    </row>
    <row r="1087" spans="7:14" x14ac:dyDescent="0.35">
      <c r="G1087" s="1"/>
      <c r="N1087" s="1"/>
    </row>
    <row r="1088" spans="7:14" x14ac:dyDescent="0.35">
      <c r="G1088" s="1"/>
      <c r="N1088" s="1"/>
    </row>
    <row r="1089" spans="7:14" x14ac:dyDescent="0.35">
      <c r="G1089" s="1"/>
      <c r="N1089" s="1"/>
    </row>
    <row r="1090" spans="7:14" x14ac:dyDescent="0.35">
      <c r="G1090" s="1"/>
      <c r="N1090" s="1"/>
    </row>
    <row r="1091" spans="7:14" x14ac:dyDescent="0.35">
      <c r="G1091" s="1"/>
      <c r="N1091" s="1"/>
    </row>
    <row r="1092" spans="7:14" x14ac:dyDescent="0.35">
      <c r="G1092" s="1"/>
      <c r="N1092" s="1"/>
    </row>
    <row r="1093" spans="7:14" x14ac:dyDescent="0.35">
      <c r="G1093" s="1"/>
      <c r="N1093" s="1"/>
    </row>
    <row r="1094" spans="7:14" x14ac:dyDescent="0.35">
      <c r="G1094" s="1"/>
      <c r="N1094" s="1"/>
    </row>
    <row r="1095" spans="7:14" x14ac:dyDescent="0.35">
      <c r="G1095" s="1"/>
      <c r="N1095" s="1"/>
    </row>
    <row r="1096" spans="7:14" x14ac:dyDescent="0.35">
      <c r="G1096" s="1"/>
      <c r="N1096" s="1"/>
    </row>
    <row r="1097" spans="7:14" x14ac:dyDescent="0.35">
      <c r="G1097" s="1"/>
      <c r="N1097" s="1"/>
    </row>
    <row r="1098" spans="7:14" x14ac:dyDescent="0.35">
      <c r="G1098" s="1"/>
      <c r="N1098" s="1"/>
    </row>
    <row r="1099" spans="7:14" x14ac:dyDescent="0.35">
      <c r="G1099" s="1"/>
      <c r="N1099" s="1"/>
    </row>
    <row r="1100" spans="7:14" x14ac:dyDescent="0.35">
      <c r="G1100" s="1"/>
      <c r="N1100" s="1"/>
    </row>
    <row r="1101" spans="7:14" x14ac:dyDescent="0.35">
      <c r="G1101" s="1"/>
      <c r="N1101" s="1"/>
    </row>
    <row r="1102" spans="7:14" x14ac:dyDescent="0.35">
      <c r="G1102" s="1"/>
      <c r="N1102" s="1"/>
    </row>
    <row r="1103" spans="7:14" x14ac:dyDescent="0.35">
      <c r="G1103" s="1"/>
      <c r="N1103" s="1"/>
    </row>
    <row r="1104" spans="7:14" x14ac:dyDescent="0.35">
      <c r="G1104" s="1"/>
      <c r="N1104" s="1"/>
    </row>
    <row r="1105" spans="7:14" x14ac:dyDescent="0.35">
      <c r="G1105" s="1"/>
      <c r="N1105" s="1"/>
    </row>
    <row r="1106" spans="7:14" x14ac:dyDescent="0.35">
      <c r="G1106" s="1"/>
      <c r="N1106" s="1"/>
    </row>
    <row r="1107" spans="7:14" x14ac:dyDescent="0.35">
      <c r="G1107" s="1"/>
      <c r="N1107" s="1"/>
    </row>
    <row r="1108" spans="7:14" x14ac:dyDescent="0.35">
      <c r="G1108" s="1"/>
      <c r="N1108" s="1"/>
    </row>
    <row r="1109" spans="7:14" x14ac:dyDescent="0.35">
      <c r="G1109" s="1"/>
      <c r="N1109" s="1"/>
    </row>
    <row r="1110" spans="7:14" x14ac:dyDescent="0.35">
      <c r="G1110" s="1"/>
      <c r="N1110" s="1"/>
    </row>
    <row r="1111" spans="7:14" x14ac:dyDescent="0.35">
      <c r="G1111" s="1"/>
      <c r="N1111" s="1"/>
    </row>
    <row r="1112" spans="7:14" x14ac:dyDescent="0.35">
      <c r="G1112" s="1"/>
      <c r="N1112" s="1"/>
    </row>
    <row r="1113" spans="7:14" x14ac:dyDescent="0.35">
      <c r="G1113" s="1"/>
      <c r="N1113" s="1"/>
    </row>
    <row r="1114" spans="7:14" x14ac:dyDescent="0.35">
      <c r="G1114" s="1"/>
      <c r="N1114" s="1"/>
    </row>
    <row r="1115" spans="7:14" x14ac:dyDescent="0.35">
      <c r="G1115" s="1"/>
      <c r="N1115" s="1"/>
    </row>
    <row r="1116" spans="7:14" x14ac:dyDescent="0.35">
      <c r="G1116" s="1"/>
      <c r="N1116" s="1"/>
    </row>
    <row r="1117" spans="7:14" x14ac:dyDescent="0.35">
      <c r="G1117" s="1"/>
      <c r="N1117" s="1"/>
    </row>
    <row r="1118" spans="7:14" x14ac:dyDescent="0.35">
      <c r="G1118" s="1"/>
      <c r="N1118" s="1"/>
    </row>
    <row r="1119" spans="7:14" x14ac:dyDescent="0.35">
      <c r="G1119" s="1"/>
      <c r="N1119" s="1"/>
    </row>
    <row r="1120" spans="7:14" x14ac:dyDescent="0.35">
      <c r="G1120" s="1"/>
      <c r="N1120" s="1"/>
    </row>
    <row r="1121" spans="7:14" x14ac:dyDescent="0.35">
      <c r="G1121" s="1"/>
      <c r="N1121" s="1"/>
    </row>
    <row r="1122" spans="7:14" x14ac:dyDescent="0.35">
      <c r="G1122" s="1"/>
      <c r="N1122" s="1"/>
    </row>
    <row r="1123" spans="7:14" x14ac:dyDescent="0.35">
      <c r="G1123" s="1"/>
      <c r="N1123" s="1"/>
    </row>
    <row r="1124" spans="7:14" x14ac:dyDescent="0.35">
      <c r="G1124" s="1"/>
      <c r="N1124" s="1"/>
    </row>
    <row r="1125" spans="7:14" x14ac:dyDescent="0.35">
      <c r="G1125" s="1"/>
      <c r="N1125" s="1"/>
    </row>
    <row r="1126" spans="7:14" x14ac:dyDescent="0.35">
      <c r="G1126" s="1"/>
      <c r="N1126" s="1"/>
    </row>
    <row r="1127" spans="7:14" x14ac:dyDescent="0.35">
      <c r="G1127" s="1"/>
      <c r="N1127" s="1"/>
    </row>
    <row r="1128" spans="7:14" x14ac:dyDescent="0.35">
      <c r="G1128" s="1"/>
      <c r="N1128" s="1"/>
    </row>
    <row r="1129" spans="7:14" x14ac:dyDescent="0.35">
      <c r="G1129" s="1"/>
      <c r="N1129" s="1"/>
    </row>
    <row r="1130" spans="7:14" x14ac:dyDescent="0.35">
      <c r="G1130" s="1"/>
      <c r="N1130" s="1"/>
    </row>
    <row r="1131" spans="7:14" x14ac:dyDescent="0.35">
      <c r="G1131" s="1"/>
      <c r="N1131" s="1"/>
    </row>
    <row r="1132" spans="7:14" x14ac:dyDescent="0.35">
      <c r="G1132" s="1"/>
      <c r="N1132" s="1"/>
    </row>
    <row r="1133" spans="7:14" x14ac:dyDescent="0.35">
      <c r="G1133" s="1"/>
      <c r="N1133" s="1"/>
    </row>
    <row r="1134" spans="7:14" x14ac:dyDescent="0.35">
      <c r="G1134" s="1"/>
      <c r="N1134" s="1"/>
    </row>
    <row r="1135" spans="7:14" x14ac:dyDescent="0.35">
      <c r="G1135" s="1"/>
      <c r="N1135" s="1"/>
    </row>
    <row r="1136" spans="7:14" x14ac:dyDescent="0.35">
      <c r="G1136" s="1"/>
      <c r="N1136" s="1"/>
    </row>
    <row r="1137" spans="7:14" x14ac:dyDescent="0.35">
      <c r="G1137" s="1"/>
      <c r="N1137" s="1"/>
    </row>
    <row r="1138" spans="7:14" x14ac:dyDescent="0.35">
      <c r="G1138" s="1"/>
      <c r="N1138" s="1"/>
    </row>
    <row r="1139" spans="7:14" x14ac:dyDescent="0.35">
      <c r="G1139" s="1"/>
      <c r="N1139" s="1"/>
    </row>
    <row r="1140" spans="7:14" x14ac:dyDescent="0.35">
      <c r="G1140" s="1"/>
      <c r="N1140" s="1"/>
    </row>
    <row r="1141" spans="7:14" x14ac:dyDescent="0.35">
      <c r="G1141" s="1"/>
      <c r="N1141" s="1"/>
    </row>
    <row r="1142" spans="7:14" x14ac:dyDescent="0.35">
      <c r="G1142" s="1"/>
      <c r="N1142" s="1"/>
    </row>
    <row r="1143" spans="7:14" x14ac:dyDescent="0.35">
      <c r="G1143" s="1"/>
      <c r="N1143" s="1"/>
    </row>
    <row r="1144" spans="7:14" x14ac:dyDescent="0.35">
      <c r="G1144" s="1"/>
      <c r="N1144" s="1"/>
    </row>
    <row r="1145" spans="7:14" x14ac:dyDescent="0.35">
      <c r="G1145" s="1"/>
      <c r="N1145" s="1"/>
    </row>
    <row r="1146" spans="7:14" x14ac:dyDescent="0.35">
      <c r="G1146" s="1"/>
      <c r="N1146" s="1"/>
    </row>
    <row r="1147" spans="7:14" x14ac:dyDescent="0.35">
      <c r="G1147" s="1"/>
      <c r="N1147" s="1"/>
    </row>
    <row r="1148" spans="7:14" x14ac:dyDescent="0.35">
      <c r="G1148" s="1"/>
      <c r="N1148" s="1"/>
    </row>
    <row r="1149" spans="7:14" x14ac:dyDescent="0.35">
      <c r="G1149" s="1"/>
      <c r="N1149" s="1"/>
    </row>
    <row r="1150" spans="7:14" x14ac:dyDescent="0.35">
      <c r="G1150" s="1"/>
      <c r="N1150" s="1"/>
    </row>
    <row r="1151" spans="7:14" x14ac:dyDescent="0.35">
      <c r="G1151" s="1"/>
      <c r="N1151" s="1"/>
    </row>
    <row r="1152" spans="7:14" x14ac:dyDescent="0.35">
      <c r="G1152" s="1"/>
      <c r="N1152" s="1"/>
    </row>
    <row r="1153" spans="7:14" x14ac:dyDescent="0.35">
      <c r="G1153" s="1"/>
      <c r="N1153" s="1"/>
    </row>
    <row r="1154" spans="7:14" x14ac:dyDescent="0.35">
      <c r="G1154" s="1"/>
      <c r="N1154" s="1"/>
    </row>
    <row r="1155" spans="7:14" x14ac:dyDescent="0.35">
      <c r="G1155" s="1"/>
      <c r="N1155" s="1"/>
    </row>
    <row r="1156" spans="7:14" x14ac:dyDescent="0.35">
      <c r="G1156" s="1"/>
      <c r="N1156" s="1"/>
    </row>
    <row r="1157" spans="7:14" x14ac:dyDescent="0.35">
      <c r="G1157" s="1"/>
      <c r="N1157" s="1"/>
    </row>
    <row r="1158" spans="7:14" x14ac:dyDescent="0.35">
      <c r="G1158" s="1"/>
      <c r="N1158" s="1"/>
    </row>
    <row r="1159" spans="7:14" x14ac:dyDescent="0.35">
      <c r="G1159" s="1"/>
      <c r="N1159" s="1"/>
    </row>
    <row r="1160" spans="7:14" x14ac:dyDescent="0.35">
      <c r="G1160" s="1"/>
      <c r="N1160" s="1"/>
    </row>
    <row r="1161" spans="7:14" x14ac:dyDescent="0.35">
      <c r="G1161" s="1"/>
      <c r="N1161" s="1"/>
    </row>
    <row r="1162" spans="7:14" x14ac:dyDescent="0.35">
      <c r="G1162" s="1"/>
      <c r="N1162" s="1"/>
    </row>
    <row r="1163" spans="7:14" x14ac:dyDescent="0.35">
      <c r="G1163" s="1"/>
      <c r="N1163" s="1"/>
    </row>
    <row r="1164" spans="7:14" x14ac:dyDescent="0.35">
      <c r="G1164" s="1"/>
      <c r="N1164" s="1"/>
    </row>
    <row r="1165" spans="7:14" x14ac:dyDescent="0.35">
      <c r="G1165" s="1"/>
      <c r="N1165" s="1"/>
    </row>
    <row r="1166" spans="7:14" x14ac:dyDescent="0.35">
      <c r="G1166" s="1"/>
      <c r="N1166" s="1"/>
    </row>
    <row r="1167" spans="7:14" x14ac:dyDescent="0.35">
      <c r="G1167" s="1"/>
      <c r="N1167" s="1"/>
    </row>
    <row r="1168" spans="7:14" x14ac:dyDescent="0.35">
      <c r="G1168" s="1"/>
      <c r="N1168" s="1"/>
    </row>
    <row r="1169" spans="7:14" x14ac:dyDescent="0.35">
      <c r="G1169" s="1"/>
      <c r="N1169" s="1"/>
    </row>
    <row r="1170" spans="7:14" x14ac:dyDescent="0.35">
      <c r="G1170" s="1"/>
      <c r="N1170" s="1"/>
    </row>
    <row r="1171" spans="7:14" x14ac:dyDescent="0.35">
      <c r="G1171" s="1"/>
      <c r="N1171" s="1"/>
    </row>
    <row r="1172" spans="7:14" x14ac:dyDescent="0.35">
      <c r="G1172" s="1"/>
      <c r="N1172" s="1"/>
    </row>
    <row r="1173" spans="7:14" x14ac:dyDescent="0.35">
      <c r="G1173" s="1"/>
      <c r="N1173" s="1"/>
    </row>
    <row r="1174" spans="7:14" x14ac:dyDescent="0.35">
      <c r="G1174" s="1"/>
      <c r="N1174" s="1"/>
    </row>
    <row r="1175" spans="7:14" x14ac:dyDescent="0.35">
      <c r="G1175" s="1"/>
      <c r="N1175" s="1"/>
    </row>
    <row r="1176" spans="7:14" x14ac:dyDescent="0.35">
      <c r="G1176" s="1"/>
      <c r="N1176" s="1"/>
    </row>
    <row r="1177" spans="7:14" x14ac:dyDescent="0.35">
      <c r="G1177" s="1"/>
      <c r="N1177" s="1"/>
    </row>
    <row r="1178" spans="7:14" x14ac:dyDescent="0.35">
      <c r="G1178" s="1"/>
      <c r="N1178" s="1"/>
    </row>
    <row r="1179" spans="7:14" x14ac:dyDescent="0.35">
      <c r="G1179" s="1"/>
      <c r="N1179" s="1"/>
    </row>
    <row r="1180" spans="7:14" x14ac:dyDescent="0.35">
      <c r="G1180" s="1"/>
      <c r="N1180" s="1"/>
    </row>
    <row r="1181" spans="7:14" x14ac:dyDescent="0.35">
      <c r="G1181" s="1"/>
      <c r="N1181" s="1"/>
    </row>
    <row r="1182" spans="7:14" x14ac:dyDescent="0.35">
      <c r="G1182" s="1"/>
      <c r="N1182" s="1"/>
    </row>
    <row r="1183" spans="7:14" x14ac:dyDescent="0.35">
      <c r="G1183" s="1"/>
      <c r="N1183" s="1"/>
    </row>
    <row r="1184" spans="7:14" x14ac:dyDescent="0.35">
      <c r="G1184" s="1"/>
      <c r="N1184" s="1"/>
    </row>
    <row r="1185" spans="7:14" x14ac:dyDescent="0.35">
      <c r="G1185" s="1"/>
      <c r="N1185" s="1"/>
    </row>
    <row r="1186" spans="7:14" x14ac:dyDescent="0.35">
      <c r="G1186" s="1"/>
      <c r="N1186" s="1"/>
    </row>
    <row r="1187" spans="7:14" x14ac:dyDescent="0.35">
      <c r="G1187" s="1"/>
      <c r="N1187" s="1"/>
    </row>
    <row r="1188" spans="7:14" x14ac:dyDescent="0.35">
      <c r="G1188" s="1"/>
      <c r="N1188" s="1"/>
    </row>
    <row r="1189" spans="7:14" x14ac:dyDescent="0.35">
      <c r="G1189" s="1"/>
      <c r="N1189" s="1"/>
    </row>
    <row r="1190" spans="7:14" x14ac:dyDescent="0.35">
      <c r="G1190" s="1"/>
      <c r="N1190" s="1"/>
    </row>
    <row r="1191" spans="7:14" x14ac:dyDescent="0.35">
      <c r="G1191" s="1"/>
      <c r="N1191" s="1"/>
    </row>
    <row r="1192" spans="7:14" x14ac:dyDescent="0.35">
      <c r="G1192" s="1"/>
      <c r="N1192" s="1"/>
    </row>
    <row r="1193" spans="7:14" x14ac:dyDescent="0.35">
      <c r="G1193" s="1"/>
      <c r="N1193" s="1"/>
    </row>
    <row r="1194" spans="7:14" x14ac:dyDescent="0.35">
      <c r="G1194" s="1"/>
      <c r="N1194" s="1"/>
    </row>
    <row r="1195" spans="7:14" x14ac:dyDescent="0.35">
      <c r="G1195" s="1"/>
      <c r="N1195" s="1"/>
    </row>
    <row r="1196" spans="7:14" x14ac:dyDescent="0.35">
      <c r="G1196" s="1"/>
      <c r="N1196" s="1"/>
    </row>
    <row r="1197" spans="7:14" x14ac:dyDescent="0.35">
      <c r="G1197" s="1"/>
      <c r="N1197" s="1"/>
    </row>
    <row r="1198" spans="7:14" x14ac:dyDescent="0.35">
      <c r="G1198" s="1"/>
      <c r="N1198" s="1"/>
    </row>
    <row r="1199" spans="7:14" x14ac:dyDescent="0.35">
      <c r="G1199" s="1"/>
      <c r="N1199" s="1"/>
    </row>
    <row r="1200" spans="7:14" x14ac:dyDescent="0.35">
      <c r="G1200" s="1"/>
      <c r="N1200" s="1"/>
    </row>
    <row r="1201" spans="7:14" x14ac:dyDescent="0.35">
      <c r="G1201" s="1"/>
      <c r="N1201" s="1"/>
    </row>
    <row r="1202" spans="7:14" x14ac:dyDescent="0.35">
      <c r="G1202" s="1"/>
      <c r="N1202" s="1"/>
    </row>
    <row r="1203" spans="7:14" x14ac:dyDescent="0.35">
      <c r="G1203" s="1"/>
      <c r="N1203" s="1"/>
    </row>
    <row r="1204" spans="7:14" x14ac:dyDescent="0.35">
      <c r="G1204" s="1"/>
      <c r="N1204" s="1"/>
    </row>
    <row r="1205" spans="7:14" x14ac:dyDescent="0.35">
      <c r="G1205" s="1"/>
      <c r="N1205" s="1"/>
    </row>
    <row r="1206" spans="7:14" x14ac:dyDescent="0.35">
      <c r="G1206" s="1"/>
      <c r="N1206" s="1"/>
    </row>
    <row r="1207" spans="7:14" x14ac:dyDescent="0.35">
      <c r="G1207" s="1"/>
      <c r="N1207" s="1"/>
    </row>
    <row r="1208" spans="7:14" x14ac:dyDescent="0.35">
      <c r="G1208" s="1"/>
      <c r="N1208" s="1"/>
    </row>
    <row r="1209" spans="7:14" x14ac:dyDescent="0.35">
      <c r="G1209" s="1"/>
      <c r="N1209" s="1"/>
    </row>
    <row r="1210" spans="7:14" x14ac:dyDescent="0.35">
      <c r="G1210" s="1"/>
      <c r="N1210" s="1"/>
    </row>
    <row r="1211" spans="7:14" x14ac:dyDescent="0.35">
      <c r="G1211" s="1"/>
      <c r="N1211" s="1"/>
    </row>
    <row r="1212" spans="7:14" x14ac:dyDescent="0.35">
      <c r="G1212" s="1"/>
      <c r="N1212" s="1"/>
    </row>
    <row r="1213" spans="7:14" x14ac:dyDescent="0.35">
      <c r="G1213" s="1"/>
      <c r="N1213" s="1"/>
    </row>
    <row r="1214" spans="7:14" x14ac:dyDescent="0.35">
      <c r="G1214" s="1"/>
      <c r="N1214" s="1"/>
    </row>
    <row r="1215" spans="7:14" x14ac:dyDescent="0.35">
      <c r="G1215" s="1"/>
      <c r="N1215" s="1"/>
    </row>
    <row r="1216" spans="7:14" x14ac:dyDescent="0.35">
      <c r="G1216" s="1"/>
      <c r="N1216" s="1"/>
    </row>
    <row r="1217" spans="7:14" x14ac:dyDescent="0.35">
      <c r="G1217" s="1"/>
      <c r="N1217" s="1"/>
    </row>
    <row r="1218" spans="7:14" x14ac:dyDescent="0.35">
      <c r="G1218" s="1"/>
      <c r="N1218" s="1"/>
    </row>
    <row r="1219" spans="7:14" x14ac:dyDescent="0.35">
      <c r="G1219" s="1"/>
      <c r="N1219" s="1"/>
    </row>
    <row r="1220" spans="7:14" x14ac:dyDescent="0.35">
      <c r="G1220" s="1"/>
      <c r="N1220" s="1"/>
    </row>
    <row r="1221" spans="7:14" x14ac:dyDescent="0.35">
      <c r="G1221" s="1"/>
      <c r="N1221" s="1"/>
    </row>
    <row r="1222" spans="7:14" x14ac:dyDescent="0.35">
      <c r="G1222" s="1"/>
      <c r="N1222" s="1"/>
    </row>
    <row r="1223" spans="7:14" x14ac:dyDescent="0.35">
      <c r="G1223" s="1"/>
      <c r="N1223" s="1"/>
    </row>
    <row r="1224" spans="7:14" x14ac:dyDescent="0.35">
      <c r="G1224" s="1"/>
      <c r="N1224" s="1"/>
    </row>
    <row r="1225" spans="7:14" x14ac:dyDescent="0.35">
      <c r="G1225" s="1"/>
      <c r="N1225" s="1"/>
    </row>
    <row r="1226" spans="7:14" x14ac:dyDescent="0.35">
      <c r="G1226" s="1"/>
      <c r="N1226" s="1"/>
    </row>
    <row r="1227" spans="7:14" x14ac:dyDescent="0.35">
      <c r="G1227" s="1"/>
      <c r="N1227" s="1"/>
    </row>
    <row r="1228" spans="7:14" x14ac:dyDescent="0.35">
      <c r="G1228" s="1"/>
      <c r="N1228" s="1"/>
    </row>
    <row r="1229" spans="7:14" x14ac:dyDescent="0.35">
      <c r="G1229" s="1"/>
      <c r="N1229" s="1"/>
    </row>
    <row r="1230" spans="7:14" x14ac:dyDescent="0.35">
      <c r="G1230" s="1"/>
      <c r="N1230" s="1"/>
    </row>
    <row r="1231" spans="7:14" x14ac:dyDescent="0.35">
      <c r="G1231" s="1"/>
      <c r="N1231" s="1"/>
    </row>
    <row r="1232" spans="7:14" x14ac:dyDescent="0.35">
      <c r="G1232" s="1"/>
      <c r="N1232" s="1"/>
    </row>
    <row r="1233" spans="7:14" x14ac:dyDescent="0.35">
      <c r="G1233" s="1"/>
      <c r="N1233" s="1"/>
    </row>
    <row r="1234" spans="7:14" x14ac:dyDescent="0.35">
      <c r="G1234" s="1"/>
      <c r="N1234" s="1"/>
    </row>
    <row r="1235" spans="7:14" x14ac:dyDescent="0.35">
      <c r="G1235" s="1"/>
      <c r="N1235" s="1"/>
    </row>
    <row r="1236" spans="7:14" x14ac:dyDescent="0.35">
      <c r="G1236" s="1"/>
      <c r="N1236" s="1"/>
    </row>
    <row r="1237" spans="7:14" x14ac:dyDescent="0.35">
      <c r="G1237" s="1"/>
      <c r="N1237" s="1"/>
    </row>
    <row r="1238" spans="7:14" x14ac:dyDescent="0.35">
      <c r="G1238" s="1"/>
      <c r="N1238" s="1"/>
    </row>
    <row r="1239" spans="7:14" x14ac:dyDescent="0.35">
      <c r="G1239" s="1"/>
      <c r="N1239" s="1"/>
    </row>
    <row r="1240" spans="7:14" x14ac:dyDescent="0.35">
      <c r="G1240" s="1"/>
      <c r="N1240" s="1"/>
    </row>
    <row r="1241" spans="7:14" x14ac:dyDescent="0.35">
      <c r="G1241" s="1"/>
      <c r="N1241" s="1"/>
    </row>
    <row r="1242" spans="7:14" x14ac:dyDescent="0.35">
      <c r="G1242" s="1"/>
      <c r="N1242" s="1"/>
    </row>
    <row r="1243" spans="7:14" x14ac:dyDescent="0.35">
      <c r="G1243" s="1"/>
      <c r="N1243" s="1"/>
    </row>
    <row r="1244" spans="7:14" x14ac:dyDescent="0.35">
      <c r="G1244" s="1"/>
      <c r="N1244" s="1"/>
    </row>
    <row r="1245" spans="7:14" x14ac:dyDescent="0.35">
      <c r="G1245" s="1"/>
      <c r="N1245" s="1"/>
    </row>
    <row r="1246" spans="7:14" x14ac:dyDescent="0.35">
      <c r="G1246" s="1"/>
      <c r="N1246" s="1"/>
    </row>
    <row r="1247" spans="7:14" x14ac:dyDescent="0.35">
      <c r="G1247" s="1"/>
      <c r="N1247" s="1"/>
    </row>
    <row r="1248" spans="7:14" x14ac:dyDescent="0.35">
      <c r="G1248" s="1"/>
      <c r="N1248" s="1"/>
    </row>
    <row r="1249" spans="7:14" x14ac:dyDescent="0.35">
      <c r="G1249" s="1"/>
      <c r="N1249" s="1"/>
    </row>
    <row r="1250" spans="7:14" x14ac:dyDescent="0.35">
      <c r="G1250" s="1"/>
      <c r="N1250" s="1"/>
    </row>
    <row r="1251" spans="7:14" x14ac:dyDescent="0.35">
      <c r="G1251" s="1"/>
      <c r="N1251" s="1"/>
    </row>
    <row r="1252" spans="7:14" x14ac:dyDescent="0.35">
      <c r="G1252" s="1"/>
      <c r="N1252" s="1"/>
    </row>
    <row r="1253" spans="7:14" x14ac:dyDescent="0.35">
      <c r="G1253" s="1"/>
      <c r="N1253" s="1"/>
    </row>
    <row r="1254" spans="7:14" x14ac:dyDescent="0.35">
      <c r="G1254" s="1"/>
      <c r="N1254" s="1"/>
    </row>
    <row r="1255" spans="7:14" x14ac:dyDescent="0.35">
      <c r="G1255" s="1"/>
      <c r="N1255" s="1"/>
    </row>
    <row r="1256" spans="7:14" x14ac:dyDescent="0.35">
      <c r="G1256" s="1"/>
      <c r="N1256" s="1"/>
    </row>
    <row r="1257" spans="7:14" x14ac:dyDescent="0.35">
      <c r="G1257" s="1"/>
      <c r="N1257" s="1"/>
    </row>
    <row r="1258" spans="7:14" x14ac:dyDescent="0.35">
      <c r="G1258" s="1"/>
      <c r="N1258" s="1"/>
    </row>
    <row r="1259" spans="7:14" x14ac:dyDescent="0.35">
      <c r="G1259" s="1"/>
      <c r="N1259" s="1"/>
    </row>
    <row r="1260" spans="7:14" x14ac:dyDescent="0.35">
      <c r="G1260" s="1"/>
      <c r="N1260" s="1"/>
    </row>
    <row r="1261" spans="7:14" x14ac:dyDescent="0.35">
      <c r="G1261" s="1"/>
      <c r="N1261" s="1"/>
    </row>
    <row r="1262" spans="7:14" x14ac:dyDescent="0.35">
      <c r="G1262" s="1"/>
      <c r="N1262" s="1"/>
    </row>
    <row r="1263" spans="7:14" x14ac:dyDescent="0.35">
      <c r="G1263" s="1"/>
      <c r="N1263" s="1"/>
    </row>
    <row r="1264" spans="7:14" x14ac:dyDescent="0.35">
      <c r="G1264" s="1"/>
      <c r="N1264" s="1"/>
    </row>
    <row r="1265" spans="7:14" x14ac:dyDescent="0.35">
      <c r="G1265" s="1"/>
      <c r="N1265" s="1"/>
    </row>
    <row r="1266" spans="7:14" x14ac:dyDescent="0.35">
      <c r="G1266" s="1"/>
      <c r="N1266" s="1"/>
    </row>
    <row r="1267" spans="7:14" x14ac:dyDescent="0.35">
      <c r="G1267" s="1"/>
      <c r="N1267" s="1"/>
    </row>
    <row r="1268" spans="7:14" x14ac:dyDescent="0.35">
      <c r="G1268" s="1"/>
      <c r="N1268" s="1"/>
    </row>
    <row r="1269" spans="7:14" x14ac:dyDescent="0.35">
      <c r="G1269" s="1"/>
      <c r="N1269" s="1"/>
    </row>
    <row r="1270" spans="7:14" x14ac:dyDescent="0.35">
      <c r="G1270" s="1"/>
      <c r="N1270" s="1"/>
    </row>
    <row r="1271" spans="7:14" x14ac:dyDescent="0.35">
      <c r="G1271" s="1"/>
      <c r="N1271" s="1"/>
    </row>
    <row r="1272" spans="7:14" x14ac:dyDescent="0.35">
      <c r="G1272" s="1"/>
      <c r="N1272" s="1"/>
    </row>
    <row r="1273" spans="7:14" x14ac:dyDescent="0.35">
      <c r="G1273" s="1"/>
      <c r="N1273" s="1"/>
    </row>
    <row r="1274" spans="7:14" x14ac:dyDescent="0.35">
      <c r="G1274" s="1"/>
      <c r="N1274" s="1"/>
    </row>
    <row r="1275" spans="7:14" x14ac:dyDescent="0.35">
      <c r="G1275" s="1"/>
      <c r="N1275" s="1"/>
    </row>
    <row r="1276" spans="7:14" x14ac:dyDescent="0.35">
      <c r="G1276" s="1"/>
      <c r="N1276" s="1"/>
    </row>
    <row r="1277" spans="7:14" x14ac:dyDescent="0.35">
      <c r="G1277" s="1"/>
      <c r="N1277" s="1"/>
    </row>
    <row r="1278" spans="7:14" x14ac:dyDescent="0.35">
      <c r="G1278" s="1"/>
      <c r="N1278" s="1"/>
    </row>
    <row r="1279" spans="7:14" x14ac:dyDescent="0.35">
      <c r="G1279" s="1"/>
      <c r="N1279" s="1"/>
    </row>
    <row r="1280" spans="7:14" x14ac:dyDescent="0.35">
      <c r="G1280" s="1"/>
      <c r="N1280" s="1"/>
    </row>
    <row r="1281" spans="7:14" x14ac:dyDescent="0.35">
      <c r="G1281" s="1"/>
      <c r="N1281" s="1"/>
    </row>
    <row r="1282" spans="7:14" x14ac:dyDescent="0.35">
      <c r="G1282" s="1"/>
      <c r="N1282" s="1"/>
    </row>
    <row r="1283" spans="7:14" x14ac:dyDescent="0.35">
      <c r="G1283" s="1"/>
      <c r="N1283" s="1"/>
    </row>
    <row r="1284" spans="7:14" x14ac:dyDescent="0.35">
      <c r="G1284" s="1"/>
      <c r="N1284" s="1"/>
    </row>
    <row r="1285" spans="7:14" x14ac:dyDescent="0.35">
      <c r="G1285" s="1"/>
      <c r="N1285" s="1"/>
    </row>
    <row r="1286" spans="7:14" x14ac:dyDescent="0.35">
      <c r="G1286" s="1"/>
      <c r="N1286" s="1"/>
    </row>
    <row r="1287" spans="7:14" x14ac:dyDescent="0.35">
      <c r="G1287" s="1"/>
      <c r="N1287" s="1"/>
    </row>
    <row r="1288" spans="7:14" x14ac:dyDescent="0.35">
      <c r="G1288" s="1"/>
      <c r="N1288" s="1"/>
    </row>
    <row r="1289" spans="7:14" x14ac:dyDescent="0.35">
      <c r="G1289" s="1"/>
      <c r="N1289" s="1"/>
    </row>
    <row r="1290" spans="7:14" x14ac:dyDescent="0.35">
      <c r="G1290" s="1"/>
      <c r="N1290" s="1"/>
    </row>
    <row r="1291" spans="7:14" x14ac:dyDescent="0.35">
      <c r="G1291" s="1"/>
      <c r="N1291" s="1"/>
    </row>
    <row r="1292" spans="7:14" x14ac:dyDescent="0.35">
      <c r="G1292" s="1"/>
      <c r="N1292" s="1"/>
    </row>
    <row r="1293" spans="7:14" x14ac:dyDescent="0.35">
      <c r="G1293" s="1"/>
      <c r="N1293" s="1"/>
    </row>
    <row r="1294" spans="7:14" x14ac:dyDescent="0.35">
      <c r="G1294" s="1"/>
      <c r="N1294" s="1"/>
    </row>
    <row r="1295" spans="7:14" x14ac:dyDescent="0.35">
      <c r="G1295" s="1"/>
      <c r="N1295" s="1"/>
    </row>
    <row r="1296" spans="7:14" x14ac:dyDescent="0.35">
      <c r="G1296" s="1"/>
      <c r="N1296" s="1"/>
    </row>
    <row r="1297" spans="7:14" x14ac:dyDescent="0.35">
      <c r="G1297" s="1"/>
      <c r="N1297" s="1"/>
    </row>
    <row r="1298" spans="7:14" x14ac:dyDescent="0.35">
      <c r="G1298" s="1"/>
      <c r="N1298" s="1"/>
    </row>
    <row r="1299" spans="7:14" x14ac:dyDescent="0.35">
      <c r="G1299" s="1"/>
      <c r="N1299" s="1"/>
    </row>
    <row r="1300" spans="7:14" x14ac:dyDescent="0.35">
      <c r="G1300" s="1"/>
      <c r="N1300" s="1"/>
    </row>
    <row r="1301" spans="7:14" x14ac:dyDescent="0.35">
      <c r="G1301" s="1"/>
      <c r="N1301" s="1"/>
    </row>
    <row r="1302" spans="7:14" x14ac:dyDescent="0.35">
      <c r="G1302" s="1"/>
      <c r="N1302" s="1"/>
    </row>
    <row r="1303" spans="7:14" x14ac:dyDescent="0.35">
      <c r="G1303" s="1"/>
      <c r="N1303" s="1"/>
    </row>
    <row r="1304" spans="7:14" x14ac:dyDescent="0.35">
      <c r="G1304" s="1"/>
      <c r="N1304" s="1"/>
    </row>
    <row r="1305" spans="7:14" x14ac:dyDescent="0.35">
      <c r="G1305" s="1"/>
      <c r="N1305" s="1"/>
    </row>
    <row r="1306" spans="7:14" x14ac:dyDescent="0.35">
      <c r="G1306" s="1"/>
      <c r="N1306" s="1"/>
    </row>
    <row r="1307" spans="7:14" x14ac:dyDescent="0.35">
      <c r="G1307" s="1"/>
      <c r="N1307" s="1"/>
    </row>
    <row r="1308" spans="7:14" x14ac:dyDescent="0.35">
      <c r="G1308" s="1"/>
      <c r="N1308" s="1"/>
    </row>
    <row r="1309" spans="7:14" x14ac:dyDescent="0.35">
      <c r="G1309" s="1"/>
      <c r="N1309" s="1"/>
    </row>
    <row r="1310" spans="7:14" x14ac:dyDescent="0.35">
      <c r="G1310" s="1"/>
      <c r="N1310" s="1"/>
    </row>
    <row r="1311" spans="7:14" x14ac:dyDescent="0.35">
      <c r="G1311" s="1"/>
      <c r="N1311" s="1"/>
    </row>
    <row r="1312" spans="7:14" x14ac:dyDescent="0.35">
      <c r="G1312" s="1"/>
      <c r="N1312" s="1"/>
    </row>
    <row r="1313" spans="7:14" x14ac:dyDescent="0.35">
      <c r="G1313" s="1"/>
      <c r="N1313" s="1"/>
    </row>
    <row r="1314" spans="7:14" x14ac:dyDescent="0.35">
      <c r="G1314" s="1"/>
      <c r="N1314" s="1"/>
    </row>
    <row r="1315" spans="7:14" x14ac:dyDescent="0.35">
      <c r="G1315" s="1"/>
      <c r="N1315" s="1"/>
    </row>
    <row r="1316" spans="7:14" x14ac:dyDescent="0.35">
      <c r="G1316" s="1"/>
      <c r="N1316" s="1"/>
    </row>
    <row r="1317" spans="7:14" x14ac:dyDescent="0.35">
      <c r="G1317" s="1"/>
      <c r="N1317" s="1"/>
    </row>
    <row r="1318" spans="7:14" x14ac:dyDescent="0.35">
      <c r="G1318" s="1"/>
      <c r="N1318" s="1"/>
    </row>
    <row r="1319" spans="7:14" x14ac:dyDescent="0.35">
      <c r="G1319" s="1"/>
      <c r="N1319" s="1"/>
    </row>
    <row r="1320" spans="7:14" x14ac:dyDescent="0.35">
      <c r="G1320" s="1"/>
      <c r="N1320" s="1"/>
    </row>
    <row r="1321" spans="7:14" x14ac:dyDescent="0.35">
      <c r="G1321" s="1"/>
      <c r="N1321" s="1"/>
    </row>
    <row r="1322" spans="7:14" x14ac:dyDescent="0.35">
      <c r="G1322" s="1"/>
      <c r="N1322" s="1"/>
    </row>
    <row r="1323" spans="7:14" x14ac:dyDescent="0.35">
      <c r="G1323" s="1"/>
      <c r="N1323" s="1"/>
    </row>
    <row r="1324" spans="7:14" x14ac:dyDescent="0.35">
      <c r="G1324" s="1"/>
      <c r="N1324" s="1"/>
    </row>
    <row r="1325" spans="7:14" x14ac:dyDescent="0.35">
      <c r="G1325" s="1"/>
      <c r="N1325" s="1"/>
    </row>
    <row r="1326" spans="7:14" x14ac:dyDescent="0.35">
      <c r="G1326" s="1"/>
      <c r="N1326" s="1"/>
    </row>
    <row r="1327" spans="7:14" x14ac:dyDescent="0.35">
      <c r="G1327" s="1"/>
      <c r="N1327" s="1"/>
    </row>
    <row r="1328" spans="7:14" x14ac:dyDescent="0.35">
      <c r="G1328" s="1"/>
      <c r="N1328" s="1"/>
    </row>
    <row r="1329" spans="7:14" x14ac:dyDescent="0.35">
      <c r="G1329" s="1"/>
      <c r="N1329" s="1"/>
    </row>
    <row r="1330" spans="7:14" x14ac:dyDescent="0.35">
      <c r="G1330" s="1"/>
      <c r="N1330" s="1"/>
    </row>
    <row r="1331" spans="7:14" x14ac:dyDescent="0.35">
      <c r="G1331" s="1"/>
      <c r="N1331" s="1"/>
    </row>
    <row r="1332" spans="7:14" x14ac:dyDescent="0.35">
      <c r="G1332" s="1"/>
      <c r="N1332" s="1"/>
    </row>
    <row r="1333" spans="7:14" x14ac:dyDescent="0.35">
      <c r="G1333" s="1"/>
      <c r="N1333" s="1"/>
    </row>
    <row r="1334" spans="7:14" x14ac:dyDescent="0.35">
      <c r="G1334" s="1"/>
      <c r="N1334" s="1"/>
    </row>
    <row r="1335" spans="7:14" x14ac:dyDescent="0.35">
      <c r="G1335" s="1"/>
      <c r="N1335" s="1"/>
    </row>
    <row r="1336" spans="7:14" x14ac:dyDescent="0.35">
      <c r="G1336" s="1"/>
      <c r="N1336" s="1"/>
    </row>
    <row r="1337" spans="7:14" x14ac:dyDescent="0.35">
      <c r="G1337" s="1"/>
      <c r="N1337" s="1"/>
    </row>
    <row r="1338" spans="7:14" x14ac:dyDescent="0.35">
      <c r="G1338" s="1"/>
      <c r="N1338" s="1"/>
    </row>
    <row r="1339" spans="7:14" x14ac:dyDescent="0.35">
      <c r="G1339" s="1"/>
      <c r="N1339" s="1"/>
    </row>
    <row r="1340" spans="7:14" x14ac:dyDescent="0.35">
      <c r="G1340" s="1"/>
      <c r="N1340" s="1"/>
    </row>
    <row r="1341" spans="7:14" x14ac:dyDescent="0.35">
      <c r="G1341" s="1"/>
      <c r="N1341" s="1"/>
    </row>
    <row r="1342" spans="7:14" x14ac:dyDescent="0.35">
      <c r="G1342" s="1"/>
      <c r="N1342" s="1"/>
    </row>
    <row r="1343" spans="7:14" x14ac:dyDescent="0.35">
      <c r="G1343" s="1"/>
      <c r="N1343" s="1"/>
    </row>
    <row r="1344" spans="7:14" x14ac:dyDescent="0.35">
      <c r="G1344" s="1"/>
      <c r="N1344" s="1"/>
    </row>
    <row r="1345" spans="7:14" x14ac:dyDescent="0.35">
      <c r="G1345" s="1"/>
      <c r="N1345" s="1"/>
    </row>
    <row r="1346" spans="7:14" x14ac:dyDescent="0.35">
      <c r="G1346" s="1"/>
      <c r="N1346" s="1"/>
    </row>
    <row r="1347" spans="7:14" x14ac:dyDescent="0.35">
      <c r="G1347" s="1"/>
      <c r="N1347" s="1"/>
    </row>
    <row r="1348" spans="7:14" x14ac:dyDescent="0.35">
      <c r="G1348" s="1"/>
      <c r="N1348" s="1"/>
    </row>
    <row r="1349" spans="7:14" x14ac:dyDescent="0.35">
      <c r="G1349" s="1"/>
      <c r="N1349" s="1"/>
    </row>
    <row r="1350" spans="7:14" x14ac:dyDescent="0.35">
      <c r="G1350" s="1"/>
      <c r="N1350" s="1"/>
    </row>
    <row r="1351" spans="7:14" x14ac:dyDescent="0.35">
      <c r="G1351" s="1"/>
      <c r="N1351" s="1"/>
    </row>
    <row r="1352" spans="7:14" x14ac:dyDescent="0.35">
      <c r="G1352" s="1"/>
      <c r="N1352" s="1"/>
    </row>
    <row r="1353" spans="7:14" x14ac:dyDescent="0.35">
      <c r="G1353" s="1"/>
      <c r="N1353" s="1"/>
    </row>
    <row r="1354" spans="7:14" x14ac:dyDescent="0.35">
      <c r="G1354" s="1"/>
      <c r="N1354" s="1"/>
    </row>
    <row r="1355" spans="7:14" x14ac:dyDescent="0.35">
      <c r="G1355" s="1"/>
      <c r="N1355" s="1"/>
    </row>
    <row r="1356" spans="7:14" x14ac:dyDescent="0.35">
      <c r="G1356" s="1"/>
      <c r="N1356" s="1"/>
    </row>
    <row r="1357" spans="7:14" x14ac:dyDescent="0.35">
      <c r="G1357" s="1"/>
      <c r="N1357" s="1"/>
    </row>
    <row r="1358" spans="7:14" x14ac:dyDescent="0.35">
      <c r="G1358" s="1"/>
      <c r="N1358" s="1"/>
    </row>
    <row r="1359" spans="7:14" x14ac:dyDescent="0.35">
      <c r="G1359" s="1"/>
      <c r="N1359" s="1"/>
    </row>
    <row r="1360" spans="7:14" x14ac:dyDescent="0.35">
      <c r="G1360" s="1"/>
      <c r="N1360" s="1"/>
    </row>
    <row r="1361" spans="7:14" x14ac:dyDescent="0.35">
      <c r="G1361" s="1"/>
      <c r="N1361" s="1"/>
    </row>
    <row r="1362" spans="7:14" x14ac:dyDescent="0.35">
      <c r="G1362" s="1"/>
      <c r="N1362" s="1"/>
    </row>
    <row r="1363" spans="7:14" x14ac:dyDescent="0.35">
      <c r="G1363" s="1"/>
      <c r="N1363" s="1"/>
    </row>
    <row r="1364" spans="7:14" x14ac:dyDescent="0.35">
      <c r="G1364" s="1"/>
      <c r="N1364" s="1"/>
    </row>
    <row r="1365" spans="7:14" x14ac:dyDescent="0.35">
      <c r="G1365" s="1"/>
      <c r="N1365" s="1"/>
    </row>
    <row r="1366" spans="7:14" x14ac:dyDescent="0.35">
      <c r="G1366" s="1"/>
      <c r="N1366" s="1"/>
    </row>
    <row r="1367" spans="7:14" x14ac:dyDescent="0.35">
      <c r="G1367" s="1"/>
      <c r="N1367" s="1"/>
    </row>
    <row r="1368" spans="7:14" x14ac:dyDescent="0.35">
      <c r="G1368" s="1"/>
      <c r="N1368" s="1"/>
    </row>
    <row r="1369" spans="7:14" x14ac:dyDescent="0.35">
      <c r="G1369" s="1"/>
      <c r="N1369" s="1"/>
    </row>
    <row r="1370" spans="7:14" x14ac:dyDescent="0.35">
      <c r="G1370" s="1"/>
      <c r="N1370" s="1"/>
    </row>
    <row r="1371" spans="7:14" x14ac:dyDescent="0.35">
      <c r="G1371" s="1"/>
      <c r="N1371" s="1"/>
    </row>
    <row r="1372" spans="7:14" x14ac:dyDescent="0.35">
      <c r="G1372" s="1"/>
      <c r="N1372" s="1"/>
    </row>
    <row r="1373" spans="7:14" x14ac:dyDescent="0.35">
      <c r="G1373" s="1"/>
      <c r="N1373" s="1"/>
    </row>
    <row r="1374" spans="7:14" x14ac:dyDescent="0.35">
      <c r="G1374" s="1"/>
      <c r="N1374" s="1"/>
    </row>
    <row r="1375" spans="7:14" x14ac:dyDescent="0.35">
      <c r="G1375" s="1"/>
      <c r="N1375" s="1"/>
    </row>
    <row r="1376" spans="7:14" x14ac:dyDescent="0.35">
      <c r="G1376" s="1"/>
      <c r="N1376" s="1"/>
    </row>
    <row r="1377" spans="7:14" x14ac:dyDescent="0.35">
      <c r="G1377" s="1"/>
      <c r="N1377" s="1"/>
    </row>
    <row r="1378" spans="7:14" x14ac:dyDescent="0.35">
      <c r="G1378" s="1"/>
      <c r="N1378" s="1"/>
    </row>
    <row r="1379" spans="7:14" x14ac:dyDescent="0.35">
      <c r="G1379" s="1"/>
      <c r="N1379" s="1"/>
    </row>
    <row r="1380" spans="7:14" x14ac:dyDescent="0.35">
      <c r="G1380" s="1"/>
      <c r="N1380" s="1"/>
    </row>
    <row r="1381" spans="7:14" x14ac:dyDescent="0.35">
      <c r="G1381" s="1"/>
      <c r="N1381" s="1"/>
    </row>
    <row r="1382" spans="7:14" x14ac:dyDescent="0.35">
      <c r="G1382" s="1"/>
      <c r="N1382" s="1"/>
    </row>
    <row r="1383" spans="7:14" x14ac:dyDescent="0.35">
      <c r="G1383" s="1"/>
      <c r="N1383" s="1"/>
    </row>
    <row r="1384" spans="7:14" x14ac:dyDescent="0.35">
      <c r="G1384" s="1"/>
      <c r="N1384" s="1"/>
    </row>
    <row r="1385" spans="7:14" x14ac:dyDescent="0.35">
      <c r="G1385" s="1"/>
      <c r="N1385" s="1"/>
    </row>
    <row r="1386" spans="7:14" x14ac:dyDescent="0.35">
      <c r="G1386" s="1"/>
      <c r="N1386" s="1"/>
    </row>
    <row r="1387" spans="7:14" x14ac:dyDescent="0.35">
      <c r="G1387" s="1"/>
      <c r="N1387" s="1"/>
    </row>
    <row r="1388" spans="7:14" x14ac:dyDescent="0.35">
      <c r="G1388" s="1"/>
      <c r="N1388" s="1"/>
    </row>
    <row r="1389" spans="7:14" x14ac:dyDescent="0.35">
      <c r="G1389" s="1"/>
      <c r="N1389" s="1"/>
    </row>
    <row r="1390" spans="7:14" x14ac:dyDescent="0.35">
      <c r="G1390" s="1"/>
      <c r="N1390" s="1"/>
    </row>
    <row r="1391" spans="7:14" x14ac:dyDescent="0.35">
      <c r="G1391" s="1"/>
      <c r="N1391" s="1"/>
    </row>
    <row r="1392" spans="7:14" x14ac:dyDescent="0.35">
      <c r="G1392" s="1"/>
      <c r="N1392" s="1"/>
    </row>
    <row r="1393" spans="7:14" x14ac:dyDescent="0.35">
      <c r="G1393" s="1"/>
      <c r="N1393" s="1"/>
    </row>
    <row r="1394" spans="7:14" x14ac:dyDescent="0.35">
      <c r="G1394" s="1"/>
      <c r="N1394" s="1"/>
    </row>
    <row r="1395" spans="7:14" x14ac:dyDescent="0.35">
      <c r="G1395" s="1"/>
      <c r="N1395" s="1"/>
    </row>
    <row r="1396" spans="7:14" x14ac:dyDescent="0.35">
      <c r="G1396" s="1"/>
      <c r="N1396" s="1"/>
    </row>
    <row r="1397" spans="7:14" x14ac:dyDescent="0.35">
      <c r="G1397" s="1"/>
      <c r="N1397" s="1"/>
    </row>
    <row r="1398" spans="7:14" x14ac:dyDescent="0.35">
      <c r="G1398" s="1"/>
      <c r="N1398" s="1"/>
    </row>
    <row r="1399" spans="7:14" x14ac:dyDescent="0.35">
      <c r="G1399" s="1"/>
      <c r="N1399" s="1"/>
    </row>
    <row r="1400" spans="7:14" x14ac:dyDescent="0.35">
      <c r="G1400" s="1"/>
      <c r="N1400" s="1"/>
    </row>
    <row r="1401" spans="7:14" x14ac:dyDescent="0.35">
      <c r="G1401" s="1"/>
      <c r="N1401" s="1"/>
    </row>
    <row r="1402" spans="7:14" x14ac:dyDescent="0.35">
      <c r="G1402" s="1"/>
      <c r="N1402" s="1"/>
    </row>
    <row r="1403" spans="7:14" x14ac:dyDescent="0.35">
      <c r="G1403" s="1"/>
      <c r="N1403" s="1"/>
    </row>
    <row r="1404" spans="7:14" x14ac:dyDescent="0.35">
      <c r="G1404" s="1"/>
      <c r="N1404" s="1"/>
    </row>
    <row r="1405" spans="7:14" x14ac:dyDescent="0.35">
      <c r="G1405" s="1"/>
      <c r="N1405" s="1"/>
    </row>
    <row r="1406" spans="7:14" x14ac:dyDescent="0.35">
      <c r="G1406" s="1"/>
      <c r="N1406" s="1"/>
    </row>
    <row r="1407" spans="7:14" x14ac:dyDescent="0.35">
      <c r="G1407" s="1"/>
      <c r="N1407" s="1"/>
    </row>
    <row r="1408" spans="7:14" x14ac:dyDescent="0.35">
      <c r="G1408" s="1"/>
      <c r="N1408" s="1"/>
    </row>
    <row r="1409" spans="7:14" x14ac:dyDescent="0.35">
      <c r="G1409" s="1"/>
      <c r="N1409" s="1"/>
    </row>
    <row r="1410" spans="7:14" x14ac:dyDescent="0.35">
      <c r="G1410" s="1"/>
      <c r="N1410" s="1"/>
    </row>
    <row r="1411" spans="7:14" x14ac:dyDescent="0.35">
      <c r="G1411" s="1"/>
      <c r="N1411" s="1"/>
    </row>
    <row r="1412" spans="7:14" x14ac:dyDescent="0.35">
      <c r="G1412" s="1"/>
      <c r="N1412" s="1"/>
    </row>
    <row r="1413" spans="7:14" x14ac:dyDescent="0.35">
      <c r="G1413" s="1"/>
      <c r="N1413" s="1"/>
    </row>
    <row r="1414" spans="7:14" x14ac:dyDescent="0.35">
      <c r="G1414" s="1"/>
      <c r="N1414" s="1"/>
    </row>
    <row r="1415" spans="7:14" x14ac:dyDescent="0.35">
      <c r="G1415" s="1"/>
      <c r="N1415" s="1"/>
    </row>
    <row r="1416" spans="7:14" x14ac:dyDescent="0.35">
      <c r="G1416" s="1"/>
      <c r="N1416" s="1"/>
    </row>
    <row r="1417" spans="7:14" x14ac:dyDescent="0.35">
      <c r="G1417" s="1"/>
      <c r="N1417" s="1"/>
    </row>
    <row r="1418" spans="7:14" x14ac:dyDescent="0.35">
      <c r="G1418" s="1"/>
      <c r="N1418" s="1"/>
    </row>
    <row r="1419" spans="7:14" x14ac:dyDescent="0.35">
      <c r="G1419" s="1"/>
      <c r="N1419" s="1"/>
    </row>
    <row r="1420" spans="7:14" x14ac:dyDescent="0.35">
      <c r="G1420" s="1"/>
      <c r="N1420" s="1"/>
    </row>
    <row r="1421" spans="7:14" x14ac:dyDescent="0.35">
      <c r="G1421" s="1"/>
      <c r="N1421" s="1"/>
    </row>
    <row r="1422" spans="7:14" x14ac:dyDescent="0.35">
      <c r="G1422" s="1"/>
      <c r="N1422" s="1"/>
    </row>
    <row r="1423" spans="7:14" x14ac:dyDescent="0.35">
      <c r="G1423" s="1"/>
      <c r="N1423" s="1"/>
    </row>
    <row r="1424" spans="7:14" x14ac:dyDescent="0.35">
      <c r="G1424" s="1"/>
      <c r="N1424" s="1"/>
    </row>
    <row r="1425" spans="7:14" x14ac:dyDescent="0.35">
      <c r="G1425" s="1"/>
      <c r="N1425" s="1"/>
    </row>
    <row r="1426" spans="7:14" x14ac:dyDescent="0.35">
      <c r="G1426" s="1"/>
      <c r="N1426" s="1"/>
    </row>
    <row r="1427" spans="7:14" x14ac:dyDescent="0.35">
      <c r="G1427" s="1"/>
      <c r="N1427" s="1"/>
    </row>
    <row r="1428" spans="7:14" x14ac:dyDescent="0.35">
      <c r="G1428" s="1"/>
      <c r="N1428" s="1"/>
    </row>
    <row r="1429" spans="7:14" x14ac:dyDescent="0.35">
      <c r="G1429" s="1"/>
      <c r="N1429" s="1"/>
    </row>
    <row r="1430" spans="7:14" x14ac:dyDescent="0.35">
      <c r="G1430" s="1"/>
      <c r="N1430" s="1"/>
    </row>
    <row r="1431" spans="7:14" x14ac:dyDescent="0.35">
      <c r="G1431" s="1"/>
      <c r="N1431" s="1"/>
    </row>
    <row r="1432" spans="7:14" x14ac:dyDescent="0.35">
      <c r="G1432" s="1"/>
      <c r="N1432" s="1"/>
    </row>
    <row r="1433" spans="7:14" x14ac:dyDescent="0.35">
      <c r="G1433" s="1"/>
      <c r="N1433" s="1"/>
    </row>
    <row r="1434" spans="7:14" x14ac:dyDescent="0.35">
      <c r="G1434" s="1"/>
      <c r="N1434" s="1"/>
    </row>
    <row r="1435" spans="7:14" x14ac:dyDescent="0.35">
      <c r="G1435" s="1"/>
      <c r="N1435" s="1"/>
    </row>
    <row r="1436" spans="7:14" x14ac:dyDescent="0.35">
      <c r="G1436" s="1"/>
      <c r="N1436" s="1"/>
    </row>
    <row r="1437" spans="7:14" x14ac:dyDescent="0.35">
      <c r="G1437" s="1"/>
      <c r="N1437" s="1"/>
    </row>
    <row r="1438" spans="7:14" x14ac:dyDescent="0.35">
      <c r="G1438" s="1"/>
      <c r="N1438" s="1"/>
    </row>
    <row r="1439" spans="7:14" x14ac:dyDescent="0.35">
      <c r="G1439" s="1"/>
      <c r="N1439" s="1"/>
    </row>
    <row r="1440" spans="7:14" x14ac:dyDescent="0.35">
      <c r="G1440" s="1"/>
      <c r="N1440" s="1"/>
    </row>
    <row r="1441" spans="7:14" x14ac:dyDescent="0.35">
      <c r="G1441" s="1"/>
      <c r="N1441" s="1"/>
    </row>
    <row r="1442" spans="7:14" x14ac:dyDescent="0.35">
      <c r="G1442" s="1"/>
      <c r="N1442" s="1"/>
    </row>
    <row r="1443" spans="7:14" x14ac:dyDescent="0.35">
      <c r="G1443" s="1"/>
      <c r="N1443" s="1"/>
    </row>
    <row r="1444" spans="7:14" x14ac:dyDescent="0.35">
      <c r="G1444" s="1"/>
      <c r="N1444" s="1"/>
    </row>
    <row r="1445" spans="7:14" x14ac:dyDescent="0.35">
      <c r="G1445" s="1"/>
      <c r="N1445" s="1"/>
    </row>
    <row r="1446" spans="7:14" x14ac:dyDescent="0.35">
      <c r="G1446" s="1"/>
      <c r="N1446" s="1"/>
    </row>
    <row r="1447" spans="7:14" x14ac:dyDescent="0.35">
      <c r="G1447" s="1"/>
      <c r="N1447" s="1"/>
    </row>
    <row r="1448" spans="7:14" x14ac:dyDescent="0.35">
      <c r="G1448" s="1"/>
      <c r="N1448" s="1"/>
    </row>
    <row r="1449" spans="7:14" x14ac:dyDescent="0.35">
      <c r="G1449" s="1"/>
      <c r="N1449" s="1"/>
    </row>
    <row r="1450" spans="7:14" x14ac:dyDescent="0.35">
      <c r="G1450" s="1"/>
      <c r="N1450" s="1"/>
    </row>
    <row r="1451" spans="7:14" x14ac:dyDescent="0.35">
      <c r="G1451" s="1"/>
      <c r="N1451" s="1"/>
    </row>
    <row r="1452" spans="7:14" x14ac:dyDescent="0.35">
      <c r="G1452" s="1"/>
      <c r="N1452" s="1"/>
    </row>
    <row r="1453" spans="7:14" x14ac:dyDescent="0.35">
      <c r="G1453" s="1"/>
      <c r="N1453" s="1"/>
    </row>
    <row r="1454" spans="7:14" x14ac:dyDescent="0.35">
      <c r="G1454" s="1"/>
      <c r="N1454" s="1"/>
    </row>
    <row r="1455" spans="7:14" x14ac:dyDescent="0.35">
      <c r="G1455" s="1"/>
      <c r="N1455" s="1"/>
    </row>
    <row r="1456" spans="7:14" x14ac:dyDescent="0.35">
      <c r="G1456" s="1"/>
      <c r="N1456" s="1"/>
    </row>
    <row r="1457" spans="7:14" x14ac:dyDescent="0.35">
      <c r="G1457" s="1"/>
      <c r="N1457" s="1"/>
    </row>
    <row r="1458" spans="7:14" x14ac:dyDescent="0.35">
      <c r="G1458" s="1"/>
      <c r="N1458" s="1"/>
    </row>
    <row r="1459" spans="7:14" x14ac:dyDescent="0.35">
      <c r="G1459" s="1"/>
      <c r="N1459" s="1"/>
    </row>
    <row r="1460" spans="7:14" x14ac:dyDescent="0.35">
      <c r="G1460" s="1"/>
      <c r="N1460" s="1"/>
    </row>
    <row r="1461" spans="7:14" x14ac:dyDescent="0.35">
      <c r="G1461" s="1"/>
      <c r="N1461" s="1"/>
    </row>
    <row r="1462" spans="7:14" x14ac:dyDescent="0.35">
      <c r="G1462" s="1"/>
      <c r="N1462" s="1"/>
    </row>
    <row r="1463" spans="7:14" x14ac:dyDescent="0.35">
      <c r="G1463" s="1"/>
      <c r="N1463" s="1"/>
    </row>
    <row r="1464" spans="7:14" x14ac:dyDescent="0.35">
      <c r="G1464" s="1"/>
      <c r="N1464" s="1"/>
    </row>
    <row r="1465" spans="7:14" x14ac:dyDescent="0.35">
      <c r="G1465" s="1"/>
      <c r="N1465" s="1"/>
    </row>
    <row r="1466" spans="7:14" x14ac:dyDescent="0.35">
      <c r="G1466" s="1"/>
      <c r="N1466" s="1"/>
    </row>
    <row r="1467" spans="7:14" x14ac:dyDescent="0.35">
      <c r="G1467" s="1"/>
      <c r="N1467" s="1"/>
    </row>
    <row r="1468" spans="7:14" x14ac:dyDescent="0.35">
      <c r="G1468" s="1"/>
      <c r="N1468" s="1"/>
    </row>
    <row r="1469" spans="7:14" x14ac:dyDescent="0.35">
      <c r="G1469" s="1"/>
      <c r="N1469" s="1"/>
    </row>
    <row r="1470" spans="7:14" x14ac:dyDescent="0.35">
      <c r="G1470" s="1"/>
      <c r="N1470" s="1"/>
    </row>
    <row r="1471" spans="7:14" x14ac:dyDescent="0.35">
      <c r="G1471" s="1"/>
      <c r="N1471" s="1"/>
    </row>
    <row r="1472" spans="7:14" x14ac:dyDescent="0.35">
      <c r="G1472" s="1"/>
      <c r="N1472" s="1"/>
    </row>
    <row r="1473" spans="7:14" x14ac:dyDescent="0.35">
      <c r="G1473" s="1"/>
      <c r="N1473" s="1"/>
    </row>
    <row r="1474" spans="7:14" x14ac:dyDescent="0.35">
      <c r="G1474" s="1"/>
      <c r="N1474" s="1"/>
    </row>
    <row r="1475" spans="7:14" x14ac:dyDescent="0.35">
      <c r="G1475" s="1"/>
      <c r="N1475" s="1"/>
    </row>
    <row r="1476" spans="7:14" x14ac:dyDescent="0.35">
      <c r="G1476" s="1"/>
      <c r="N1476" s="1"/>
    </row>
    <row r="1477" spans="7:14" x14ac:dyDescent="0.35">
      <c r="G1477" s="1"/>
      <c r="N1477" s="1"/>
    </row>
    <row r="1478" spans="7:14" x14ac:dyDescent="0.35">
      <c r="G1478" s="1"/>
      <c r="N1478" s="1"/>
    </row>
    <row r="1479" spans="7:14" x14ac:dyDescent="0.35">
      <c r="G1479" s="1"/>
      <c r="N1479" s="1"/>
    </row>
    <row r="1480" spans="7:14" x14ac:dyDescent="0.35">
      <c r="G1480" s="1"/>
      <c r="N1480" s="1"/>
    </row>
    <row r="1481" spans="7:14" x14ac:dyDescent="0.35">
      <c r="G1481" s="1"/>
      <c r="N1481" s="1"/>
    </row>
    <row r="1482" spans="7:14" x14ac:dyDescent="0.35">
      <c r="G1482" s="1"/>
      <c r="N1482" s="1"/>
    </row>
    <row r="1483" spans="7:14" x14ac:dyDescent="0.35">
      <c r="G1483" s="1"/>
      <c r="N1483" s="1"/>
    </row>
    <row r="1484" spans="7:14" x14ac:dyDescent="0.35">
      <c r="G1484" s="1"/>
      <c r="N1484" s="1"/>
    </row>
    <row r="1485" spans="7:14" x14ac:dyDescent="0.35">
      <c r="G1485" s="1"/>
      <c r="N1485" s="1"/>
    </row>
    <row r="1486" spans="7:14" x14ac:dyDescent="0.35">
      <c r="G1486" s="1"/>
      <c r="N1486" s="1"/>
    </row>
    <row r="1487" spans="7:14" x14ac:dyDescent="0.35">
      <c r="G1487" s="1"/>
      <c r="N1487" s="1"/>
    </row>
    <row r="1488" spans="7:14" x14ac:dyDescent="0.35">
      <c r="G1488" s="1"/>
      <c r="N1488" s="1"/>
    </row>
    <row r="1489" spans="7:14" x14ac:dyDescent="0.35">
      <c r="G1489" s="1"/>
      <c r="N1489" s="1"/>
    </row>
    <row r="1490" spans="7:14" x14ac:dyDescent="0.35">
      <c r="G1490" s="1"/>
      <c r="N1490" s="1"/>
    </row>
    <row r="1491" spans="7:14" x14ac:dyDescent="0.35">
      <c r="G1491" s="1"/>
      <c r="N1491" s="1"/>
    </row>
    <row r="1492" spans="7:14" x14ac:dyDescent="0.35">
      <c r="G1492" s="1"/>
      <c r="N1492" s="1"/>
    </row>
    <row r="1493" spans="7:14" x14ac:dyDescent="0.35">
      <c r="G1493" s="1"/>
      <c r="N1493" s="1"/>
    </row>
    <row r="1494" spans="7:14" x14ac:dyDescent="0.35">
      <c r="G1494" s="1"/>
      <c r="N1494" s="1"/>
    </row>
    <row r="1495" spans="7:14" x14ac:dyDescent="0.35">
      <c r="G1495" s="1"/>
      <c r="N1495" s="1"/>
    </row>
    <row r="1496" spans="7:14" x14ac:dyDescent="0.35">
      <c r="G1496" s="1"/>
      <c r="N1496" s="1"/>
    </row>
    <row r="1497" spans="7:14" x14ac:dyDescent="0.35">
      <c r="G1497" s="1"/>
      <c r="N1497" s="1"/>
    </row>
    <row r="1498" spans="7:14" x14ac:dyDescent="0.35">
      <c r="G1498" s="1"/>
      <c r="N1498" s="1"/>
    </row>
    <row r="1499" spans="7:14" x14ac:dyDescent="0.35">
      <c r="G1499" s="1"/>
      <c r="N1499" s="1"/>
    </row>
    <row r="1500" spans="7:14" x14ac:dyDescent="0.35">
      <c r="G1500" s="1"/>
      <c r="N1500" s="1"/>
    </row>
    <row r="1501" spans="7:14" x14ac:dyDescent="0.35">
      <c r="G1501" s="1"/>
      <c r="N1501" s="1"/>
    </row>
    <row r="1502" spans="7:14" x14ac:dyDescent="0.35">
      <c r="G1502" s="1"/>
      <c r="N1502" s="1"/>
    </row>
    <row r="1503" spans="7:14" x14ac:dyDescent="0.35">
      <c r="G1503" s="1"/>
      <c r="N1503" s="1"/>
    </row>
    <row r="1504" spans="7:14" x14ac:dyDescent="0.35">
      <c r="G1504" s="1"/>
      <c r="N1504" s="1"/>
    </row>
    <row r="1505" spans="7:14" x14ac:dyDescent="0.35">
      <c r="G1505" s="1"/>
      <c r="N1505" s="1"/>
    </row>
    <row r="1506" spans="7:14" x14ac:dyDescent="0.35">
      <c r="G1506" s="1"/>
      <c r="N1506" s="1"/>
    </row>
    <row r="1507" spans="7:14" x14ac:dyDescent="0.35">
      <c r="G1507" s="1"/>
      <c r="N1507" s="1"/>
    </row>
    <row r="1508" spans="7:14" x14ac:dyDescent="0.35">
      <c r="G1508" s="1"/>
      <c r="N1508" s="1"/>
    </row>
    <row r="1509" spans="7:14" x14ac:dyDescent="0.35">
      <c r="G1509" s="1"/>
      <c r="N1509" s="1"/>
    </row>
    <row r="1510" spans="7:14" x14ac:dyDescent="0.35">
      <c r="G1510" s="1"/>
      <c r="N1510" s="1"/>
    </row>
    <row r="1511" spans="7:14" x14ac:dyDescent="0.35">
      <c r="G1511" s="1"/>
      <c r="N1511" s="1"/>
    </row>
    <row r="1512" spans="7:14" x14ac:dyDescent="0.35">
      <c r="G1512" s="1"/>
      <c r="N1512" s="1"/>
    </row>
    <row r="1513" spans="7:14" x14ac:dyDescent="0.35">
      <c r="G1513" s="1"/>
      <c r="N1513" s="1"/>
    </row>
    <row r="1514" spans="7:14" x14ac:dyDescent="0.35">
      <c r="G1514" s="1"/>
      <c r="N1514" s="1"/>
    </row>
    <row r="1515" spans="7:14" x14ac:dyDescent="0.35">
      <c r="G1515" s="1"/>
      <c r="N1515" s="1"/>
    </row>
    <row r="1516" spans="7:14" x14ac:dyDescent="0.35">
      <c r="G1516" s="1"/>
      <c r="N1516" s="1"/>
    </row>
    <row r="1517" spans="7:14" x14ac:dyDescent="0.35">
      <c r="G1517" s="1"/>
      <c r="N1517" s="1"/>
    </row>
    <row r="1518" spans="7:14" x14ac:dyDescent="0.35">
      <c r="G1518" s="1"/>
      <c r="N1518" s="1"/>
    </row>
    <row r="1519" spans="7:14" x14ac:dyDescent="0.35">
      <c r="G1519" s="1"/>
      <c r="N1519" s="1"/>
    </row>
    <row r="1520" spans="7:14" x14ac:dyDescent="0.35">
      <c r="G1520" s="1"/>
      <c r="N1520" s="1"/>
    </row>
    <row r="1521" spans="7:14" x14ac:dyDescent="0.35">
      <c r="G1521" s="1"/>
      <c r="N1521" s="1"/>
    </row>
    <row r="1522" spans="7:14" x14ac:dyDescent="0.35">
      <c r="G1522" s="1"/>
      <c r="N1522" s="1"/>
    </row>
    <row r="1523" spans="7:14" x14ac:dyDescent="0.35">
      <c r="G1523" s="1"/>
      <c r="N1523" s="1"/>
    </row>
    <row r="1524" spans="7:14" x14ac:dyDescent="0.35">
      <c r="G1524" s="1"/>
      <c r="N1524" s="1"/>
    </row>
    <row r="1525" spans="7:14" x14ac:dyDescent="0.35">
      <c r="G1525" s="1"/>
      <c r="N1525" s="1"/>
    </row>
    <row r="1526" spans="7:14" x14ac:dyDescent="0.35">
      <c r="G1526" s="1"/>
      <c r="N1526" s="1"/>
    </row>
    <row r="1527" spans="7:14" x14ac:dyDescent="0.35">
      <c r="G1527" s="1"/>
      <c r="N1527" s="1"/>
    </row>
    <row r="1528" spans="7:14" x14ac:dyDescent="0.35">
      <c r="G1528" s="1"/>
      <c r="N1528" s="1"/>
    </row>
    <row r="1529" spans="7:14" x14ac:dyDescent="0.35">
      <c r="G1529" s="1"/>
      <c r="N1529" s="1"/>
    </row>
    <row r="1530" spans="7:14" x14ac:dyDescent="0.35">
      <c r="G1530" s="1"/>
      <c r="N1530" s="1"/>
    </row>
    <row r="1531" spans="7:14" x14ac:dyDescent="0.35">
      <c r="G1531" s="1"/>
      <c r="N1531" s="1"/>
    </row>
    <row r="1532" spans="7:14" x14ac:dyDescent="0.35">
      <c r="G1532" s="1"/>
      <c r="N1532" s="1"/>
    </row>
    <row r="1533" spans="7:14" x14ac:dyDescent="0.35">
      <c r="G1533" s="1"/>
      <c r="N1533" s="1"/>
    </row>
    <row r="1534" spans="7:14" x14ac:dyDescent="0.35">
      <c r="G1534" s="1"/>
      <c r="N1534" s="1"/>
    </row>
    <row r="1535" spans="7:14" x14ac:dyDescent="0.35">
      <c r="G1535" s="1"/>
      <c r="N1535" s="1"/>
    </row>
    <row r="1536" spans="7:14" x14ac:dyDescent="0.35">
      <c r="G1536" s="1"/>
      <c r="N1536" s="1"/>
    </row>
    <row r="1537" spans="7:14" x14ac:dyDescent="0.35">
      <c r="G1537" s="1"/>
      <c r="N1537" s="1"/>
    </row>
    <row r="1538" spans="7:14" x14ac:dyDescent="0.35">
      <c r="G1538" s="1"/>
      <c r="N1538" s="1"/>
    </row>
    <row r="1539" spans="7:14" x14ac:dyDescent="0.35">
      <c r="G1539" s="1"/>
      <c r="N1539" s="1"/>
    </row>
    <row r="1540" spans="7:14" x14ac:dyDescent="0.35">
      <c r="G1540" s="1"/>
      <c r="N1540" s="1"/>
    </row>
    <row r="1541" spans="7:14" x14ac:dyDescent="0.35">
      <c r="G1541" s="1"/>
      <c r="N1541" s="1"/>
    </row>
    <row r="1542" spans="7:14" x14ac:dyDescent="0.35">
      <c r="G1542" s="1"/>
      <c r="N1542" s="1"/>
    </row>
    <row r="1543" spans="7:14" x14ac:dyDescent="0.35">
      <c r="G1543" s="1"/>
      <c r="N1543" s="1"/>
    </row>
    <row r="1544" spans="7:14" x14ac:dyDescent="0.35">
      <c r="G1544" s="1"/>
      <c r="N1544" s="1"/>
    </row>
    <row r="1545" spans="7:14" x14ac:dyDescent="0.35">
      <c r="G1545" s="1"/>
      <c r="N1545" s="1"/>
    </row>
    <row r="1546" spans="7:14" x14ac:dyDescent="0.35">
      <c r="G1546" s="1"/>
      <c r="N1546" s="1"/>
    </row>
    <row r="1547" spans="7:14" x14ac:dyDescent="0.35">
      <c r="G1547" s="1"/>
      <c r="N1547" s="1"/>
    </row>
    <row r="1548" spans="7:14" x14ac:dyDescent="0.35">
      <c r="G1548" s="1"/>
      <c r="N1548" s="1"/>
    </row>
    <row r="1549" spans="7:14" x14ac:dyDescent="0.35">
      <c r="G1549" s="1"/>
      <c r="N1549" s="1"/>
    </row>
    <row r="1550" spans="7:14" x14ac:dyDescent="0.35">
      <c r="G1550" s="1"/>
      <c r="N1550" s="1"/>
    </row>
    <row r="1551" spans="7:14" x14ac:dyDescent="0.35">
      <c r="G1551" s="1"/>
      <c r="N1551" s="1"/>
    </row>
    <row r="1552" spans="7:14" x14ac:dyDescent="0.35">
      <c r="G1552" s="1"/>
      <c r="N1552" s="1"/>
    </row>
    <row r="1553" spans="7:14" x14ac:dyDescent="0.35">
      <c r="G1553" s="1"/>
      <c r="N1553" s="1"/>
    </row>
    <row r="1554" spans="7:14" x14ac:dyDescent="0.35">
      <c r="G1554" s="1"/>
      <c r="N1554" s="1"/>
    </row>
    <row r="1555" spans="7:14" x14ac:dyDescent="0.35">
      <c r="G1555" s="1"/>
      <c r="N1555" s="1"/>
    </row>
    <row r="1556" spans="7:14" x14ac:dyDescent="0.35">
      <c r="G1556" s="1"/>
      <c r="N1556" s="1"/>
    </row>
    <row r="1557" spans="7:14" x14ac:dyDescent="0.35">
      <c r="G1557" s="1"/>
      <c r="N1557" s="1"/>
    </row>
    <row r="1558" spans="7:14" x14ac:dyDescent="0.35">
      <c r="G1558" s="1"/>
      <c r="N1558" s="1"/>
    </row>
    <row r="1559" spans="7:14" x14ac:dyDescent="0.35">
      <c r="G1559" s="1"/>
      <c r="N1559" s="1"/>
    </row>
    <row r="1560" spans="7:14" x14ac:dyDescent="0.35">
      <c r="G1560" s="1"/>
      <c r="N1560" s="1"/>
    </row>
    <row r="1561" spans="7:14" x14ac:dyDescent="0.35">
      <c r="G1561" s="1"/>
      <c r="N1561" s="1"/>
    </row>
    <row r="1562" spans="7:14" x14ac:dyDescent="0.35">
      <c r="G1562" s="1"/>
      <c r="N1562" s="1"/>
    </row>
    <row r="1563" spans="7:14" x14ac:dyDescent="0.35">
      <c r="G1563" s="1"/>
      <c r="N1563" s="1"/>
    </row>
    <row r="1564" spans="7:14" x14ac:dyDescent="0.35">
      <c r="G1564" s="1"/>
      <c r="N1564" s="1"/>
    </row>
    <row r="1565" spans="7:14" x14ac:dyDescent="0.35">
      <c r="G1565" s="1"/>
      <c r="N1565" s="1"/>
    </row>
    <row r="1566" spans="7:14" x14ac:dyDescent="0.35">
      <c r="G1566" s="1"/>
      <c r="N1566" s="1"/>
    </row>
    <row r="1567" spans="7:14" x14ac:dyDescent="0.35">
      <c r="G1567" s="1"/>
      <c r="N1567" s="1"/>
    </row>
    <row r="1568" spans="7:14" x14ac:dyDescent="0.35">
      <c r="G1568" s="1"/>
      <c r="N1568" s="1"/>
    </row>
    <row r="1569" spans="7:14" x14ac:dyDescent="0.35">
      <c r="G1569" s="1"/>
      <c r="N1569" s="1"/>
    </row>
    <row r="1570" spans="7:14" x14ac:dyDescent="0.35">
      <c r="G1570" s="1"/>
      <c r="N1570" s="1"/>
    </row>
    <row r="1571" spans="7:14" x14ac:dyDescent="0.35">
      <c r="G1571" s="1"/>
      <c r="N1571" s="1"/>
    </row>
    <row r="1572" spans="7:14" x14ac:dyDescent="0.35">
      <c r="G1572" s="1"/>
      <c r="N1572" s="1"/>
    </row>
    <row r="1573" spans="7:14" x14ac:dyDescent="0.35">
      <c r="G1573" s="1"/>
      <c r="N1573" s="1"/>
    </row>
    <row r="1574" spans="7:14" x14ac:dyDescent="0.35">
      <c r="G1574" s="1"/>
      <c r="N1574" s="1"/>
    </row>
    <row r="1575" spans="7:14" x14ac:dyDescent="0.35">
      <c r="G1575" s="1"/>
      <c r="N1575" s="1"/>
    </row>
    <row r="1576" spans="7:14" x14ac:dyDescent="0.35">
      <c r="G1576" s="1"/>
      <c r="N1576" s="1"/>
    </row>
    <row r="1577" spans="7:14" x14ac:dyDescent="0.35">
      <c r="G1577" s="1"/>
      <c r="N1577" s="1"/>
    </row>
    <row r="1578" spans="7:14" x14ac:dyDescent="0.35">
      <c r="G1578" s="1"/>
      <c r="N1578" s="1"/>
    </row>
    <row r="1579" spans="7:14" x14ac:dyDescent="0.35">
      <c r="G1579" s="1"/>
      <c r="N1579" s="1"/>
    </row>
    <row r="1580" spans="7:14" x14ac:dyDescent="0.35">
      <c r="G1580" s="1"/>
      <c r="N1580" s="1"/>
    </row>
    <row r="1581" spans="7:14" x14ac:dyDescent="0.35">
      <c r="G1581" s="1"/>
      <c r="N1581" s="1"/>
    </row>
    <row r="1582" spans="7:14" x14ac:dyDescent="0.35">
      <c r="G1582" s="1"/>
      <c r="N1582" s="1"/>
    </row>
    <row r="1583" spans="7:14" x14ac:dyDescent="0.35">
      <c r="G1583" s="1"/>
      <c r="N1583" s="1"/>
    </row>
    <row r="1584" spans="7:14" x14ac:dyDescent="0.35">
      <c r="G1584" s="1"/>
      <c r="N1584" s="1"/>
    </row>
    <row r="1585" spans="7:14" x14ac:dyDescent="0.35">
      <c r="G1585" s="1"/>
      <c r="N1585" s="1"/>
    </row>
    <row r="1586" spans="7:14" x14ac:dyDescent="0.35">
      <c r="G1586" s="1"/>
      <c r="N1586" s="1"/>
    </row>
    <row r="1587" spans="7:14" x14ac:dyDescent="0.35">
      <c r="G1587" s="1"/>
      <c r="N1587" s="1"/>
    </row>
    <row r="1588" spans="7:14" x14ac:dyDescent="0.35">
      <c r="G1588" s="1"/>
      <c r="N1588" s="1"/>
    </row>
    <row r="1589" spans="7:14" x14ac:dyDescent="0.35">
      <c r="G1589" s="1"/>
      <c r="N1589" s="1"/>
    </row>
    <row r="1590" spans="7:14" x14ac:dyDescent="0.35">
      <c r="G1590" s="1"/>
      <c r="N1590" s="1"/>
    </row>
    <row r="1591" spans="7:14" x14ac:dyDescent="0.35">
      <c r="G1591" s="1"/>
      <c r="N1591" s="1"/>
    </row>
    <row r="1592" spans="7:14" x14ac:dyDescent="0.35">
      <c r="G1592" s="1"/>
      <c r="N1592" s="1"/>
    </row>
    <row r="1593" spans="7:14" x14ac:dyDescent="0.35">
      <c r="G1593" s="1"/>
      <c r="N1593" s="1"/>
    </row>
    <row r="1594" spans="7:14" x14ac:dyDescent="0.35">
      <c r="G1594" s="1"/>
      <c r="N1594" s="1"/>
    </row>
    <row r="1595" spans="7:14" x14ac:dyDescent="0.35">
      <c r="G1595" s="1"/>
      <c r="N1595" s="1"/>
    </row>
    <row r="1596" spans="7:14" x14ac:dyDescent="0.35">
      <c r="G1596" s="1"/>
      <c r="N1596" s="1"/>
    </row>
    <row r="1597" spans="7:14" x14ac:dyDescent="0.35">
      <c r="G1597" s="1"/>
      <c r="N1597" s="1"/>
    </row>
    <row r="1598" spans="7:14" x14ac:dyDescent="0.35">
      <c r="G1598" s="1"/>
      <c r="N1598" s="1"/>
    </row>
    <row r="1599" spans="7:14" x14ac:dyDescent="0.35">
      <c r="G1599" s="1"/>
      <c r="N1599" s="1"/>
    </row>
    <row r="1600" spans="7:14" x14ac:dyDescent="0.35">
      <c r="G1600" s="1"/>
      <c r="N1600" s="1"/>
    </row>
    <row r="1601" spans="7:14" x14ac:dyDescent="0.35">
      <c r="G1601" s="1"/>
      <c r="N1601" s="1"/>
    </row>
    <row r="1602" spans="7:14" x14ac:dyDescent="0.35">
      <c r="G1602" s="1"/>
      <c r="N1602" s="1"/>
    </row>
    <row r="1603" spans="7:14" x14ac:dyDescent="0.35">
      <c r="G1603" s="1"/>
      <c r="N1603" s="1"/>
    </row>
    <row r="1604" spans="7:14" x14ac:dyDescent="0.35">
      <c r="G1604" s="1"/>
      <c r="N1604" s="1"/>
    </row>
    <row r="1605" spans="7:14" x14ac:dyDescent="0.35">
      <c r="G1605" s="1"/>
      <c r="N1605" s="1"/>
    </row>
    <row r="1606" spans="7:14" x14ac:dyDescent="0.35">
      <c r="G1606" s="1"/>
      <c r="N1606" s="1"/>
    </row>
    <row r="1607" spans="7:14" x14ac:dyDescent="0.35">
      <c r="G1607" s="1"/>
      <c r="N1607" s="1"/>
    </row>
    <row r="1608" spans="7:14" x14ac:dyDescent="0.35">
      <c r="G1608" s="1"/>
      <c r="N1608" s="1"/>
    </row>
    <row r="1609" spans="7:14" x14ac:dyDescent="0.35">
      <c r="G1609" s="1"/>
      <c r="N1609" s="1"/>
    </row>
    <row r="1610" spans="7:14" x14ac:dyDescent="0.35">
      <c r="G1610" s="1"/>
      <c r="N1610" s="1"/>
    </row>
    <row r="1611" spans="7:14" x14ac:dyDescent="0.35">
      <c r="G1611" s="1"/>
      <c r="N1611" s="1"/>
    </row>
    <row r="1612" spans="7:14" x14ac:dyDescent="0.35">
      <c r="G1612" s="1"/>
      <c r="N1612" s="1"/>
    </row>
    <row r="1613" spans="7:14" x14ac:dyDescent="0.35">
      <c r="G1613" s="1"/>
      <c r="N1613" s="1"/>
    </row>
    <row r="1614" spans="7:14" x14ac:dyDescent="0.35">
      <c r="G1614" s="1"/>
      <c r="N1614" s="1"/>
    </row>
    <row r="1615" spans="7:14" x14ac:dyDescent="0.35">
      <c r="G1615" s="1"/>
      <c r="N1615" s="1"/>
    </row>
    <row r="1616" spans="7:14" x14ac:dyDescent="0.35">
      <c r="G1616" s="1"/>
      <c r="N1616" s="1"/>
    </row>
    <row r="1617" spans="7:14" x14ac:dyDescent="0.35">
      <c r="G1617" s="1"/>
      <c r="N1617" s="1"/>
    </row>
    <row r="1618" spans="7:14" x14ac:dyDescent="0.35">
      <c r="G1618" s="1"/>
      <c r="N1618" s="1"/>
    </row>
    <row r="1619" spans="7:14" x14ac:dyDescent="0.35">
      <c r="G1619" s="1"/>
      <c r="N1619" s="1"/>
    </row>
    <row r="1620" spans="7:14" x14ac:dyDescent="0.35">
      <c r="G1620" s="1"/>
      <c r="N1620" s="1"/>
    </row>
    <row r="1621" spans="7:14" x14ac:dyDescent="0.35">
      <c r="G1621" s="1"/>
      <c r="N1621" s="1"/>
    </row>
    <row r="1622" spans="7:14" x14ac:dyDescent="0.35">
      <c r="G1622" s="1"/>
      <c r="N1622" s="1"/>
    </row>
    <row r="1623" spans="7:14" x14ac:dyDescent="0.35">
      <c r="G1623" s="1"/>
      <c r="N1623" s="1"/>
    </row>
    <row r="1624" spans="7:14" x14ac:dyDescent="0.35">
      <c r="G1624" s="1"/>
      <c r="N1624" s="1"/>
    </row>
    <row r="1625" spans="7:14" x14ac:dyDescent="0.35">
      <c r="G1625" s="1"/>
      <c r="N1625" s="1"/>
    </row>
    <row r="1626" spans="7:14" x14ac:dyDescent="0.35">
      <c r="G1626" s="1"/>
      <c r="N1626" s="1"/>
    </row>
    <row r="1627" spans="7:14" x14ac:dyDescent="0.35">
      <c r="G1627" s="1"/>
      <c r="N1627" s="1"/>
    </row>
    <row r="1628" spans="7:14" x14ac:dyDescent="0.35">
      <c r="G1628" s="1"/>
      <c r="N1628" s="1"/>
    </row>
    <row r="1629" spans="7:14" x14ac:dyDescent="0.35">
      <c r="G1629" s="1"/>
      <c r="N1629" s="1"/>
    </row>
    <row r="1630" spans="7:14" x14ac:dyDescent="0.35">
      <c r="G1630" s="1"/>
      <c r="N1630" s="1"/>
    </row>
    <row r="1631" spans="7:14" x14ac:dyDescent="0.35">
      <c r="G1631" s="1"/>
      <c r="N1631" s="1"/>
    </row>
    <row r="1632" spans="7:14" x14ac:dyDescent="0.35">
      <c r="G1632" s="1"/>
      <c r="N1632" s="1"/>
    </row>
    <row r="1633" spans="7:14" x14ac:dyDescent="0.35">
      <c r="G1633" s="1"/>
      <c r="N1633" s="1"/>
    </row>
    <row r="1634" spans="7:14" x14ac:dyDescent="0.35">
      <c r="G1634" s="1"/>
      <c r="N1634" s="1"/>
    </row>
    <row r="1635" spans="7:14" x14ac:dyDescent="0.35">
      <c r="G1635" s="1"/>
      <c r="N1635" s="1"/>
    </row>
    <row r="1636" spans="7:14" x14ac:dyDescent="0.35">
      <c r="G1636" s="1"/>
      <c r="N1636" s="1"/>
    </row>
    <row r="1637" spans="7:14" x14ac:dyDescent="0.35">
      <c r="G1637" s="1"/>
      <c r="N1637" s="1"/>
    </row>
    <row r="1638" spans="7:14" x14ac:dyDescent="0.35">
      <c r="G1638" s="1"/>
      <c r="N1638" s="1"/>
    </row>
    <row r="1639" spans="7:14" x14ac:dyDescent="0.35">
      <c r="G1639" s="1"/>
      <c r="N1639" s="1"/>
    </row>
    <row r="1640" spans="7:14" x14ac:dyDescent="0.35">
      <c r="G1640" s="1"/>
      <c r="N1640" s="1"/>
    </row>
    <row r="1641" spans="7:14" x14ac:dyDescent="0.35">
      <c r="G1641" s="1"/>
      <c r="N1641" s="1"/>
    </row>
    <row r="1642" spans="7:14" x14ac:dyDescent="0.35">
      <c r="G1642" s="1"/>
      <c r="N1642" s="1"/>
    </row>
    <row r="1643" spans="7:14" x14ac:dyDescent="0.35">
      <c r="G1643" s="1"/>
      <c r="N1643" s="1"/>
    </row>
    <row r="1644" spans="7:14" x14ac:dyDescent="0.35">
      <c r="G1644" s="1"/>
      <c r="N1644" s="1"/>
    </row>
    <row r="1645" spans="7:14" x14ac:dyDescent="0.35">
      <c r="G1645" s="1"/>
      <c r="N1645" s="1"/>
    </row>
    <row r="1646" spans="7:14" x14ac:dyDescent="0.35">
      <c r="G1646" s="1"/>
      <c r="N1646" s="1"/>
    </row>
    <row r="1647" spans="7:14" x14ac:dyDescent="0.35">
      <c r="G1647" s="1"/>
      <c r="N1647" s="1"/>
    </row>
    <row r="1648" spans="7:14" x14ac:dyDescent="0.35">
      <c r="G1648" s="1"/>
      <c r="N1648" s="1"/>
    </row>
    <row r="1649" spans="7:14" x14ac:dyDescent="0.35">
      <c r="G1649" s="1"/>
      <c r="N1649" s="1"/>
    </row>
    <row r="1650" spans="7:14" x14ac:dyDescent="0.35">
      <c r="G1650" s="1"/>
      <c r="N1650" s="1"/>
    </row>
    <row r="1651" spans="7:14" x14ac:dyDescent="0.35">
      <c r="G1651" s="1"/>
      <c r="N1651" s="1"/>
    </row>
    <row r="1652" spans="7:14" x14ac:dyDescent="0.35">
      <c r="G1652" s="1"/>
      <c r="N1652" s="1"/>
    </row>
    <row r="1653" spans="7:14" x14ac:dyDescent="0.35">
      <c r="G1653" s="1"/>
      <c r="N1653" s="1"/>
    </row>
    <row r="1654" spans="7:14" x14ac:dyDescent="0.35">
      <c r="G1654" s="1"/>
      <c r="N1654" s="1"/>
    </row>
    <row r="1655" spans="7:14" x14ac:dyDescent="0.35">
      <c r="G1655" s="1"/>
      <c r="N1655" s="1"/>
    </row>
    <row r="1656" spans="7:14" x14ac:dyDescent="0.35">
      <c r="G1656" s="1"/>
      <c r="N1656" s="1"/>
    </row>
    <row r="1657" spans="7:14" x14ac:dyDescent="0.35">
      <c r="G1657" s="1"/>
      <c r="N1657" s="1"/>
    </row>
    <row r="1658" spans="7:14" x14ac:dyDescent="0.35">
      <c r="G1658" s="1"/>
      <c r="N1658" s="1"/>
    </row>
    <row r="1659" spans="7:14" x14ac:dyDescent="0.35">
      <c r="G1659" s="1"/>
      <c r="N1659" s="1"/>
    </row>
    <row r="1660" spans="7:14" x14ac:dyDescent="0.35">
      <c r="G1660" s="1"/>
      <c r="N1660" s="1"/>
    </row>
    <row r="1661" spans="7:14" x14ac:dyDescent="0.35">
      <c r="G1661" s="1"/>
      <c r="N1661" s="1"/>
    </row>
    <row r="1662" spans="7:14" x14ac:dyDescent="0.35">
      <c r="G1662" s="1"/>
      <c r="N1662" s="1"/>
    </row>
    <row r="1663" spans="7:14" x14ac:dyDescent="0.35">
      <c r="G1663" s="1"/>
      <c r="N1663" s="1"/>
    </row>
    <row r="1664" spans="7:14" x14ac:dyDescent="0.35">
      <c r="G1664" s="1"/>
      <c r="N1664" s="1"/>
    </row>
    <row r="1665" spans="7:14" x14ac:dyDescent="0.35">
      <c r="G1665" s="1"/>
      <c r="N1665" s="1"/>
    </row>
    <row r="1666" spans="7:14" x14ac:dyDescent="0.35">
      <c r="G1666" s="1"/>
      <c r="N1666" s="1"/>
    </row>
    <row r="1667" spans="7:14" x14ac:dyDescent="0.35">
      <c r="G1667" s="1"/>
      <c r="N1667" s="1"/>
    </row>
    <row r="1668" spans="7:14" x14ac:dyDescent="0.35">
      <c r="G1668" s="1"/>
      <c r="N1668" s="1"/>
    </row>
    <row r="1669" spans="7:14" x14ac:dyDescent="0.35">
      <c r="G1669" s="1"/>
      <c r="N1669" s="1"/>
    </row>
    <row r="1670" spans="7:14" x14ac:dyDescent="0.35">
      <c r="G1670" s="1"/>
      <c r="N1670" s="1"/>
    </row>
    <row r="1671" spans="7:14" x14ac:dyDescent="0.35">
      <c r="G1671" s="1"/>
      <c r="N1671" s="1"/>
    </row>
    <row r="1672" spans="7:14" x14ac:dyDescent="0.35">
      <c r="G1672" s="1"/>
      <c r="N1672" s="1"/>
    </row>
    <row r="1673" spans="7:14" x14ac:dyDescent="0.35">
      <c r="G1673" s="1"/>
      <c r="N1673" s="1"/>
    </row>
    <row r="1674" spans="7:14" x14ac:dyDescent="0.35">
      <c r="G1674" s="1"/>
      <c r="N1674" s="1"/>
    </row>
    <row r="1675" spans="7:14" x14ac:dyDescent="0.35">
      <c r="G1675" s="1"/>
      <c r="N1675" s="1"/>
    </row>
    <row r="1676" spans="7:14" x14ac:dyDescent="0.35">
      <c r="G1676" s="1"/>
      <c r="N1676" s="1"/>
    </row>
    <row r="1677" spans="7:14" x14ac:dyDescent="0.35">
      <c r="G1677" s="1"/>
      <c r="N1677" s="1"/>
    </row>
    <row r="1678" spans="7:14" x14ac:dyDescent="0.35">
      <c r="G1678" s="1"/>
      <c r="N1678" s="1"/>
    </row>
    <row r="1679" spans="7:14" x14ac:dyDescent="0.35">
      <c r="G1679" s="1"/>
      <c r="N1679" s="1"/>
    </row>
    <row r="1680" spans="7:14" x14ac:dyDescent="0.35">
      <c r="G1680" s="1"/>
      <c r="N1680" s="1"/>
    </row>
    <row r="1681" spans="7:14" x14ac:dyDescent="0.35">
      <c r="G1681" s="1"/>
      <c r="N1681" s="1"/>
    </row>
    <row r="1682" spans="7:14" x14ac:dyDescent="0.35">
      <c r="G1682" s="1"/>
      <c r="N1682" s="1"/>
    </row>
    <row r="1683" spans="7:14" x14ac:dyDescent="0.35">
      <c r="G1683" s="1"/>
      <c r="N1683" s="1"/>
    </row>
    <row r="1684" spans="7:14" x14ac:dyDescent="0.35">
      <c r="G1684" s="1"/>
      <c r="N1684" s="1"/>
    </row>
    <row r="1685" spans="7:14" x14ac:dyDescent="0.35">
      <c r="G1685" s="1"/>
      <c r="N1685" s="1"/>
    </row>
    <row r="1686" spans="7:14" x14ac:dyDescent="0.35">
      <c r="G1686" s="1"/>
      <c r="N1686" s="1"/>
    </row>
    <row r="1687" spans="7:14" x14ac:dyDescent="0.35">
      <c r="G1687" s="1"/>
      <c r="N1687" s="1"/>
    </row>
    <row r="1688" spans="7:14" x14ac:dyDescent="0.35">
      <c r="G1688" s="1"/>
      <c r="N1688" s="1"/>
    </row>
    <row r="1689" spans="7:14" x14ac:dyDescent="0.35">
      <c r="G1689" s="1"/>
      <c r="N1689" s="1"/>
    </row>
    <row r="1690" spans="7:14" x14ac:dyDescent="0.35">
      <c r="G1690" s="1"/>
      <c r="N1690" s="1"/>
    </row>
    <row r="1691" spans="7:14" x14ac:dyDescent="0.35">
      <c r="G1691" s="1"/>
      <c r="N1691" s="1"/>
    </row>
    <row r="1692" spans="7:14" x14ac:dyDescent="0.35">
      <c r="G1692" s="1"/>
      <c r="N1692" s="1"/>
    </row>
    <row r="1693" spans="7:14" x14ac:dyDescent="0.35">
      <c r="G1693" s="1"/>
      <c r="N1693" s="1"/>
    </row>
    <row r="1694" spans="7:14" x14ac:dyDescent="0.35">
      <c r="G1694" s="1"/>
      <c r="N1694" s="1"/>
    </row>
    <row r="1695" spans="7:14" x14ac:dyDescent="0.35">
      <c r="G1695" s="1"/>
      <c r="N1695" s="1"/>
    </row>
    <row r="1696" spans="7:14" x14ac:dyDescent="0.35">
      <c r="G1696" s="1"/>
      <c r="N1696" s="1"/>
    </row>
    <row r="1697" spans="7:14" x14ac:dyDescent="0.35">
      <c r="G1697" s="1"/>
      <c r="N1697" s="1"/>
    </row>
    <row r="1698" spans="7:14" x14ac:dyDescent="0.35">
      <c r="G1698" s="1"/>
      <c r="N1698" s="1"/>
    </row>
    <row r="1699" spans="7:14" x14ac:dyDescent="0.35">
      <c r="G1699" s="1"/>
      <c r="N1699" s="1"/>
    </row>
    <row r="1700" spans="7:14" x14ac:dyDescent="0.35">
      <c r="G1700" s="1"/>
      <c r="N1700" s="1"/>
    </row>
    <row r="1701" spans="7:14" x14ac:dyDescent="0.35">
      <c r="G1701" s="1"/>
      <c r="N1701" s="1"/>
    </row>
    <row r="1702" spans="7:14" x14ac:dyDescent="0.35">
      <c r="G1702" s="1"/>
      <c r="N1702" s="1"/>
    </row>
    <row r="1703" spans="7:14" x14ac:dyDescent="0.35">
      <c r="G1703" s="1"/>
      <c r="N1703" s="1"/>
    </row>
    <row r="1704" spans="7:14" x14ac:dyDescent="0.35">
      <c r="G1704" s="1"/>
      <c r="N1704" s="1"/>
    </row>
    <row r="1705" spans="7:14" x14ac:dyDescent="0.35">
      <c r="G1705" s="1"/>
      <c r="N1705" s="1"/>
    </row>
    <row r="1706" spans="7:14" x14ac:dyDescent="0.35">
      <c r="G1706" s="1"/>
      <c r="N1706" s="1"/>
    </row>
    <row r="1707" spans="7:14" x14ac:dyDescent="0.35">
      <c r="G1707" s="1"/>
      <c r="N1707" s="1"/>
    </row>
    <row r="1708" spans="7:14" x14ac:dyDescent="0.35">
      <c r="G1708" s="1"/>
      <c r="N1708" s="1"/>
    </row>
    <row r="1709" spans="7:14" x14ac:dyDescent="0.35">
      <c r="G1709" s="1"/>
      <c r="N1709" s="1"/>
    </row>
    <row r="1710" spans="7:14" x14ac:dyDescent="0.35">
      <c r="G1710" s="1"/>
      <c r="N1710" s="1"/>
    </row>
    <row r="1711" spans="7:14" x14ac:dyDescent="0.35">
      <c r="G1711" s="1"/>
      <c r="N1711" s="1"/>
    </row>
    <row r="1712" spans="7:14" x14ac:dyDescent="0.35">
      <c r="G1712" s="1"/>
      <c r="N1712" s="1"/>
    </row>
    <row r="1713" spans="7:14" x14ac:dyDescent="0.35">
      <c r="G1713" s="1"/>
      <c r="N1713" s="1"/>
    </row>
    <row r="1714" spans="7:14" x14ac:dyDescent="0.35">
      <c r="G1714" s="1"/>
      <c r="N1714" s="1"/>
    </row>
    <row r="1715" spans="7:14" x14ac:dyDescent="0.35">
      <c r="G1715" s="1"/>
      <c r="N1715" s="1"/>
    </row>
    <row r="1716" spans="7:14" x14ac:dyDescent="0.35">
      <c r="G1716" s="1"/>
      <c r="N1716" s="1"/>
    </row>
    <row r="1717" spans="7:14" x14ac:dyDescent="0.35">
      <c r="G1717" s="1"/>
      <c r="N1717" s="1"/>
    </row>
    <row r="1718" spans="7:14" x14ac:dyDescent="0.35">
      <c r="G1718" s="1"/>
      <c r="N1718" s="1"/>
    </row>
    <row r="1719" spans="7:14" x14ac:dyDescent="0.35">
      <c r="G1719" s="1"/>
      <c r="N1719" s="1"/>
    </row>
    <row r="1720" spans="7:14" x14ac:dyDescent="0.35">
      <c r="G1720" s="1"/>
      <c r="N1720" s="1"/>
    </row>
    <row r="1721" spans="7:14" x14ac:dyDescent="0.35">
      <c r="G1721" s="1"/>
      <c r="N1721" s="1"/>
    </row>
    <row r="1722" spans="7:14" x14ac:dyDescent="0.35">
      <c r="G1722" s="1"/>
      <c r="N1722" s="1"/>
    </row>
    <row r="1723" spans="7:14" x14ac:dyDescent="0.35">
      <c r="G1723" s="1"/>
      <c r="N1723" s="1"/>
    </row>
    <row r="1724" spans="7:14" x14ac:dyDescent="0.35">
      <c r="G1724" s="1"/>
      <c r="N1724" s="1"/>
    </row>
    <row r="1725" spans="7:14" x14ac:dyDescent="0.35">
      <c r="G1725" s="1"/>
      <c r="N1725" s="1"/>
    </row>
    <row r="1726" spans="7:14" x14ac:dyDescent="0.35">
      <c r="G1726" s="1"/>
      <c r="N1726" s="1"/>
    </row>
    <row r="1727" spans="7:14" x14ac:dyDescent="0.35">
      <c r="G1727" s="1"/>
      <c r="N1727" s="1"/>
    </row>
    <row r="1728" spans="7:14" x14ac:dyDescent="0.35">
      <c r="G1728" s="1"/>
      <c r="N1728" s="1"/>
    </row>
    <row r="1729" spans="7:14" x14ac:dyDescent="0.35">
      <c r="G1729" s="1"/>
      <c r="N1729" s="1"/>
    </row>
    <row r="1730" spans="7:14" x14ac:dyDescent="0.35">
      <c r="G1730" s="1"/>
      <c r="N1730" s="1"/>
    </row>
    <row r="1731" spans="7:14" x14ac:dyDescent="0.35">
      <c r="G1731" s="1"/>
      <c r="N1731" s="1"/>
    </row>
    <row r="1732" spans="7:14" x14ac:dyDescent="0.35">
      <c r="G1732" s="1"/>
      <c r="N1732" s="1"/>
    </row>
    <row r="1733" spans="7:14" x14ac:dyDescent="0.35">
      <c r="G1733" s="1"/>
      <c r="N1733" s="1"/>
    </row>
    <row r="1734" spans="7:14" x14ac:dyDescent="0.35">
      <c r="G1734" s="1"/>
      <c r="N1734" s="1"/>
    </row>
    <row r="1735" spans="7:14" x14ac:dyDescent="0.35">
      <c r="G1735" s="1"/>
      <c r="N1735" s="1"/>
    </row>
    <row r="1736" spans="7:14" x14ac:dyDescent="0.35">
      <c r="G1736" s="1"/>
      <c r="N1736" s="1"/>
    </row>
    <row r="1737" spans="7:14" x14ac:dyDescent="0.35">
      <c r="G1737" s="1"/>
      <c r="N1737" s="1"/>
    </row>
    <row r="1738" spans="7:14" x14ac:dyDescent="0.35">
      <c r="G1738" s="1"/>
      <c r="N1738" s="1"/>
    </row>
    <row r="1739" spans="7:14" x14ac:dyDescent="0.35">
      <c r="G1739" s="1"/>
      <c r="N1739" s="1"/>
    </row>
    <row r="1740" spans="7:14" x14ac:dyDescent="0.35">
      <c r="G1740" s="1"/>
      <c r="N1740" s="1"/>
    </row>
    <row r="1741" spans="7:14" x14ac:dyDescent="0.35">
      <c r="G1741" s="1"/>
      <c r="N1741" s="1"/>
    </row>
    <row r="1742" spans="7:14" x14ac:dyDescent="0.35">
      <c r="G1742" s="1"/>
      <c r="N1742" s="1"/>
    </row>
    <row r="1743" spans="7:14" x14ac:dyDescent="0.35">
      <c r="G1743" s="1"/>
      <c r="N1743" s="1"/>
    </row>
    <row r="1744" spans="7:14" x14ac:dyDescent="0.35">
      <c r="G1744" s="1"/>
      <c r="N1744" s="1"/>
    </row>
    <row r="1745" spans="7:14" x14ac:dyDescent="0.35">
      <c r="G1745" s="1"/>
      <c r="N1745" s="1"/>
    </row>
    <row r="1746" spans="7:14" x14ac:dyDescent="0.35">
      <c r="G1746" s="1"/>
      <c r="N1746" s="1"/>
    </row>
    <row r="1747" spans="7:14" x14ac:dyDescent="0.35">
      <c r="G1747" s="1"/>
      <c r="N1747" s="1"/>
    </row>
    <row r="1748" spans="7:14" x14ac:dyDescent="0.35">
      <c r="G1748" s="1"/>
      <c r="N1748" s="1"/>
    </row>
    <row r="1749" spans="7:14" x14ac:dyDescent="0.35">
      <c r="G1749" s="1"/>
      <c r="N1749" s="1"/>
    </row>
    <row r="1750" spans="7:14" x14ac:dyDescent="0.35">
      <c r="G1750" s="1"/>
      <c r="N1750" s="1"/>
    </row>
    <row r="1751" spans="7:14" x14ac:dyDescent="0.35">
      <c r="G1751" s="1"/>
      <c r="N1751" s="1"/>
    </row>
    <row r="1752" spans="7:14" x14ac:dyDescent="0.35">
      <c r="G1752" s="1"/>
      <c r="N1752" s="1"/>
    </row>
    <row r="1753" spans="7:14" x14ac:dyDescent="0.35">
      <c r="G1753" s="1"/>
      <c r="N1753" s="1"/>
    </row>
    <row r="1754" spans="7:14" x14ac:dyDescent="0.35">
      <c r="G1754" s="1"/>
      <c r="N1754" s="1"/>
    </row>
    <row r="1755" spans="7:14" x14ac:dyDescent="0.35">
      <c r="G1755" s="1"/>
      <c r="N1755" s="1"/>
    </row>
    <row r="1756" spans="7:14" x14ac:dyDescent="0.35">
      <c r="G1756" s="1"/>
      <c r="N1756" s="1"/>
    </row>
    <row r="1757" spans="7:14" x14ac:dyDescent="0.35">
      <c r="G1757" s="1"/>
      <c r="N1757" s="1"/>
    </row>
    <row r="1758" spans="7:14" x14ac:dyDescent="0.35">
      <c r="G1758" s="1"/>
      <c r="N1758" s="1"/>
    </row>
    <row r="1759" spans="7:14" x14ac:dyDescent="0.35">
      <c r="G1759" s="1"/>
      <c r="N1759" s="1"/>
    </row>
    <row r="1760" spans="7:14" x14ac:dyDescent="0.35">
      <c r="G1760" s="1"/>
      <c r="N1760" s="1"/>
    </row>
    <row r="1761" spans="7:14" x14ac:dyDescent="0.35">
      <c r="G1761" s="1"/>
      <c r="N1761" s="1"/>
    </row>
    <row r="1762" spans="7:14" x14ac:dyDescent="0.35">
      <c r="G1762" s="1"/>
      <c r="N1762" s="1"/>
    </row>
    <row r="1763" spans="7:14" x14ac:dyDescent="0.35">
      <c r="G1763" s="1"/>
      <c r="N1763" s="1"/>
    </row>
    <row r="1764" spans="7:14" x14ac:dyDescent="0.35">
      <c r="G1764" s="1"/>
      <c r="N1764" s="1"/>
    </row>
    <row r="1765" spans="7:14" x14ac:dyDescent="0.35">
      <c r="G1765" s="1"/>
      <c r="N1765" s="1"/>
    </row>
    <row r="1766" spans="7:14" x14ac:dyDescent="0.35">
      <c r="G1766" s="1"/>
      <c r="N1766" s="1"/>
    </row>
    <row r="1767" spans="7:14" x14ac:dyDescent="0.35">
      <c r="G1767" s="1"/>
      <c r="N1767" s="1"/>
    </row>
    <row r="1768" spans="7:14" x14ac:dyDescent="0.35">
      <c r="G1768" s="1"/>
      <c r="N1768" s="1"/>
    </row>
    <row r="1769" spans="7:14" x14ac:dyDescent="0.35">
      <c r="G1769" s="1"/>
      <c r="N1769" s="1"/>
    </row>
    <row r="1770" spans="7:14" x14ac:dyDescent="0.35">
      <c r="G1770" s="1"/>
      <c r="N1770" s="1"/>
    </row>
    <row r="1771" spans="7:14" x14ac:dyDescent="0.35">
      <c r="G1771" s="1"/>
      <c r="N1771" s="1"/>
    </row>
    <row r="1772" spans="7:14" x14ac:dyDescent="0.35">
      <c r="G1772" s="1"/>
      <c r="N1772" s="1"/>
    </row>
    <row r="1773" spans="7:14" x14ac:dyDescent="0.35">
      <c r="G1773" s="1"/>
      <c r="N1773" s="1"/>
    </row>
    <row r="1774" spans="7:14" x14ac:dyDescent="0.35">
      <c r="G1774" s="1"/>
      <c r="N1774" s="1"/>
    </row>
    <row r="1775" spans="7:14" x14ac:dyDescent="0.35">
      <c r="G1775" s="1"/>
      <c r="N1775" s="1"/>
    </row>
    <row r="1776" spans="7:14" x14ac:dyDescent="0.35">
      <c r="G1776" s="1"/>
      <c r="N1776" s="1"/>
    </row>
    <row r="1777" spans="7:14" x14ac:dyDescent="0.35">
      <c r="G1777" s="1"/>
      <c r="N1777" s="1"/>
    </row>
    <row r="1778" spans="7:14" x14ac:dyDescent="0.35">
      <c r="G1778" s="1"/>
      <c r="N1778" s="1"/>
    </row>
    <row r="1779" spans="7:14" x14ac:dyDescent="0.35">
      <c r="G1779" s="1"/>
      <c r="N1779" s="1"/>
    </row>
    <row r="1780" spans="7:14" x14ac:dyDescent="0.35">
      <c r="G1780" s="1"/>
      <c r="N1780" s="1"/>
    </row>
    <row r="1781" spans="7:14" x14ac:dyDescent="0.35">
      <c r="G1781" s="1"/>
      <c r="N1781" s="1"/>
    </row>
    <row r="1782" spans="7:14" x14ac:dyDescent="0.35">
      <c r="G1782" s="1"/>
      <c r="N1782" s="1"/>
    </row>
    <row r="1783" spans="7:14" x14ac:dyDescent="0.35">
      <c r="G1783" s="1"/>
      <c r="N1783" s="1"/>
    </row>
    <row r="1784" spans="7:14" x14ac:dyDescent="0.35">
      <c r="G1784" s="1"/>
      <c r="N1784" s="1"/>
    </row>
    <row r="1785" spans="7:14" x14ac:dyDescent="0.35">
      <c r="G1785" s="1"/>
      <c r="N1785" s="1"/>
    </row>
    <row r="1786" spans="7:14" x14ac:dyDescent="0.35">
      <c r="G1786" s="1"/>
      <c r="N1786" s="1"/>
    </row>
    <row r="1787" spans="7:14" x14ac:dyDescent="0.35">
      <c r="G1787" s="1"/>
      <c r="N1787" s="1"/>
    </row>
    <row r="1788" spans="7:14" x14ac:dyDescent="0.35">
      <c r="G1788" s="1"/>
      <c r="N1788" s="1"/>
    </row>
    <row r="1789" spans="7:14" x14ac:dyDescent="0.35">
      <c r="G1789" s="1"/>
      <c r="N1789" s="1"/>
    </row>
    <row r="1790" spans="7:14" x14ac:dyDescent="0.35">
      <c r="G1790" s="1"/>
      <c r="N1790" s="1"/>
    </row>
    <row r="1791" spans="7:14" x14ac:dyDescent="0.35">
      <c r="G1791" s="1"/>
      <c r="N1791" s="1"/>
    </row>
    <row r="1792" spans="7:14" x14ac:dyDescent="0.35">
      <c r="G1792" s="1"/>
      <c r="N1792" s="1"/>
    </row>
    <row r="1793" spans="7:14" x14ac:dyDescent="0.35">
      <c r="G1793" s="1"/>
      <c r="N1793" s="1"/>
    </row>
    <row r="1794" spans="7:14" x14ac:dyDescent="0.35">
      <c r="G1794" s="1"/>
      <c r="N1794" s="1"/>
    </row>
    <row r="1795" spans="7:14" x14ac:dyDescent="0.35">
      <c r="G1795" s="1"/>
      <c r="N1795" s="1"/>
    </row>
    <row r="1796" spans="7:14" x14ac:dyDescent="0.35">
      <c r="G1796" s="1"/>
      <c r="N1796" s="1"/>
    </row>
    <row r="1797" spans="7:14" x14ac:dyDescent="0.35">
      <c r="G1797" s="1"/>
      <c r="N1797" s="1"/>
    </row>
    <row r="1798" spans="7:14" x14ac:dyDescent="0.35">
      <c r="G1798" s="1"/>
      <c r="N1798" s="1"/>
    </row>
    <row r="1799" spans="7:14" x14ac:dyDescent="0.35">
      <c r="G1799" s="1"/>
      <c r="N1799" s="1"/>
    </row>
    <row r="1800" spans="7:14" x14ac:dyDescent="0.35">
      <c r="G1800" s="1"/>
      <c r="N1800" s="1"/>
    </row>
    <row r="1801" spans="7:14" x14ac:dyDescent="0.35">
      <c r="G1801" s="1"/>
      <c r="N1801" s="1"/>
    </row>
    <row r="1802" spans="7:14" x14ac:dyDescent="0.35">
      <c r="G1802" s="1"/>
      <c r="N1802" s="1"/>
    </row>
    <row r="1803" spans="7:14" x14ac:dyDescent="0.35">
      <c r="G1803" s="1"/>
      <c r="N1803" s="1"/>
    </row>
    <row r="1804" spans="7:14" x14ac:dyDescent="0.35">
      <c r="G1804" s="1"/>
      <c r="N1804" s="1"/>
    </row>
    <row r="1805" spans="7:14" x14ac:dyDescent="0.35">
      <c r="G1805" s="1"/>
      <c r="N1805" s="1"/>
    </row>
    <row r="1806" spans="7:14" x14ac:dyDescent="0.35">
      <c r="G1806" s="1"/>
      <c r="N1806" s="1"/>
    </row>
    <row r="1807" spans="7:14" x14ac:dyDescent="0.35">
      <c r="G1807" s="1"/>
      <c r="N1807" s="1"/>
    </row>
    <row r="1808" spans="7:14" x14ac:dyDescent="0.35">
      <c r="G1808" s="1"/>
      <c r="N1808" s="1"/>
    </row>
    <row r="1809" spans="7:14" x14ac:dyDescent="0.35">
      <c r="G1809" s="1"/>
      <c r="N1809" s="1"/>
    </row>
    <row r="1810" spans="7:14" x14ac:dyDescent="0.35">
      <c r="G1810" s="1"/>
      <c r="N1810" s="1"/>
    </row>
    <row r="1811" spans="7:14" x14ac:dyDescent="0.35">
      <c r="G1811" s="1"/>
      <c r="N1811" s="1"/>
    </row>
    <row r="1812" spans="7:14" x14ac:dyDescent="0.35">
      <c r="G1812" s="1"/>
      <c r="N1812" s="1"/>
    </row>
    <row r="1813" spans="7:14" x14ac:dyDescent="0.35">
      <c r="G1813" s="1"/>
      <c r="N1813" s="1"/>
    </row>
    <row r="1814" spans="7:14" x14ac:dyDescent="0.35">
      <c r="G1814" s="1"/>
      <c r="N1814" s="1"/>
    </row>
    <row r="1815" spans="7:14" x14ac:dyDescent="0.35">
      <c r="G1815" s="1"/>
      <c r="N1815" s="1"/>
    </row>
    <row r="1816" spans="7:14" x14ac:dyDescent="0.35">
      <c r="G1816" s="1"/>
      <c r="N1816" s="1"/>
    </row>
    <row r="1817" spans="7:14" x14ac:dyDescent="0.35">
      <c r="G1817" s="1"/>
      <c r="N1817" s="1"/>
    </row>
    <row r="1818" spans="7:14" x14ac:dyDescent="0.35">
      <c r="G1818" s="1"/>
      <c r="N1818" s="1"/>
    </row>
    <row r="1819" spans="7:14" x14ac:dyDescent="0.35">
      <c r="G1819" s="1"/>
      <c r="N1819" s="1"/>
    </row>
    <row r="1820" spans="7:14" x14ac:dyDescent="0.35">
      <c r="G1820" s="1"/>
      <c r="N1820" s="1"/>
    </row>
    <row r="1821" spans="7:14" x14ac:dyDescent="0.35">
      <c r="G1821" s="1"/>
      <c r="N1821" s="1"/>
    </row>
    <row r="1822" spans="7:14" x14ac:dyDescent="0.35">
      <c r="G1822" s="1"/>
      <c r="N1822" s="1"/>
    </row>
    <row r="1823" spans="7:14" x14ac:dyDescent="0.35">
      <c r="G1823" s="1"/>
      <c r="N1823" s="1"/>
    </row>
    <row r="1824" spans="7:14" x14ac:dyDescent="0.35">
      <c r="G1824" s="1"/>
      <c r="N1824" s="1"/>
    </row>
    <row r="1825" spans="7:14" x14ac:dyDescent="0.35">
      <c r="G1825" s="1"/>
      <c r="N1825" s="1"/>
    </row>
    <row r="1826" spans="7:14" x14ac:dyDescent="0.35">
      <c r="G1826" s="1"/>
      <c r="N1826" s="1"/>
    </row>
    <row r="1827" spans="7:14" x14ac:dyDescent="0.35">
      <c r="G1827" s="1"/>
      <c r="N1827" s="1"/>
    </row>
    <row r="1828" spans="7:14" x14ac:dyDescent="0.35">
      <c r="G1828" s="1"/>
      <c r="N1828" s="1"/>
    </row>
    <row r="1829" spans="7:14" x14ac:dyDescent="0.35">
      <c r="G1829" s="1"/>
      <c r="N1829" s="1"/>
    </row>
    <row r="1830" spans="7:14" x14ac:dyDescent="0.35">
      <c r="G1830" s="1"/>
      <c r="N1830" s="1"/>
    </row>
    <row r="1831" spans="7:14" x14ac:dyDescent="0.35">
      <c r="G1831" s="1"/>
      <c r="N1831" s="1"/>
    </row>
    <row r="1832" spans="7:14" x14ac:dyDescent="0.35">
      <c r="G1832" s="1"/>
      <c r="N1832" s="1"/>
    </row>
    <row r="1833" spans="7:14" x14ac:dyDescent="0.35">
      <c r="G1833" s="1"/>
      <c r="N1833" s="1"/>
    </row>
    <row r="1834" spans="7:14" x14ac:dyDescent="0.35">
      <c r="G1834" s="1"/>
      <c r="N1834" s="1"/>
    </row>
    <row r="1835" spans="7:14" x14ac:dyDescent="0.35">
      <c r="G1835" s="1"/>
      <c r="N1835" s="1"/>
    </row>
    <row r="1836" spans="7:14" x14ac:dyDescent="0.35">
      <c r="G1836" s="1"/>
      <c r="N1836" s="1"/>
    </row>
    <row r="1837" spans="7:14" x14ac:dyDescent="0.35">
      <c r="G1837" s="1"/>
      <c r="N1837" s="1"/>
    </row>
    <row r="1838" spans="7:14" x14ac:dyDescent="0.35">
      <c r="G1838" s="1"/>
      <c r="N1838" s="1"/>
    </row>
    <row r="1839" spans="7:14" x14ac:dyDescent="0.35">
      <c r="G1839" s="1"/>
      <c r="N1839" s="1"/>
    </row>
    <row r="1840" spans="7:14" x14ac:dyDescent="0.35">
      <c r="G1840" s="1"/>
      <c r="N1840" s="1"/>
    </row>
    <row r="1841" spans="7:14" x14ac:dyDescent="0.35">
      <c r="G1841" s="1"/>
      <c r="N1841" s="1"/>
    </row>
    <row r="1842" spans="7:14" x14ac:dyDescent="0.35">
      <c r="G1842" s="1"/>
      <c r="N1842" s="1"/>
    </row>
    <row r="1843" spans="7:14" x14ac:dyDescent="0.35">
      <c r="G1843" s="1"/>
      <c r="N1843" s="1"/>
    </row>
    <row r="1844" spans="7:14" x14ac:dyDescent="0.35">
      <c r="G1844" s="1"/>
      <c r="N1844" s="1"/>
    </row>
    <row r="1845" spans="7:14" x14ac:dyDescent="0.35">
      <c r="G1845" s="1"/>
      <c r="N1845" s="1"/>
    </row>
    <row r="1846" spans="7:14" x14ac:dyDescent="0.35">
      <c r="G1846" s="1"/>
      <c r="N1846" s="1"/>
    </row>
    <row r="1847" spans="7:14" x14ac:dyDescent="0.35">
      <c r="G1847" s="1"/>
      <c r="N1847" s="1"/>
    </row>
    <row r="1848" spans="7:14" x14ac:dyDescent="0.35">
      <c r="G1848" s="1"/>
      <c r="N1848" s="1"/>
    </row>
    <row r="1849" spans="7:14" x14ac:dyDescent="0.35">
      <c r="G1849" s="1"/>
      <c r="N1849" s="1"/>
    </row>
    <row r="1850" spans="7:14" x14ac:dyDescent="0.35">
      <c r="G1850" s="1"/>
      <c r="N1850" s="1"/>
    </row>
    <row r="1851" spans="7:14" x14ac:dyDescent="0.35">
      <c r="G1851" s="1"/>
      <c r="N1851" s="1"/>
    </row>
    <row r="1852" spans="7:14" x14ac:dyDescent="0.35">
      <c r="G1852" s="1"/>
      <c r="N1852" s="1"/>
    </row>
    <row r="1853" spans="7:14" x14ac:dyDescent="0.35">
      <c r="G1853" s="1"/>
      <c r="N1853" s="1"/>
    </row>
    <row r="1854" spans="7:14" x14ac:dyDescent="0.35">
      <c r="G1854" s="1"/>
      <c r="N1854" s="1"/>
    </row>
    <row r="1855" spans="7:14" x14ac:dyDescent="0.35">
      <c r="G1855" s="1"/>
      <c r="N1855" s="1"/>
    </row>
    <row r="1856" spans="7:14" x14ac:dyDescent="0.35">
      <c r="G1856" s="1"/>
      <c r="N1856" s="1"/>
    </row>
    <row r="1857" spans="7:14" x14ac:dyDescent="0.35">
      <c r="G1857" s="1"/>
      <c r="N1857" s="1"/>
    </row>
    <row r="1858" spans="7:14" x14ac:dyDescent="0.35">
      <c r="G1858" s="1"/>
      <c r="N1858" s="1"/>
    </row>
    <row r="1859" spans="7:14" x14ac:dyDescent="0.35">
      <c r="G1859" s="1"/>
      <c r="N1859" s="1"/>
    </row>
    <row r="1860" spans="7:14" x14ac:dyDescent="0.35">
      <c r="G1860" s="1"/>
      <c r="N1860" s="1"/>
    </row>
    <row r="1861" spans="7:14" x14ac:dyDescent="0.35">
      <c r="G1861" s="1"/>
      <c r="N1861" s="1"/>
    </row>
    <row r="1862" spans="7:14" x14ac:dyDescent="0.35">
      <c r="G1862" s="1"/>
      <c r="N1862" s="1"/>
    </row>
    <row r="1863" spans="7:14" x14ac:dyDescent="0.35">
      <c r="G1863" s="1"/>
      <c r="N1863" s="1"/>
    </row>
    <row r="1864" spans="7:14" x14ac:dyDescent="0.35">
      <c r="G1864" s="1"/>
      <c r="N1864" s="1"/>
    </row>
    <row r="1865" spans="7:14" x14ac:dyDescent="0.35">
      <c r="G1865" s="1"/>
      <c r="N1865" s="1"/>
    </row>
    <row r="1866" spans="7:14" x14ac:dyDescent="0.35">
      <c r="G1866" s="1"/>
      <c r="N1866" s="1"/>
    </row>
    <row r="1867" spans="7:14" x14ac:dyDescent="0.35">
      <c r="G1867" s="1"/>
      <c r="N1867" s="1"/>
    </row>
    <row r="1868" spans="7:14" x14ac:dyDescent="0.35">
      <c r="G1868" s="1"/>
      <c r="N1868" s="1"/>
    </row>
    <row r="1869" spans="7:14" x14ac:dyDescent="0.35">
      <c r="G1869" s="1"/>
      <c r="N1869" s="1"/>
    </row>
    <row r="1870" spans="7:14" x14ac:dyDescent="0.35">
      <c r="G1870" s="1"/>
      <c r="N1870" s="1"/>
    </row>
    <row r="1871" spans="7:14" x14ac:dyDescent="0.35">
      <c r="G1871" s="1"/>
      <c r="N1871" s="1"/>
    </row>
    <row r="1872" spans="7:14" x14ac:dyDescent="0.35">
      <c r="G1872" s="1"/>
      <c r="N1872" s="1"/>
    </row>
    <row r="1873" spans="7:14" x14ac:dyDescent="0.35">
      <c r="G1873" s="1"/>
      <c r="N1873" s="1"/>
    </row>
    <row r="1874" spans="7:14" x14ac:dyDescent="0.35">
      <c r="G1874" s="1"/>
      <c r="N1874" s="1"/>
    </row>
    <row r="1875" spans="7:14" x14ac:dyDescent="0.35">
      <c r="G1875" s="1"/>
      <c r="N1875" s="1"/>
    </row>
    <row r="1876" spans="7:14" x14ac:dyDescent="0.35">
      <c r="G1876" s="1"/>
      <c r="N1876" s="1"/>
    </row>
    <row r="1877" spans="7:14" x14ac:dyDescent="0.35">
      <c r="G1877" s="1"/>
      <c r="N1877" s="1"/>
    </row>
    <row r="1878" spans="7:14" x14ac:dyDescent="0.35">
      <c r="G1878" s="1"/>
      <c r="N1878" s="1"/>
    </row>
    <row r="1879" spans="7:14" x14ac:dyDescent="0.35">
      <c r="G1879" s="1"/>
      <c r="N1879" s="1"/>
    </row>
    <row r="1880" spans="7:14" x14ac:dyDescent="0.35">
      <c r="G1880" s="1"/>
      <c r="N1880" s="1"/>
    </row>
    <row r="1881" spans="7:14" x14ac:dyDescent="0.35">
      <c r="G1881" s="1"/>
      <c r="N1881" s="1"/>
    </row>
    <row r="1882" spans="7:14" x14ac:dyDescent="0.35">
      <c r="G1882" s="1"/>
      <c r="N1882" s="1"/>
    </row>
    <row r="1883" spans="7:14" x14ac:dyDescent="0.35">
      <c r="G1883" s="1"/>
      <c r="N1883" s="1"/>
    </row>
    <row r="1884" spans="7:14" x14ac:dyDescent="0.35">
      <c r="G1884" s="1"/>
      <c r="N1884" s="1"/>
    </row>
    <row r="1885" spans="7:14" x14ac:dyDescent="0.35">
      <c r="G1885" s="1"/>
      <c r="N1885" s="1"/>
    </row>
    <row r="1886" spans="7:14" x14ac:dyDescent="0.35">
      <c r="G1886" s="1"/>
      <c r="N1886" s="1"/>
    </row>
    <row r="1887" spans="7:14" x14ac:dyDescent="0.35">
      <c r="G1887" s="1"/>
      <c r="N1887" s="1"/>
    </row>
    <row r="1888" spans="7:14" x14ac:dyDescent="0.35">
      <c r="G1888" s="1"/>
      <c r="N1888" s="1"/>
    </row>
    <row r="1889" spans="7:14" x14ac:dyDescent="0.35">
      <c r="G1889" s="1"/>
      <c r="N1889" s="1"/>
    </row>
    <row r="1890" spans="7:14" x14ac:dyDescent="0.35">
      <c r="G1890" s="1"/>
      <c r="N1890" s="1"/>
    </row>
    <row r="1891" spans="7:14" x14ac:dyDescent="0.35">
      <c r="G1891" s="1"/>
      <c r="N1891" s="1"/>
    </row>
    <row r="1892" spans="7:14" x14ac:dyDescent="0.35">
      <c r="G1892" s="1"/>
      <c r="N1892" s="1"/>
    </row>
    <row r="1893" spans="7:14" x14ac:dyDescent="0.35">
      <c r="G1893" s="1"/>
      <c r="N1893" s="1"/>
    </row>
    <row r="1894" spans="7:14" x14ac:dyDescent="0.35">
      <c r="G1894" s="1"/>
      <c r="N1894" s="1"/>
    </row>
    <row r="1895" spans="7:14" x14ac:dyDescent="0.35">
      <c r="G1895" s="1"/>
      <c r="N1895" s="1"/>
    </row>
    <row r="1896" spans="7:14" x14ac:dyDescent="0.35">
      <c r="G1896" s="1"/>
      <c r="N1896" s="1"/>
    </row>
    <row r="1897" spans="7:14" x14ac:dyDescent="0.35">
      <c r="G1897" s="1"/>
      <c r="N1897" s="1"/>
    </row>
    <row r="1898" spans="7:14" x14ac:dyDescent="0.35">
      <c r="G1898" s="1"/>
      <c r="N1898" s="1"/>
    </row>
    <row r="1899" spans="7:14" x14ac:dyDescent="0.35">
      <c r="G1899" s="1"/>
      <c r="N1899" s="1"/>
    </row>
    <row r="1900" spans="7:14" x14ac:dyDescent="0.35">
      <c r="G1900" s="1"/>
      <c r="N1900" s="1"/>
    </row>
    <row r="1901" spans="7:14" x14ac:dyDescent="0.35">
      <c r="G1901" s="1"/>
      <c r="N1901" s="1"/>
    </row>
    <row r="1902" spans="7:14" x14ac:dyDescent="0.35">
      <c r="G1902" s="1"/>
      <c r="N1902" s="1"/>
    </row>
    <row r="1903" spans="7:14" x14ac:dyDescent="0.35">
      <c r="G1903" s="1"/>
      <c r="N1903" s="1"/>
    </row>
    <row r="1904" spans="7:14" x14ac:dyDescent="0.35">
      <c r="G1904" s="1"/>
      <c r="N1904" s="1"/>
    </row>
    <row r="1905" spans="7:14" x14ac:dyDescent="0.35">
      <c r="G1905" s="1"/>
      <c r="N1905" s="1"/>
    </row>
    <row r="1906" spans="7:14" x14ac:dyDescent="0.35">
      <c r="G1906" s="1"/>
      <c r="N1906" s="1"/>
    </row>
    <row r="1907" spans="7:14" x14ac:dyDescent="0.35">
      <c r="G1907" s="1"/>
      <c r="N1907" s="1"/>
    </row>
    <row r="1908" spans="7:14" x14ac:dyDescent="0.35">
      <c r="G1908" s="1"/>
      <c r="N1908" s="1"/>
    </row>
    <row r="1909" spans="7:14" x14ac:dyDescent="0.35">
      <c r="G1909" s="1"/>
      <c r="N1909" s="1"/>
    </row>
    <row r="1910" spans="7:14" x14ac:dyDescent="0.35">
      <c r="G1910" s="1"/>
      <c r="N1910" s="1"/>
    </row>
    <row r="1911" spans="7:14" x14ac:dyDescent="0.35">
      <c r="G1911" s="1"/>
      <c r="N1911" s="1"/>
    </row>
    <row r="1912" spans="7:14" x14ac:dyDescent="0.35">
      <c r="G1912" s="1"/>
      <c r="N1912" s="1"/>
    </row>
    <row r="1913" spans="7:14" x14ac:dyDescent="0.35">
      <c r="G1913" s="1"/>
      <c r="N1913" s="1"/>
    </row>
    <row r="1914" spans="7:14" x14ac:dyDescent="0.35">
      <c r="G1914" s="1"/>
      <c r="N1914" s="1"/>
    </row>
    <row r="1915" spans="7:14" x14ac:dyDescent="0.35">
      <c r="G1915" s="1"/>
      <c r="N1915" s="1"/>
    </row>
    <row r="1916" spans="7:14" x14ac:dyDescent="0.35">
      <c r="G1916" s="1"/>
      <c r="N1916" s="1"/>
    </row>
    <row r="1917" spans="7:14" x14ac:dyDescent="0.35">
      <c r="G1917" s="1"/>
      <c r="N1917" s="1"/>
    </row>
    <row r="1918" spans="7:14" x14ac:dyDescent="0.35">
      <c r="G1918" s="1"/>
      <c r="N1918" s="1"/>
    </row>
    <row r="1919" spans="7:14" x14ac:dyDescent="0.35">
      <c r="G1919" s="1"/>
      <c r="N1919" s="1"/>
    </row>
    <row r="1920" spans="7:14" x14ac:dyDescent="0.35">
      <c r="G1920" s="1"/>
      <c r="N1920" s="1"/>
    </row>
    <row r="1921" spans="7:14" x14ac:dyDescent="0.35">
      <c r="G1921" s="1"/>
      <c r="N1921" s="1"/>
    </row>
    <row r="1922" spans="7:14" x14ac:dyDescent="0.35">
      <c r="G1922" s="1"/>
      <c r="N1922" s="1"/>
    </row>
    <row r="1923" spans="7:14" x14ac:dyDescent="0.35">
      <c r="G1923" s="1"/>
      <c r="N1923" s="1"/>
    </row>
    <row r="1924" spans="7:14" x14ac:dyDescent="0.35">
      <c r="G1924" s="1"/>
      <c r="N1924" s="1"/>
    </row>
    <row r="1925" spans="7:14" x14ac:dyDescent="0.35">
      <c r="G1925" s="1"/>
      <c r="N1925" s="1"/>
    </row>
    <row r="1926" spans="7:14" x14ac:dyDescent="0.35">
      <c r="G1926" s="1"/>
      <c r="N1926" s="1"/>
    </row>
    <row r="1927" spans="7:14" x14ac:dyDescent="0.35">
      <c r="G1927" s="1"/>
      <c r="N1927" s="1"/>
    </row>
    <row r="1928" spans="7:14" x14ac:dyDescent="0.35">
      <c r="G1928" s="1"/>
      <c r="N1928" s="1"/>
    </row>
    <row r="1929" spans="7:14" x14ac:dyDescent="0.35">
      <c r="G1929" s="1"/>
      <c r="N1929" s="1"/>
    </row>
    <row r="1930" spans="7:14" x14ac:dyDescent="0.35">
      <c r="G1930" s="1"/>
      <c r="N1930" s="1"/>
    </row>
    <row r="1931" spans="7:14" x14ac:dyDescent="0.35">
      <c r="G1931" s="1"/>
      <c r="N1931" s="1"/>
    </row>
    <row r="1932" spans="7:14" x14ac:dyDescent="0.35">
      <c r="G1932" s="1"/>
      <c r="N1932" s="1"/>
    </row>
    <row r="1933" spans="7:14" x14ac:dyDescent="0.35">
      <c r="G1933" s="1"/>
      <c r="N1933" s="1"/>
    </row>
    <row r="1934" spans="7:14" x14ac:dyDescent="0.35">
      <c r="G1934" s="1"/>
      <c r="N1934" s="1"/>
    </row>
    <row r="1935" spans="7:14" x14ac:dyDescent="0.35">
      <c r="G1935" s="1"/>
      <c r="N1935" s="1"/>
    </row>
    <row r="1936" spans="7:14" x14ac:dyDescent="0.35">
      <c r="G1936" s="1"/>
      <c r="N1936" s="1"/>
    </row>
    <row r="1937" spans="7:14" x14ac:dyDescent="0.35">
      <c r="G1937" s="1"/>
      <c r="N1937" s="1"/>
    </row>
    <row r="1938" spans="7:14" x14ac:dyDescent="0.35">
      <c r="G1938" s="1"/>
      <c r="N1938" s="1"/>
    </row>
    <row r="1939" spans="7:14" x14ac:dyDescent="0.35">
      <c r="G1939" s="1"/>
      <c r="N1939" s="1"/>
    </row>
    <row r="1940" spans="7:14" x14ac:dyDescent="0.35">
      <c r="G1940" s="1"/>
      <c r="N1940" s="1"/>
    </row>
    <row r="1941" spans="7:14" x14ac:dyDescent="0.35">
      <c r="G1941" s="1"/>
      <c r="N1941" s="1"/>
    </row>
    <row r="1942" spans="7:14" x14ac:dyDescent="0.35">
      <c r="G1942" s="1"/>
      <c r="N1942" s="1"/>
    </row>
    <row r="1943" spans="7:14" x14ac:dyDescent="0.35">
      <c r="G1943" s="1"/>
      <c r="N1943" s="1"/>
    </row>
    <row r="1944" spans="7:14" x14ac:dyDescent="0.35">
      <c r="G1944" s="1"/>
      <c r="N1944" s="1"/>
    </row>
    <row r="1945" spans="7:14" x14ac:dyDescent="0.35">
      <c r="G1945" s="1"/>
      <c r="N1945" s="1"/>
    </row>
    <row r="1946" spans="7:14" x14ac:dyDescent="0.35">
      <c r="G1946" s="1"/>
      <c r="N1946" s="1"/>
    </row>
    <row r="1947" spans="7:14" x14ac:dyDescent="0.35">
      <c r="G1947" s="1"/>
      <c r="N1947" s="1"/>
    </row>
    <row r="1948" spans="7:14" x14ac:dyDescent="0.35">
      <c r="G1948" s="1"/>
      <c r="N1948" s="1"/>
    </row>
    <row r="1949" spans="7:14" x14ac:dyDescent="0.35">
      <c r="G1949" s="1"/>
      <c r="N1949" s="1"/>
    </row>
    <row r="1950" spans="7:14" x14ac:dyDescent="0.35">
      <c r="G1950" s="1"/>
      <c r="N1950" s="1"/>
    </row>
    <row r="1951" spans="7:14" x14ac:dyDescent="0.35">
      <c r="G1951" s="1"/>
      <c r="N1951" s="1"/>
    </row>
    <row r="1952" spans="7:14" x14ac:dyDescent="0.35">
      <c r="G1952" s="1"/>
      <c r="N1952" s="1"/>
    </row>
    <row r="1953" spans="7:14" x14ac:dyDescent="0.35">
      <c r="G1953" s="1"/>
      <c r="N1953" s="1"/>
    </row>
    <row r="1954" spans="7:14" x14ac:dyDescent="0.35">
      <c r="G1954" s="1"/>
      <c r="N1954" s="1"/>
    </row>
    <row r="1955" spans="7:14" x14ac:dyDescent="0.35">
      <c r="G1955" s="1"/>
      <c r="N1955" s="1"/>
    </row>
    <row r="1956" spans="7:14" x14ac:dyDescent="0.35">
      <c r="G1956" s="1"/>
      <c r="N1956" s="1"/>
    </row>
    <row r="1957" spans="7:14" x14ac:dyDescent="0.35">
      <c r="G1957" s="1"/>
      <c r="N1957" s="1"/>
    </row>
    <row r="1958" spans="7:14" x14ac:dyDescent="0.35">
      <c r="G1958" s="1"/>
      <c r="N1958" s="1"/>
    </row>
    <row r="1959" spans="7:14" x14ac:dyDescent="0.35">
      <c r="G1959" s="1"/>
      <c r="N1959" s="1"/>
    </row>
    <row r="1960" spans="7:14" x14ac:dyDescent="0.35">
      <c r="G1960" s="1"/>
      <c r="N1960" s="1"/>
    </row>
    <row r="1961" spans="7:14" x14ac:dyDescent="0.35">
      <c r="G1961" s="1"/>
      <c r="N1961" s="1"/>
    </row>
    <row r="1962" spans="7:14" x14ac:dyDescent="0.35">
      <c r="G1962" s="1"/>
      <c r="N1962" s="1"/>
    </row>
    <row r="1963" spans="7:14" x14ac:dyDescent="0.35">
      <c r="G1963" s="1"/>
      <c r="N1963" s="1"/>
    </row>
    <row r="1964" spans="7:14" x14ac:dyDescent="0.35">
      <c r="G1964" s="1"/>
      <c r="N1964" s="1"/>
    </row>
    <row r="1965" spans="7:14" x14ac:dyDescent="0.35">
      <c r="G1965" s="1"/>
      <c r="N1965" s="1"/>
    </row>
    <row r="1966" spans="7:14" x14ac:dyDescent="0.35">
      <c r="G1966" s="1"/>
      <c r="N1966" s="1"/>
    </row>
    <row r="1967" spans="7:14" x14ac:dyDescent="0.35">
      <c r="G1967" s="1"/>
      <c r="N1967" s="1"/>
    </row>
    <row r="1968" spans="7:14" x14ac:dyDescent="0.35">
      <c r="G1968" s="1"/>
      <c r="N1968" s="1"/>
    </row>
    <row r="1969" spans="7:14" x14ac:dyDescent="0.35">
      <c r="G1969" s="1"/>
      <c r="N1969" s="1"/>
    </row>
    <row r="1970" spans="7:14" x14ac:dyDescent="0.35">
      <c r="G1970" s="1"/>
      <c r="N1970" s="1"/>
    </row>
    <row r="1971" spans="7:14" x14ac:dyDescent="0.35">
      <c r="G1971" s="1"/>
      <c r="N1971" s="1"/>
    </row>
    <row r="1972" spans="7:14" x14ac:dyDescent="0.35">
      <c r="G1972" s="1"/>
      <c r="N1972" s="1"/>
    </row>
    <row r="1973" spans="7:14" x14ac:dyDescent="0.35">
      <c r="G1973" s="1"/>
      <c r="N1973" s="1"/>
    </row>
    <row r="1974" spans="7:14" x14ac:dyDescent="0.35">
      <c r="G1974" s="1"/>
      <c r="N1974" s="1"/>
    </row>
    <row r="1975" spans="7:14" x14ac:dyDescent="0.35">
      <c r="G1975" s="1"/>
      <c r="N1975" s="1"/>
    </row>
    <row r="1976" spans="7:14" x14ac:dyDescent="0.35">
      <c r="G1976" s="1"/>
      <c r="N1976" s="1"/>
    </row>
    <row r="1977" spans="7:14" x14ac:dyDescent="0.35">
      <c r="G1977" s="1"/>
      <c r="N1977" s="1"/>
    </row>
    <row r="1978" spans="7:14" x14ac:dyDescent="0.35">
      <c r="G1978" s="1"/>
      <c r="N1978" s="1"/>
    </row>
    <row r="1979" spans="7:14" x14ac:dyDescent="0.35">
      <c r="G1979" s="1"/>
      <c r="N1979" s="1"/>
    </row>
    <row r="1980" spans="7:14" x14ac:dyDescent="0.35">
      <c r="G1980" s="1"/>
      <c r="N1980" s="1"/>
    </row>
    <row r="1981" spans="7:14" x14ac:dyDescent="0.35">
      <c r="G1981" s="1"/>
      <c r="N1981" s="1"/>
    </row>
    <row r="1982" spans="7:14" x14ac:dyDescent="0.35">
      <c r="G1982" s="1"/>
      <c r="N1982" s="1"/>
    </row>
    <row r="1983" spans="7:14" x14ac:dyDescent="0.35">
      <c r="G1983" s="1"/>
      <c r="N1983" s="1"/>
    </row>
    <row r="1984" spans="7:14" x14ac:dyDescent="0.35">
      <c r="G1984" s="1"/>
      <c r="N1984" s="1"/>
    </row>
    <row r="1985" spans="7:14" x14ac:dyDescent="0.35">
      <c r="G1985" s="1"/>
      <c r="N1985" s="1"/>
    </row>
    <row r="1986" spans="7:14" x14ac:dyDescent="0.35">
      <c r="G1986" s="1"/>
      <c r="N1986" s="1"/>
    </row>
    <row r="1987" spans="7:14" x14ac:dyDescent="0.35">
      <c r="G1987" s="1"/>
      <c r="N1987" s="1"/>
    </row>
    <row r="1988" spans="7:14" x14ac:dyDescent="0.35">
      <c r="G1988" s="1"/>
      <c r="N1988" s="1"/>
    </row>
    <row r="1989" spans="7:14" x14ac:dyDescent="0.35">
      <c r="G1989" s="1"/>
      <c r="N1989" s="1"/>
    </row>
    <row r="1990" spans="7:14" x14ac:dyDescent="0.35">
      <c r="G1990" s="1"/>
      <c r="N1990" s="1"/>
    </row>
    <row r="1991" spans="7:14" x14ac:dyDescent="0.35">
      <c r="G1991" s="1"/>
      <c r="N1991" s="1"/>
    </row>
    <row r="1992" spans="7:14" x14ac:dyDescent="0.35">
      <c r="G1992" s="1"/>
      <c r="N1992" s="1"/>
    </row>
    <row r="1993" spans="7:14" x14ac:dyDescent="0.35">
      <c r="G1993" s="1"/>
      <c r="N1993" s="1"/>
    </row>
    <row r="1994" spans="7:14" x14ac:dyDescent="0.35">
      <c r="G1994" s="1"/>
      <c r="N1994" s="1"/>
    </row>
    <row r="1995" spans="7:14" x14ac:dyDescent="0.35">
      <c r="G1995" s="1"/>
      <c r="N1995" s="1"/>
    </row>
    <row r="1996" spans="7:14" x14ac:dyDescent="0.35">
      <c r="G1996" s="1"/>
      <c r="N1996" s="1"/>
    </row>
    <row r="1997" spans="7:14" x14ac:dyDescent="0.35">
      <c r="G1997" s="1"/>
      <c r="N1997" s="1"/>
    </row>
    <row r="1998" spans="7:14" x14ac:dyDescent="0.35">
      <c r="G1998" s="1"/>
      <c r="N1998" s="1"/>
    </row>
    <row r="1999" spans="7:14" x14ac:dyDescent="0.35">
      <c r="G1999" s="1"/>
      <c r="N1999" s="1"/>
    </row>
    <row r="2000" spans="7:14" x14ac:dyDescent="0.35">
      <c r="G2000" s="1"/>
      <c r="N2000" s="1"/>
    </row>
    <row r="2001" spans="7:14" x14ac:dyDescent="0.35">
      <c r="G2001" s="1"/>
      <c r="N2001" s="1"/>
    </row>
    <row r="2002" spans="7:14" x14ac:dyDescent="0.35">
      <c r="G2002" s="1"/>
      <c r="N2002" s="1"/>
    </row>
    <row r="2003" spans="7:14" x14ac:dyDescent="0.35">
      <c r="G2003" s="1"/>
      <c r="N2003" s="1"/>
    </row>
    <row r="2004" spans="7:14" x14ac:dyDescent="0.35">
      <c r="G2004" s="1"/>
      <c r="N2004" s="1"/>
    </row>
    <row r="2005" spans="7:14" x14ac:dyDescent="0.35">
      <c r="G2005" s="1"/>
      <c r="N2005" s="1"/>
    </row>
    <row r="2006" spans="7:14" x14ac:dyDescent="0.35">
      <c r="G2006" s="1"/>
      <c r="N2006" s="1"/>
    </row>
    <row r="2007" spans="7:14" x14ac:dyDescent="0.35">
      <c r="G2007" s="1"/>
      <c r="N2007" s="1"/>
    </row>
    <row r="2008" spans="7:14" x14ac:dyDescent="0.35">
      <c r="G2008" s="1"/>
      <c r="N2008" s="1"/>
    </row>
    <row r="2009" spans="7:14" x14ac:dyDescent="0.35">
      <c r="G2009" s="1"/>
      <c r="N2009" s="1"/>
    </row>
    <row r="2010" spans="7:14" x14ac:dyDescent="0.35">
      <c r="G2010" s="1"/>
      <c r="N2010" s="1"/>
    </row>
    <row r="2011" spans="7:14" x14ac:dyDescent="0.35">
      <c r="G2011" s="1"/>
      <c r="N2011" s="1"/>
    </row>
    <row r="2012" spans="7:14" x14ac:dyDescent="0.35">
      <c r="G2012" s="1"/>
      <c r="N2012" s="1"/>
    </row>
    <row r="2013" spans="7:14" x14ac:dyDescent="0.35">
      <c r="G2013" s="1"/>
      <c r="N2013" s="1"/>
    </row>
    <row r="2014" spans="7:14" x14ac:dyDescent="0.35">
      <c r="G2014" s="1"/>
      <c r="N2014" s="1"/>
    </row>
    <row r="2015" spans="7:14" x14ac:dyDescent="0.35">
      <c r="G2015" s="1"/>
      <c r="N2015" s="1"/>
    </row>
    <row r="2016" spans="7:14" x14ac:dyDescent="0.35">
      <c r="G2016" s="1"/>
      <c r="N2016" s="1"/>
    </row>
    <row r="2017" spans="7:14" x14ac:dyDescent="0.35">
      <c r="G2017" s="1"/>
      <c r="N2017" s="1"/>
    </row>
    <row r="2018" spans="7:14" x14ac:dyDescent="0.35">
      <c r="G2018" s="1"/>
      <c r="N2018" s="1"/>
    </row>
    <row r="2019" spans="7:14" x14ac:dyDescent="0.35">
      <c r="G2019" s="1"/>
      <c r="N2019" s="1"/>
    </row>
    <row r="2020" spans="7:14" x14ac:dyDescent="0.35">
      <c r="G2020" s="1"/>
      <c r="N2020" s="1"/>
    </row>
    <row r="2021" spans="7:14" x14ac:dyDescent="0.35">
      <c r="G2021" s="1"/>
      <c r="N2021" s="1"/>
    </row>
    <row r="2022" spans="7:14" x14ac:dyDescent="0.35">
      <c r="G2022" s="1"/>
      <c r="N2022" s="1"/>
    </row>
    <row r="2023" spans="7:14" x14ac:dyDescent="0.35">
      <c r="G2023" s="1"/>
      <c r="N2023" s="1"/>
    </row>
    <row r="2024" spans="7:14" x14ac:dyDescent="0.35">
      <c r="G2024" s="1"/>
      <c r="N2024" s="1"/>
    </row>
    <row r="2025" spans="7:14" x14ac:dyDescent="0.35">
      <c r="G2025" s="1"/>
      <c r="N2025" s="1"/>
    </row>
    <row r="2026" spans="7:14" x14ac:dyDescent="0.35">
      <c r="G2026" s="1"/>
      <c r="N2026" s="1"/>
    </row>
    <row r="2027" spans="7:14" x14ac:dyDescent="0.35">
      <c r="G2027" s="1"/>
      <c r="N2027" s="1"/>
    </row>
    <row r="2028" spans="7:14" x14ac:dyDescent="0.35">
      <c r="G2028" s="1"/>
      <c r="N2028" s="1"/>
    </row>
    <row r="2029" spans="7:14" x14ac:dyDescent="0.35">
      <c r="G2029" s="1"/>
      <c r="N2029" s="1"/>
    </row>
    <row r="2030" spans="7:14" x14ac:dyDescent="0.35">
      <c r="G2030" s="1"/>
      <c r="N2030" s="1"/>
    </row>
    <row r="2031" spans="7:14" x14ac:dyDescent="0.35">
      <c r="G2031" s="1"/>
      <c r="N2031" s="1"/>
    </row>
    <row r="2032" spans="7:14" x14ac:dyDescent="0.35">
      <c r="G2032" s="1"/>
      <c r="N2032" s="1"/>
    </row>
    <row r="2033" spans="7:14" x14ac:dyDescent="0.35">
      <c r="G2033" s="1"/>
      <c r="N2033" s="1"/>
    </row>
    <row r="2034" spans="7:14" x14ac:dyDescent="0.35">
      <c r="G2034" s="1"/>
      <c r="N2034" s="1"/>
    </row>
    <row r="2035" spans="7:14" x14ac:dyDescent="0.35">
      <c r="G2035" s="1"/>
      <c r="N2035" s="1"/>
    </row>
    <row r="2036" spans="7:14" x14ac:dyDescent="0.35">
      <c r="G2036" s="1"/>
      <c r="N2036" s="1"/>
    </row>
    <row r="2037" spans="7:14" x14ac:dyDescent="0.35">
      <c r="G2037" s="1"/>
      <c r="N2037" s="1"/>
    </row>
    <row r="2038" spans="7:14" x14ac:dyDescent="0.35">
      <c r="G2038" s="1"/>
      <c r="N2038" s="1"/>
    </row>
    <row r="2039" spans="7:14" x14ac:dyDescent="0.35">
      <c r="G2039" s="1"/>
      <c r="N2039" s="1"/>
    </row>
    <row r="2040" spans="7:14" x14ac:dyDescent="0.35">
      <c r="G2040" s="1"/>
      <c r="N2040" s="1"/>
    </row>
    <row r="2041" spans="7:14" x14ac:dyDescent="0.35">
      <c r="G2041" s="1"/>
      <c r="N2041" s="1"/>
    </row>
    <row r="2042" spans="7:14" x14ac:dyDescent="0.35">
      <c r="G2042" s="1"/>
      <c r="N2042" s="1"/>
    </row>
    <row r="2043" spans="7:14" x14ac:dyDescent="0.35">
      <c r="G2043" s="1"/>
      <c r="N2043" s="1"/>
    </row>
    <row r="2044" spans="7:14" x14ac:dyDescent="0.35">
      <c r="G2044" s="1"/>
      <c r="N2044" s="1"/>
    </row>
    <row r="2045" spans="7:14" x14ac:dyDescent="0.35">
      <c r="G2045" s="1"/>
      <c r="N2045" s="1"/>
    </row>
    <row r="2046" spans="7:14" x14ac:dyDescent="0.35">
      <c r="G2046" s="1"/>
      <c r="N2046" s="1"/>
    </row>
    <row r="2047" spans="7:14" x14ac:dyDescent="0.35">
      <c r="G2047" s="1"/>
      <c r="N2047" s="1"/>
    </row>
    <row r="2048" spans="7:14" x14ac:dyDescent="0.35">
      <c r="G2048" s="1"/>
      <c r="N2048" s="1"/>
    </row>
    <row r="2049" spans="7:14" x14ac:dyDescent="0.35">
      <c r="G2049" s="1"/>
      <c r="N2049" s="1"/>
    </row>
    <row r="2050" spans="7:14" x14ac:dyDescent="0.35">
      <c r="G2050" s="1"/>
      <c r="N2050" s="1"/>
    </row>
    <row r="2051" spans="7:14" x14ac:dyDescent="0.35">
      <c r="G2051" s="1"/>
      <c r="N2051" s="1"/>
    </row>
    <row r="2052" spans="7:14" x14ac:dyDescent="0.35">
      <c r="G2052" s="1"/>
      <c r="N2052" s="1"/>
    </row>
    <row r="2053" spans="7:14" x14ac:dyDescent="0.35">
      <c r="G2053" s="1"/>
      <c r="N2053" s="1"/>
    </row>
    <row r="2054" spans="7:14" x14ac:dyDescent="0.35">
      <c r="G2054" s="1"/>
      <c r="N2054" s="1"/>
    </row>
    <row r="2055" spans="7:14" x14ac:dyDescent="0.35">
      <c r="G2055" s="1"/>
      <c r="N2055" s="1"/>
    </row>
    <row r="2056" spans="7:14" x14ac:dyDescent="0.35">
      <c r="G2056" s="1"/>
      <c r="N2056" s="1"/>
    </row>
    <row r="2057" spans="7:14" x14ac:dyDescent="0.35">
      <c r="G2057" s="1"/>
      <c r="N2057" s="1"/>
    </row>
    <row r="2058" spans="7:14" x14ac:dyDescent="0.35">
      <c r="G2058" s="1"/>
      <c r="N2058" s="1"/>
    </row>
    <row r="2059" spans="7:14" x14ac:dyDescent="0.35">
      <c r="G2059" s="1"/>
      <c r="N2059" s="1"/>
    </row>
    <row r="2060" spans="7:14" x14ac:dyDescent="0.35">
      <c r="G2060" s="1"/>
      <c r="N2060" s="1"/>
    </row>
    <row r="2061" spans="7:14" x14ac:dyDescent="0.35">
      <c r="G2061" s="1"/>
      <c r="N2061" s="1"/>
    </row>
    <row r="2062" spans="7:14" x14ac:dyDescent="0.35">
      <c r="G2062" s="1"/>
      <c r="N2062" s="1"/>
    </row>
    <row r="2063" spans="7:14" x14ac:dyDescent="0.35">
      <c r="G2063" s="1"/>
      <c r="N2063" s="1"/>
    </row>
    <row r="2064" spans="7:14" x14ac:dyDescent="0.35">
      <c r="G2064" s="1"/>
      <c r="N2064" s="1"/>
    </row>
    <row r="2065" spans="7:14" x14ac:dyDescent="0.35">
      <c r="G2065" s="1"/>
      <c r="N2065" s="1"/>
    </row>
    <row r="2066" spans="7:14" x14ac:dyDescent="0.35">
      <c r="G2066" s="1"/>
      <c r="N2066" s="1"/>
    </row>
    <row r="2067" spans="7:14" x14ac:dyDescent="0.35">
      <c r="G2067" s="1"/>
      <c r="N2067" s="1"/>
    </row>
    <row r="2068" spans="7:14" x14ac:dyDescent="0.35">
      <c r="G2068" s="1"/>
      <c r="N2068" s="1"/>
    </row>
    <row r="2069" spans="7:14" x14ac:dyDescent="0.35">
      <c r="G2069" s="1"/>
      <c r="N2069" s="1"/>
    </row>
    <row r="2070" spans="7:14" x14ac:dyDescent="0.35">
      <c r="G2070" s="1"/>
      <c r="N2070" s="1"/>
    </row>
    <row r="2071" spans="7:14" x14ac:dyDescent="0.35">
      <c r="G2071" s="1"/>
      <c r="N2071" s="1"/>
    </row>
    <row r="2072" spans="7:14" x14ac:dyDescent="0.35">
      <c r="G2072" s="1"/>
      <c r="N2072" s="1"/>
    </row>
    <row r="2073" spans="7:14" x14ac:dyDescent="0.35">
      <c r="G2073" s="1"/>
      <c r="N2073" s="1"/>
    </row>
    <row r="2074" spans="7:14" x14ac:dyDescent="0.35">
      <c r="G2074" s="1"/>
      <c r="N2074" s="1"/>
    </row>
    <row r="2075" spans="7:14" x14ac:dyDescent="0.35">
      <c r="G2075" s="1"/>
      <c r="N2075" s="1"/>
    </row>
    <row r="2076" spans="7:14" x14ac:dyDescent="0.35">
      <c r="G2076" s="1"/>
      <c r="N2076" s="1"/>
    </row>
    <row r="2077" spans="7:14" x14ac:dyDescent="0.35">
      <c r="G2077" s="1"/>
      <c r="N2077" s="1"/>
    </row>
    <row r="2078" spans="7:14" x14ac:dyDescent="0.35">
      <c r="G2078" s="1"/>
      <c r="N2078" s="1"/>
    </row>
    <row r="2079" spans="7:14" x14ac:dyDescent="0.35">
      <c r="G2079" s="1"/>
      <c r="N2079" s="1"/>
    </row>
    <row r="2080" spans="7:14" x14ac:dyDescent="0.35">
      <c r="G2080" s="1"/>
      <c r="N2080" s="1"/>
    </row>
    <row r="2081" spans="7:14" x14ac:dyDescent="0.35">
      <c r="G2081" s="1"/>
      <c r="N2081" s="1"/>
    </row>
    <row r="2082" spans="7:14" x14ac:dyDescent="0.35">
      <c r="G2082" s="1"/>
      <c r="N2082" s="1"/>
    </row>
    <row r="2083" spans="7:14" x14ac:dyDescent="0.35">
      <c r="G2083" s="1"/>
      <c r="N2083" s="1"/>
    </row>
    <row r="2084" spans="7:14" x14ac:dyDescent="0.35">
      <c r="G2084" s="1"/>
      <c r="N2084" s="1"/>
    </row>
    <row r="2085" spans="7:14" x14ac:dyDescent="0.35">
      <c r="G2085" s="1"/>
      <c r="N2085" s="1"/>
    </row>
    <row r="2086" spans="7:14" x14ac:dyDescent="0.35">
      <c r="G2086" s="1"/>
      <c r="N2086" s="1"/>
    </row>
    <row r="2087" spans="7:14" x14ac:dyDescent="0.35">
      <c r="G2087" s="1"/>
      <c r="N2087" s="1"/>
    </row>
    <row r="2088" spans="7:14" x14ac:dyDescent="0.35">
      <c r="G2088" s="1"/>
      <c r="N2088" s="1"/>
    </row>
    <row r="2089" spans="7:14" x14ac:dyDescent="0.35">
      <c r="G2089" s="1"/>
      <c r="N2089" s="1"/>
    </row>
    <row r="2090" spans="7:14" x14ac:dyDescent="0.35">
      <c r="G2090" s="1"/>
      <c r="N2090" s="1"/>
    </row>
    <row r="2091" spans="7:14" x14ac:dyDescent="0.35">
      <c r="G2091" s="1"/>
      <c r="N2091" s="1"/>
    </row>
    <row r="2092" spans="7:14" x14ac:dyDescent="0.35">
      <c r="G2092" s="1"/>
      <c r="N2092" s="1"/>
    </row>
    <row r="2093" spans="7:14" x14ac:dyDescent="0.35">
      <c r="G2093" s="1"/>
      <c r="N2093" s="1"/>
    </row>
    <row r="2094" spans="7:14" x14ac:dyDescent="0.35">
      <c r="G2094" s="1"/>
      <c r="N2094" s="1"/>
    </row>
    <row r="2095" spans="7:14" x14ac:dyDescent="0.35">
      <c r="G2095" s="1"/>
      <c r="N2095" s="1"/>
    </row>
    <row r="2096" spans="7:14" x14ac:dyDescent="0.35">
      <c r="G2096" s="1"/>
      <c r="N2096" s="1"/>
    </row>
    <row r="2097" spans="7:14" x14ac:dyDescent="0.35">
      <c r="G2097" s="1"/>
      <c r="N2097" s="1"/>
    </row>
    <row r="2098" spans="7:14" x14ac:dyDescent="0.35">
      <c r="G2098" s="1"/>
      <c r="N2098" s="1"/>
    </row>
    <row r="2099" spans="7:14" x14ac:dyDescent="0.35">
      <c r="G2099" s="1"/>
      <c r="N2099" s="1"/>
    </row>
    <row r="2100" spans="7:14" x14ac:dyDescent="0.35">
      <c r="G2100" s="1"/>
      <c r="N2100" s="1"/>
    </row>
    <row r="2101" spans="7:14" x14ac:dyDescent="0.35">
      <c r="G2101" s="1"/>
      <c r="N2101" s="1"/>
    </row>
    <row r="2102" spans="7:14" x14ac:dyDescent="0.35">
      <c r="G2102" s="1"/>
      <c r="N2102" s="1"/>
    </row>
    <row r="2103" spans="7:14" x14ac:dyDescent="0.35">
      <c r="G2103" s="1"/>
      <c r="N2103" s="1"/>
    </row>
    <row r="2104" spans="7:14" x14ac:dyDescent="0.35">
      <c r="G2104" s="1"/>
      <c r="N2104" s="1"/>
    </row>
    <row r="2105" spans="7:14" x14ac:dyDescent="0.35">
      <c r="G2105" s="1"/>
      <c r="N2105" s="1"/>
    </row>
    <row r="2106" spans="7:14" x14ac:dyDescent="0.35">
      <c r="G2106" s="1"/>
      <c r="N2106" s="1"/>
    </row>
    <row r="2107" spans="7:14" x14ac:dyDescent="0.35">
      <c r="G2107" s="1"/>
      <c r="N2107" s="1"/>
    </row>
    <row r="2108" spans="7:14" x14ac:dyDescent="0.35">
      <c r="G2108" s="1"/>
      <c r="N2108" s="1"/>
    </row>
    <row r="2109" spans="7:14" x14ac:dyDescent="0.35">
      <c r="G2109" s="1"/>
      <c r="N2109" s="1"/>
    </row>
    <row r="2110" spans="7:14" x14ac:dyDescent="0.35">
      <c r="G2110" s="1"/>
      <c r="N2110" s="1"/>
    </row>
    <row r="2111" spans="7:14" x14ac:dyDescent="0.35">
      <c r="G2111" s="1"/>
      <c r="N2111" s="1"/>
    </row>
    <row r="2112" spans="7:14" x14ac:dyDescent="0.35">
      <c r="G2112" s="1"/>
      <c r="N2112" s="1"/>
    </row>
    <row r="2113" spans="7:14" x14ac:dyDescent="0.35">
      <c r="G2113" s="1"/>
      <c r="N2113" s="1"/>
    </row>
    <row r="2114" spans="7:14" x14ac:dyDescent="0.35">
      <c r="G2114" s="1"/>
      <c r="N2114" s="1"/>
    </row>
    <row r="2115" spans="7:14" x14ac:dyDescent="0.35">
      <c r="G2115" s="1"/>
      <c r="N2115" s="1"/>
    </row>
    <row r="2116" spans="7:14" x14ac:dyDescent="0.35">
      <c r="G2116" s="1"/>
      <c r="N2116" s="1"/>
    </row>
    <row r="2117" spans="7:14" x14ac:dyDescent="0.35">
      <c r="G2117" s="1"/>
      <c r="N2117" s="1"/>
    </row>
    <row r="2118" spans="7:14" x14ac:dyDescent="0.35">
      <c r="G2118" s="1"/>
      <c r="N2118" s="1"/>
    </row>
    <row r="2119" spans="7:14" x14ac:dyDescent="0.35">
      <c r="G2119" s="1"/>
      <c r="N2119" s="1"/>
    </row>
    <row r="2120" spans="7:14" x14ac:dyDescent="0.35">
      <c r="G2120" s="1"/>
      <c r="N2120" s="1"/>
    </row>
    <row r="2121" spans="7:14" x14ac:dyDescent="0.35">
      <c r="G2121" s="1"/>
      <c r="N2121" s="1"/>
    </row>
    <row r="2122" spans="7:14" x14ac:dyDescent="0.35">
      <c r="G2122" s="1"/>
      <c r="N2122" s="1"/>
    </row>
    <row r="2123" spans="7:14" x14ac:dyDescent="0.35">
      <c r="G2123" s="1"/>
      <c r="N2123" s="1"/>
    </row>
    <row r="2124" spans="7:14" x14ac:dyDescent="0.35">
      <c r="G2124" s="1"/>
      <c r="N2124" s="1"/>
    </row>
    <row r="2125" spans="7:14" x14ac:dyDescent="0.35">
      <c r="G2125" s="1"/>
      <c r="N2125" s="1"/>
    </row>
    <row r="2126" spans="7:14" x14ac:dyDescent="0.35">
      <c r="G2126" s="1"/>
      <c r="N2126" s="1"/>
    </row>
    <row r="2127" spans="7:14" x14ac:dyDescent="0.35">
      <c r="G2127" s="1"/>
      <c r="N2127" s="1"/>
    </row>
    <row r="2128" spans="7:14" x14ac:dyDescent="0.35">
      <c r="G2128" s="1"/>
      <c r="N2128" s="1"/>
    </row>
    <row r="2129" spans="7:14" x14ac:dyDescent="0.35">
      <c r="G2129" s="1"/>
      <c r="N2129" s="1"/>
    </row>
    <row r="2130" spans="7:14" x14ac:dyDescent="0.35">
      <c r="G2130" s="1"/>
      <c r="N2130" s="1"/>
    </row>
    <row r="2131" spans="7:14" x14ac:dyDescent="0.35">
      <c r="G2131" s="1"/>
      <c r="N2131" s="1"/>
    </row>
    <row r="2132" spans="7:14" x14ac:dyDescent="0.35">
      <c r="G2132" s="1"/>
      <c r="N2132" s="1"/>
    </row>
    <row r="2133" spans="7:14" x14ac:dyDescent="0.35">
      <c r="G2133" s="1"/>
      <c r="N2133" s="1"/>
    </row>
    <row r="2134" spans="7:14" x14ac:dyDescent="0.35">
      <c r="G2134" s="1"/>
      <c r="N2134" s="1"/>
    </row>
    <row r="2135" spans="7:14" x14ac:dyDescent="0.35">
      <c r="G2135" s="1"/>
      <c r="N2135" s="1"/>
    </row>
    <row r="2136" spans="7:14" x14ac:dyDescent="0.35">
      <c r="G2136" s="1"/>
      <c r="N2136" s="1"/>
    </row>
    <row r="2137" spans="7:14" x14ac:dyDescent="0.35">
      <c r="G2137" s="1"/>
      <c r="N2137" s="1"/>
    </row>
    <row r="2138" spans="7:14" x14ac:dyDescent="0.35">
      <c r="G2138" s="1"/>
      <c r="N2138" s="1"/>
    </row>
    <row r="2139" spans="7:14" x14ac:dyDescent="0.35">
      <c r="G2139" s="1"/>
      <c r="N2139" s="1"/>
    </row>
    <row r="2140" spans="7:14" x14ac:dyDescent="0.35">
      <c r="G2140" s="1"/>
      <c r="N2140" s="1"/>
    </row>
    <row r="2141" spans="7:14" x14ac:dyDescent="0.35">
      <c r="G2141" s="1"/>
      <c r="N2141" s="1"/>
    </row>
    <row r="2142" spans="7:14" x14ac:dyDescent="0.35">
      <c r="G2142" s="1"/>
      <c r="N2142" s="1"/>
    </row>
    <row r="2143" spans="7:14" x14ac:dyDescent="0.35">
      <c r="G2143" s="1"/>
      <c r="N2143" s="1"/>
    </row>
    <row r="2144" spans="7:14" x14ac:dyDescent="0.35">
      <c r="G2144" s="1"/>
      <c r="N2144" s="1"/>
    </row>
    <row r="2145" spans="7:14" x14ac:dyDescent="0.35">
      <c r="G2145" s="1"/>
      <c r="N2145" s="1"/>
    </row>
    <row r="2146" spans="7:14" x14ac:dyDescent="0.35">
      <c r="G2146" s="1"/>
      <c r="N2146" s="1"/>
    </row>
    <row r="2147" spans="7:14" x14ac:dyDescent="0.35">
      <c r="G2147" s="1"/>
      <c r="N2147" s="1"/>
    </row>
    <row r="2148" spans="7:14" x14ac:dyDescent="0.35">
      <c r="G2148" s="1"/>
      <c r="N2148" s="1"/>
    </row>
    <row r="2149" spans="7:14" x14ac:dyDescent="0.35">
      <c r="G2149" s="1"/>
      <c r="N2149" s="1"/>
    </row>
    <row r="2150" spans="7:14" x14ac:dyDescent="0.35">
      <c r="G2150" s="1"/>
      <c r="N2150" s="1"/>
    </row>
    <row r="2151" spans="7:14" x14ac:dyDescent="0.35">
      <c r="G2151" s="1"/>
      <c r="N2151" s="1"/>
    </row>
    <row r="2152" spans="7:14" x14ac:dyDescent="0.35">
      <c r="G2152" s="1"/>
      <c r="N2152" s="1"/>
    </row>
    <row r="2153" spans="7:14" x14ac:dyDescent="0.35">
      <c r="G2153" s="1"/>
      <c r="N2153" s="1"/>
    </row>
    <row r="2154" spans="7:14" x14ac:dyDescent="0.35">
      <c r="G2154" s="1"/>
      <c r="N2154" s="1"/>
    </row>
    <row r="2155" spans="7:14" x14ac:dyDescent="0.35">
      <c r="G2155" s="1"/>
      <c r="N2155" s="1"/>
    </row>
    <row r="2156" spans="7:14" x14ac:dyDescent="0.35">
      <c r="G2156" s="1"/>
      <c r="N2156" s="1"/>
    </row>
    <row r="2157" spans="7:14" x14ac:dyDescent="0.35">
      <c r="G2157" s="1"/>
      <c r="N2157" s="1"/>
    </row>
    <row r="2158" spans="7:14" x14ac:dyDescent="0.35">
      <c r="G2158" s="1"/>
      <c r="N2158" s="1"/>
    </row>
    <row r="2159" spans="7:14" x14ac:dyDescent="0.35">
      <c r="G2159" s="1"/>
      <c r="N2159" s="1"/>
    </row>
    <row r="2160" spans="7:14" x14ac:dyDescent="0.35">
      <c r="G2160" s="1"/>
      <c r="N2160" s="1"/>
    </row>
    <row r="2161" spans="7:14" x14ac:dyDescent="0.35">
      <c r="G2161" s="1"/>
      <c r="N2161" s="1"/>
    </row>
    <row r="2162" spans="7:14" x14ac:dyDescent="0.35">
      <c r="G2162" s="1"/>
      <c r="N2162" s="1"/>
    </row>
    <row r="2163" spans="7:14" x14ac:dyDescent="0.35">
      <c r="G2163" s="1"/>
      <c r="N2163" s="1"/>
    </row>
    <row r="2164" spans="7:14" x14ac:dyDescent="0.35">
      <c r="G2164" s="1"/>
      <c r="N2164" s="1"/>
    </row>
    <row r="2165" spans="7:14" x14ac:dyDescent="0.35">
      <c r="G2165" s="1"/>
      <c r="N2165" s="1"/>
    </row>
    <row r="2166" spans="7:14" x14ac:dyDescent="0.35">
      <c r="G2166" s="1"/>
      <c r="N2166" s="1"/>
    </row>
    <row r="2167" spans="7:14" x14ac:dyDescent="0.35">
      <c r="G2167" s="1"/>
      <c r="N2167" s="1"/>
    </row>
    <row r="2168" spans="7:14" x14ac:dyDescent="0.35">
      <c r="G2168" s="1"/>
      <c r="N2168" s="1"/>
    </row>
    <row r="2169" spans="7:14" x14ac:dyDescent="0.35">
      <c r="G2169" s="1"/>
      <c r="N2169" s="1"/>
    </row>
    <row r="2170" spans="7:14" x14ac:dyDescent="0.35">
      <c r="G2170" s="1"/>
      <c r="N2170" s="1"/>
    </row>
    <row r="2171" spans="7:14" x14ac:dyDescent="0.35">
      <c r="G2171" s="1"/>
      <c r="N2171" s="1"/>
    </row>
    <row r="2172" spans="7:14" x14ac:dyDescent="0.35">
      <c r="G2172" s="1"/>
      <c r="N2172" s="1"/>
    </row>
    <row r="2173" spans="7:14" x14ac:dyDescent="0.35">
      <c r="G2173" s="1"/>
      <c r="N2173" s="1"/>
    </row>
    <row r="2174" spans="7:14" x14ac:dyDescent="0.35">
      <c r="G2174" s="1"/>
      <c r="N2174" s="1"/>
    </row>
    <row r="2175" spans="7:14" x14ac:dyDescent="0.35">
      <c r="G2175" s="1"/>
      <c r="N2175" s="1"/>
    </row>
    <row r="2176" spans="7:14" x14ac:dyDescent="0.35">
      <c r="G2176" s="1"/>
      <c r="N2176" s="1"/>
    </row>
    <row r="2177" spans="7:14" x14ac:dyDescent="0.35">
      <c r="G2177" s="1"/>
      <c r="N2177" s="1"/>
    </row>
    <row r="2178" spans="7:14" x14ac:dyDescent="0.35">
      <c r="G2178" s="1"/>
      <c r="N2178" s="1"/>
    </row>
    <row r="2179" spans="7:14" x14ac:dyDescent="0.35">
      <c r="G2179" s="1"/>
      <c r="N2179" s="1"/>
    </row>
    <row r="2180" spans="7:14" x14ac:dyDescent="0.35">
      <c r="G2180" s="1"/>
      <c r="N2180" s="1"/>
    </row>
    <row r="2181" spans="7:14" x14ac:dyDescent="0.35">
      <c r="G2181" s="1"/>
      <c r="N2181" s="1"/>
    </row>
    <row r="2182" spans="7:14" x14ac:dyDescent="0.35">
      <c r="G2182" s="1"/>
      <c r="N2182" s="1"/>
    </row>
    <row r="2183" spans="7:14" x14ac:dyDescent="0.35">
      <c r="G2183" s="1"/>
      <c r="N2183" s="1"/>
    </row>
    <row r="2184" spans="7:14" x14ac:dyDescent="0.35">
      <c r="G2184" s="1"/>
      <c r="N2184" s="1"/>
    </row>
    <row r="2185" spans="7:14" x14ac:dyDescent="0.35">
      <c r="G2185" s="1"/>
      <c r="N2185" s="1"/>
    </row>
    <row r="2186" spans="7:14" x14ac:dyDescent="0.35">
      <c r="G2186" s="1"/>
      <c r="N2186" s="1"/>
    </row>
    <row r="2187" spans="7:14" x14ac:dyDescent="0.35">
      <c r="G2187" s="1"/>
      <c r="N2187" s="1"/>
    </row>
    <row r="2188" spans="7:14" x14ac:dyDescent="0.35">
      <c r="G2188" s="1"/>
      <c r="N2188" s="1"/>
    </row>
    <row r="2189" spans="7:14" x14ac:dyDescent="0.35">
      <c r="G2189" s="1"/>
      <c r="N2189" s="1"/>
    </row>
    <row r="2190" spans="7:14" x14ac:dyDescent="0.35">
      <c r="G2190" s="1"/>
      <c r="N2190" s="1"/>
    </row>
    <row r="2191" spans="7:14" x14ac:dyDescent="0.35">
      <c r="G2191" s="1"/>
      <c r="N2191" s="1"/>
    </row>
    <row r="2192" spans="7:14" x14ac:dyDescent="0.35">
      <c r="G2192" s="1"/>
      <c r="N2192" s="1"/>
    </row>
    <row r="2193" spans="7:14" x14ac:dyDescent="0.35">
      <c r="G2193" s="1"/>
      <c r="N2193" s="1"/>
    </row>
    <row r="2194" spans="7:14" x14ac:dyDescent="0.35">
      <c r="G2194" s="1"/>
      <c r="N2194" s="1"/>
    </row>
    <row r="2195" spans="7:14" x14ac:dyDescent="0.35">
      <c r="G2195" s="1"/>
      <c r="N2195" s="1"/>
    </row>
    <row r="2196" spans="7:14" x14ac:dyDescent="0.35">
      <c r="G2196" s="1"/>
      <c r="N2196" s="1"/>
    </row>
    <row r="2197" spans="7:14" x14ac:dyDescent="0.35">
      <c r="G2197" s="1"/>
      <c r="N2197" s="1"/>
    </row>
    <row r="2198" spans="7:14" x14ac:dyDescent="0.35">
      <c r="G2198" s="1"/>
      <c r="N2198" s="1"/>
    </row>
    <row r="2199" spans="7:14" x14ac:dyDescent="0.35">
      <c r="G2199" s="1"/>
      <c r="N2199" s="1"/>
    </row>
    <row r="2200" spans="7:14" x14ac:dyDescent="0.35">
      <c r="G2200" s="1"/>
      <c r="N2200" s="1"/>
    </row>
    <row r="2201" spans="7:14" x14ac:dyDescent="0.35">
      <c r="G2201" s="1"/>
      <c r="N2201" s="1"/>
    </row>
    <row r="2202" spans="7:14" x14ac:dyDescent="0.35">
      <c r="G2202" s="1"/>
      <c r="N2202" s="1"/>
    </row>
    <row r="2203" spans="7:14" x14ac:dyDescent="0.35">
      <c r="G2203" s="1"/>
      <c r="N2203" s="1"/>
    </row>
    <row r="2204" spans="7:14" x14ac:dyDescent="0.35">
      <c r="G2204" s="1"/>
      <c r="N2204" s="1"/>
    </row>
    <row r="2205" spans="7:14" x14ac:dyDescent="0.35">
      <c r="G2205" s="1"/>
      <c r="N2205" s="1"/>
    </row>
    <row r="2206" spans="7:14" x14ac:dyDescent="0.35">
      <c r="G2206" s="1"/>
      <c r="N2206" s="1"/>
    </row>
    <row r="2207" spans="7:14" x14ac:dyDescent="0.35">
      <c r="G2207" s="1"/>
      <c r="N2207" s="1"/>
    </row>
    <row r="2208" spans="7:14" x14ac:dyDescent="0.35">
      <c r="G2208" s="1"/>
      <c r="N2208" s="1"/>
    </row>
    <row r="2209" spans="7:14" x14ac:dyDescent="0.35">
      <c r="G2209" s="1"/>
      <c r="N2209" s="1"/>
    </row>
    <row r="2210" spans="7:14" x14ac:dyDescent="0.35">
      <c r="G2210" s="1"/>
      <c r="N2210" s="1"/>
    </row>
    <row r="2211" spans="7:14" x14ac:dyDescent="0.35">
      <c r="G2211" s="1"/>
      <c r="N2211" s="1"/>
    </row>
    <row r="2212" spans="7:14" x14ac:dyDescent="0.35">
      <c r="G2212" s="1"/>
      <c r="N2212" s="1"/>
    </row>
    <row r="2213" spans="7:14" x14ac:dyDescent="0.35">
      <c r="G2213" s="1"/>
      <c r="N2213" s="1"/>
    </row>
    <row r="2214" spans="7:14" x14ac:dyDescent="0.35">
      <c r="G2214" s="1"/>
      <c r="N2214" s="1"/>
    </row>
    <row r="2215" spans="7:14" x14ac:dyDescent="0.35">
      <c r="G2215" s="1"/>
      <c r="N2215" s="1"/>
    </row>
    <row r="2216" spans="7:14" x14ac:dyDescent="0.35">
      <c r="G2216" s="1"/>
      <c r="N2216" s="1"/>
    </row>
    <row r="2217" spans="7:14" x14ac:dyDescent="0.35">
      <c r="G2217" s="1"/>
      <c r="N2217" s="1"/>
    </row>
    <row r="2218" spans="7:14" x14ac:dyDescent="0.35">
      <c r="G2218" s="1"/>
      <c r="N2218" s="1"/>
    </row>
    <row r="2219" spans="7:14" x14ac:dyDescent="0.35">
      <c r="G2219" s="1"/>
      <c r="N2219" s="1"/>
    </row>
    <row r="2220" spans="7:14" x14ac:dyDescent="0.35">
      <c r="G2220" s="1"/>
      <c r="N2220" s="1"/>
    </row>
    <row r="2221" spans="7:14" x14ac:dyDescent="0.35">
      <c r="G2221" s="1"/>
      <c r="N2221" s="1"/>
    </row>
    <row r="2222" spans="7:14" x14ac:dyDescent="0.35">
      <c r="G2222" s="1"/>
      <c r="N2222" s="1"/>
    </row>
    <row r="2223" spans="7:14" x14ac:dyDescent="0.35">
      <c r="G2223" s="1"/>
      <c r="N2223" s="1"/>
    </row>
    <row r="2224" spans="7:14" x14ac:dyDescent="0.35">
      <c r="G2224" s="1"/>
      <c r="N2224" s="1"/>
    </row>
    <row r="2225" spans="7:14" x14ac:dyDescent="0.35">
      <c r="G2225" s="1"/>
      <c r="N2225" s="1"/>
    </row>
    <row r="2226" spans="7:14" x14ac:dyDescent="0.35">
      <c r="G2226" s="1"/>
      <c r="N2226" s="1"/>
    </row>
    <row r="2227" spans="7:14" x14ac:dyDescent="0.35">
      <c r="G2227" s="1"/>
      <c r="N2227" s="1"/>
    </row>
    <row r="2228" spans="7:14" x14ac:dyDescent="0.35">
      <c r="G2228" s="1"/>
      <c r="N2228" s="1"/>
    </row>
    <row r="2229" spans="7:14" x14ac:dyDescent="0.35">
      <c r="G2229" s="1"/>
      <c r="N2229" s="1"/>
    </row>
    <row r="2230" spans="7:14" x14ac:dyDescent="0.35">
      <c r="G2230" s="1"/>
      <c r="N2230" s="1"/>
    </row>
    <row r="2231" spans="7:14" x14ac:dyDescent="0.35">
      <c r="G2231" s="1"/>
      <c r="N2231" s="1"/>
    </row>
    <row r="2232" spans="7:14" x14ac:dyDescent="0.35">
      <c r="G2232" s="1"/>
      <c r="N2232" s="1"/>
    </row>
    <row r="2233" spans="7:14" x14ac:dyDescent="0.35">
      <c r="G2233" s="1"/>
      <c r="N2233" s="1"/>
    </row>
    <row r="2234" spans="7:14" x14ac:dyDescent="0.35">
      <c r="G2234" s="1"/>
      <c r="N2234" s="1"/>
    </row>
    <row r="2235" spans="7:14" x14ac:dyDescent="0.35">
      <c r="G2235" s="1"/>
      <c r="N2235" s="1"/>
    </row>
    <row r="2236" spans="7:14" x14ac:dyDescent="0.35">
      <c r="G2236" s="1"/>
      <c r="N2236" s="1"/>
    </row>
    <row r="2237" spans="7:14" x14ac:dyDescent="0.35">
      <c r="G2237" s="1"/>
      <c r="N2237" s="1"/>
    </row>
    <row r="2238" spans="7:14" x14ac:dyDescent="0.35">
      <c r="G2238" s="1"/>
      <c r="N2238" s="1"/>
    </row>
    <row r="2239" spans="7:14" x14ac:dyDescent="0.35">
      <c r="G2239" s="1"/>
      <c r="N2239" s="1"/>
    </row>
    <row r="2240" spans="7:14" x14ac:dyDescent="0.35">
      <c r="G2240" s="1"/>
      <c r="N2240" s="1"/>
    </row>
    <row r="2241" spans="7:14" x14ac:dyDescent="0.35">
      <c r="G2241" s="1"/>
      <c r="N2241" s="1"/>
    </row>
    <row r="2242" spans="7:14" x14ac:dyDescent="0.35">
      <c r="G2242" s="1"/>
      <c r="N2242" s="1"/>
    </row>
    <row r="2243" spans="7:14" x14ac:dyDescent="0.35">
      <c r="G2243" s="1"/>
      <c r="N2243" s="1"/>
    </row>
    <row r="2244" spans="7:14" x14ac:dyDescent="0.35">
      <c r="G2244" s="1"/>
      <c r="N2244" s="1"/>
    </row>
    <row r="2245" spans="7:14" x14ac:dyDescent="0.35">
      <c r="G2245" s="1"/>
      <c r="N2245" s="1"/>
    </row>
    <row r="2246" spans="7:14" x14ac:dyDescent="0.35">
      <c r="G2246" s="1"/>
      <c r="N2246" s="1"/>
    </row>
    <row r="2247" spans="7:14" x14ac:dyDescent="0.35">
      <c r="G2247" s="1"/>
      <c r="N2247" s="1"/>
    </row>
    <row r="2248" spans="7:14" x14ac:dyDescent="0.35">
      <c r="G2248" s="1"/>
      <c r="N2248" s="1"/>
    </row>
    <row r="2249" spans="7:14" x14ac:dyDescent="0.35">
      <c r="G2249" s="1"/>
      <c r="N2249" s="1"/>
    </row>
    <row r="2250" spans="7:14" x14ac:dyDescent="0.35">
      <c r="G2250" s="1"/>
      <c r="N2250" s="1"/>
    </row>
    <row r="2251" spans="7:14" x14ac:dyDescent="0.35">
      <c r="G2251" s="1"/>
      <c r="N2251" s="1"/>
    </row>
    <row r="2252" spans="7:14" x14ac:dyDescent="0.35">
      <c r="G2252" s="1"/>
      <c r="N2252" s="1"/>
    </row>
    <row r="2253" spans="7:14" x14ac:dyDescent="0.35">
      <c r="G2253" s="1"/>
      <c r="N2253" s="1"/>
    </row>
    <row r="2254" spans="7:14" x14ac:dyDescent="0.35">
      <c r="G2254" s="1"/>
      <c r="N2254" s="1"/>
    </row>
    <row r="2255" spans="7:14" x14ac:dyDescent="0.35">
      <c r="G2255" s="1"/>
      <c r="N2255" s="1"/>
    </row>
    <row r="2256" spans="7:14" x14ac:dyDescent="0.35">
      <c r="G2256" s="1"/>
      <c r="N2256" s="1"/>
    </row>
    <row r="2257" spans="7:14" x14ac:dyDescent="0.35">
      <c r="G2257" s="1"/>
      <c r="N2257" s="1"/>
    </row>
    <row r="2258" spans="7:14" x14ac:dyDescent="0.35">
      <c r="G2258" s="1"/>
      <c r="N2258" s="1"/>
    </row>
    <row r="2259" spans="7:14" x14ac:dyDescent="0.35">
      <c r="G2259" s="1"/>
      <c r="N2259" s="1"/>
    </row>
    <row r="2260" spans="7:14" x14ac:dyDescent="0.35">
      <c r="G2260" s="1"/>
      <c r="N2260" s="1"/>
    </row>
    <row r="2261" spans="7:14" x14ac:dyDescent="0.35">
      <c r="G2261" s="1"/>
      <c r="N2261" s="1"/>
    </row>
    <row r="2262" spans="7:14" x14ac:dyDescent="0.35">
      <c r="G2262" s="1"/>
      <c r="N2262" s="1"/>
    </row>
    <row r="2263" spans="7:14" x14ac:dyDescent="0.35">
      <c r="G2263" s="1"/>
      <c r="N2263" s="1"/>
    </row>
    <row r="2264" spans="7:14" x14ac:dyDescent="0.35">
      <c r="G2264" s="1"/>
      <c r="N2264" s="1"/>
    </row>
    <row r="2265" spans="7:14" x14ac:dyDescent="0.35">
      <c r="G2265" s="1"/>
      <c r="N2265" s="1"/>
    </row>
    <row r="2266" spans="7:14" x14ac:dyDescent="0.35">
      <c r="G2266" s="1"/>
      <c r="N2266" s="1"/>
    </row>
    <row r="2267" spans="7:14" x14ac:dyDescent="0.35">
      <c r="G2267" s="1"/>
      <c r="N2267" s="1"/>
    </row>
    <row r="2268" spans="7:14" x14ac:dyDescent="0.35">
      <c r="G2268" s="1"/>
      <c r="N2268" s="1"/>
    </row>
    <row r="2269" spans="7:14" x14ac:dyDescent="0.35">
      <c r="G2269" s="1"/>
      <c r="N2269" s="1"/>
    </row>
    <row r="2270" spans="7:14" x14ac:dyDescent="0.35">
      <c r="G2270" s="1"/>
      <c r="N2270" s="1"/>
    </row>
    <row r="2271" spans="7:14" x14ac:dyDescent="0.35">
      <c r="G2271" s="1"/>
      <c r="N2271" s="1"/>
    </row>
    <row r="2272" spans="7:14" x14ac:dyDescent="0.35">
      <c r="G2272" s="1"/>
      <c r="N2272" s="1"/>
    </row>
    <row r="2273" spans="7:14" x14ac:dyDescent="0.35">
      <c r="G2273" s="1"/>
      <c r="N2273" s="1"/>
    </row>
    <row r="2274" spans="7:14" x14ac:dyDescent="0.35">
      <c r="G2274" s="1"/>
      <c r="N2274" s="1"/>
    </row>
    <row r="2275" spans="7:14" x14ac:dyDescent="0.35">
      <c r="G2275" s="1"/>
      <c r="N2275" s="1"/>
    </row>
    <row r="2276" spans="7:14" x14ac:dyDescent="0.35">
      <c r="G2276" s="1"/>
      <c r="N2276" s="1"/>
    </row>
    <row r="2277" spans="7:14" x14ac:dyDescent="0.35">
      <c r="G2277" s="1"/>
      <c r="N2277" s="1"/>
    </row>
    <row r="2278" spans="7:14" x14ac:dyDescent="0.35">
      <c r="G2278" s="1"/>
      <c r="N2278" s="1"/>
    </row>
    <row r="2279" spans="7:14" x14ac:dyDescent="0.35">
      <c r="G2279" s="1"/>
      <c r="N2279" s="1"/>
    </row>
    <row r="2280" spans="7:14" x14ac:dyDescent="0.35">
      <c r="G2280" s="1"/>
      <c r="N2280" s="1"/>
    </row>
    <row r="2281" spans="7:14" x14ac:dyDescent="0.35">
      <c r="G2281" s="1"/>
      <c r="N2281" s="1"/>
    </row>
    <row r="2282" spans="7:14" x14ac:dyDescent="0.35">
      <c r="G2282" s="1"/>
      <c r="N2282" s="1"/>
    </row>
    <row r="2283" spans="7:14" x14ac:dyDescent="0.35">
      <c r="G2283" s="1"/>
      <c r="N2283" s="1"/>
    </row>
    <row r="2284" spans="7:14" x14ac:dyDescent="0.35">
      <c r="G2284" s="1"/>
      <c r="N2284" s="1"/>
    </row>
    <row r="2285" spans="7:14" x14ac:dyDescent="0.35">
      <c r="G2285" s="1"/>
      <c r="N2285" s="1"/>
    </row>
    <row r="2286" spans="7:14" x14ac:dyDescent="0.35">
      <c r="G2286" s="1"/>
      <c r="N2286" s="1"/>
    </row>
    <row r="2287" spans="7:14" x14ac:dyDescent="0.35">
      <c r="G2287" s="1"/>
      <c r="N2287" s="1"/>
    </row>
    <row r="2288" spans="7:14" x14ac:dyDescent="0.35">
      <c r="G2288" s="1"/>
      <c r="N2288" s="1"/>
    </row>
    <row r="2289" spans="7:14" x14ac:dyDescent="0.35">
      <c r="G2289" s="1"/>
      <c r="N2289" s="1"/>
    </row>
    <row r="2290" spans="7:14" x14ac:dyDescent="0.35">
      <c r="G2290" s="1"/>
      <c r="N2290" s="1"/>
    </row>
    <row r="2291" spans="7:14" x14ac:dyDescent="0.35">
      <c r="G2291" s="1"/>
      <c r="N2291" s="1"/>
    </row>
    <row r="2292" spans="7:14" x14ac:dyDescent="0.35">
      <c r="G2292" s="1"/>
      <c r="N2292" s="1"/>
    </row>
    <row r="2293" spans="7:14" x14ac:dyDescent="0.35">
      <c r="G2293" s="1"/>
      <c r="N2293" s="1"/>
    </row>
    <row r="2294" spans="7:14" x14ac:dyDescent="0.35">
      <c r="G2294" s="1"/>
      <c r="N2294" s="1"/>
    </row>
    <row r="2295" spans="7:14" x14ac:dyDescent="0.35">
      <c r="G2295" s="1"/>
      <c r="N2295" s="1"/>
    </row>
    <row r="2296" spans="7:14" x14ac:dyDescent="0.35">
      <c r="G2296" s="1"/>
      <c r="N2296" s="1"/>
    </row>
    <row r="2297" spans="7:14" x14ac:dyDescent="0.35">
      <c r="G2297" s="1"/>
      <c r="N2297" s="1"/>
    </row>
    <row r="2298" spans="7:14" x14ac:dyDescent="0.35">
      <c r="G2298" s="1"/>
      <c r="N2298" s="1"/>
    </row>
    <row r="2299" spans="7:14" x14ac:dyDescent="0.35">
      <c r="G2299" s="1"/>
      <c r="N2299" s="1"/>
    </row>
    <row r="2300" spans="7:14" x14ac:dyDescent="0.35">
      <c r="G2300" s="1"/>
      <c r="N2300" s="1"/>
    </row>
    <row r="2301" spans="7:14" x14ac:dyDescent="0.35">
      <c r="G2301" s="1"/>
      <c r="N2301" s="1"/>
    </row>
    <row r="2302" spans="7:14" x14ac:dyDescent="0.35">
      <c r="G2302" s="1"/>
      <c r="N2302" s="1"/>
    </row>
    <row r="2303" spans="7:14" x14ac:dyDescent="0.35">
      <c r="G2303" s="1"/>
      <c r="N2303" s="1"/>
    </row>
    <row r="2304" spans="7:14" x14ac:dyDescent="0.35">
      <c r="G2304" s="1"/>
      <c r="N2304" s="1"/>
    </row>
    <row r="2305" spans="7:14" x14ac:dyDescent="0.35">
      <c r="G2305" s="1"/>
      <c r="N2305" s="1"/>
    </row>
    <row r="2306" spans="7:14" x14ac:dyDescent="0.35">
      <c r="G2306" s="1"/>
      <c r="N2306" s="1"/>
    </row>
    <row r="2307" spans="7:14" x14ac:dyDescent="0.35">
      <c r="G2307" s="1"/>
      <c r="N2307" s="1"/>
    </row>
    <row r="2308" spans="7:14" x14ac:dyDescent="0.35">
      <c r="G2308" s="1"/>
      <c r="N2308" s="1"/>
    </row>
    <row r="2309" spans="7:14" x14ac:dyDescent="0.35">
      <c r="G2309" s="1"/>
      <c r="N2309" s="1"/>
    </row>
    <row r="2310" spans="7:14" x14ac:dyDescent="0.35">
      <c r="G2310" s="1"/>
      <c r="N2310" s="1"/>
    </row>
    <row r="2311" spans="7:14" x14ac:dyDescent="0.35">
      <c r="G2311" s="1"/>
      <c r="N2311" s="1"/>
    </row>
    <row r="2312" spans="7:14" x14ac:dyDescent="0.35">
      <c r="G2312" s="1"/>
      <c r="N2312" s="1"/>
    </row>
    <row r="2313" spans="7:14" x14ac:dyDescent="0.35">
      <c r="G2313" s="1"/>
      <c r="N2313" s="1"/>
    </row>
    <row r="2314" spans="7:14" x14ac:dyDescent="0.35">
      <c r="G2314" s="1"/>
      <c r="N2314" s="1"/>
    </row>
    <row r="2315" spans="7:14" x14ac:dyDescent="0.35">
      <c r="G2315" s="1"/>
      <c r="N2315" s="1"/>
    </row>
    <row r="2316" spans="7:14" x14ac:dyDescent="0.35">
      <c r="G2316" s="1"/>
      <c r="N2316" s="1"/>
    </row>
    <row r="2317" spans="7:14" x14ac:dyDescent="0.35">
      <c r="G2317" s="1"/>
      <c r="N2317" s="1"/>
    </row>
    <row r="2318" spans="7:14" x14ac:dyDescent="0.35">
      <c r="G2318" s="1"/>
      <c r="N2318" s="1"/>
    </row>
    <row r="2319" spans="7:14" x14ac:dyDescent="0.35">
      <c r="G2319" s="1"/>
      <c r="N2319" s="1"/>
    </row>
    <row r="2320" spans="7:14" x14ac:dyDescent="0.35">
      <c r="G2320" s="1"/>
      <c r="N2320" s="1"/>
    </row>
    <row r="2321" spans="7:14" x14ac:dyDescent="0.35">
      <c r="G2321" s="1"/>
      <c r="N2321" s="1"/>
    </row>
    <row r="2322" spans="7:14" x14ac:dyDescent="0.35">
      <c r="G2322" s="1"/>
      <c r="N2322" s="1"/>
    </row>
    <row r="2323" spans="7:14" x14ac:dyDescent="0.35">
      <c r="G2323" s="1"/>
      <c r="N2323" s="1"/>
    </row>
    <row r="2324" spans="7:14" x14ac:dyDescent="0.35">
      <c r="G2324" s="1"/>
      <c r="N2324" s="1"/>
    </row>
    <row r="2325" spans="7:14" x14ac:dyDescent="0.35">
      <c r="G2325" s="1"/>
      <c r="N2325" s="1"/>
    </row>
    <row r="2326" spans="7:14" x14ac:dyDescent="0.35">
      <c r="G2326" s="1"/>
      <c r="N2326" s="1"/>
    </row>
    <row r="2327" spans="7:14" x14ac:dyDescent="0.35">
      <c r="G2327" s="1"/>
      <c r="N2327" s="1"/>
    </row>
    <row r="2328" spans="7:14" x14ac:dyDescent="0.35">
      <c r="G2328" s="1"/>
      <c r="N2328" s="1"/>
    </row>
    <row r="2329" spans="7:14" x14ac:dyDescent="0.35">
      <c r="G2329" s="1"/>
      <c r="N2329" s="1"/>
    </row>
    <row r="2330" spans="7:14" x14ac:dyDescent="0.35">
      <c r="G2330" s="1"/>
      <c r="N2330" s="1"/>
    </row>
    <row r="2331" spans="7:14" x14ac:dyDescent="0.35">
      <c r="G2331" s="1"/>
      <c r="N2331" s="1"/>
    </row>
    <row r="2332" spans="7:14" x14ac:dyDescent="0.35">
      <c r="G2332" s="1"/>
      <c r="N2332" s="1"/>
    </row>
    <row r="2333" spans="7:14" x14ac:dyDescent="0.35">
      <c r="G2333" s="1"/>
      <c r="N2333" s="1"/>
    </row>
    <row r="2334" spans="7:14" x14ac:dyDescent="0.35">
      <c r="G2334" s="1"/>
      <c r="N2334" s="1"/>
    </row>
    <row r="2335" spans="7:14" x14ac:dyDescent="0.35">
      <c r="G2335" s="1"/>
      <c r="N2335" s="1"/>
    </row>
    <row r="2336" spans="7:14" x14ac:dyDescent="0.35">
      <c r="G2336" s="1"/>
      <c r="N2336" s="1"/>
    </row>
    <row r="2337" spans="7:14" x14ac:dyDescent="0.35">
      <c r="G2337" s="1"/>
      <c r="N2337" s="1"/>
    </row>
    <row r="2338" spans="7:14" x14ac:dyDescent="0.35">
      <c r="G2338" s="1"/>
      <c r="N2338" s="1"/>
    </row>
    <row r="2339" spans="7:14" x14ac:dyDescent="0.35">
      <c r="G2339" s="1"/>
      <c r="N2339" s="1"/>
    </row>
    <row r="2340" spans="7:14" x14ac:dyDescent="0.35">
      <c r="G2340" s="1"/>
      <c r="N2340" s="1"/>
    </row>
    <row r="2341" spans="7:14" x14ac:dyDescent="0.35">
      <c r="G2341" s="1"/>
      <c r="N2341" s="1"/>
    </row>
    <row r="2342" spans="7:14" x14ac:dyDescent="0.35">
      <c r="G2342" s="1"/>
      <c r="N2342" s="1"/>
    </row>
    <row r="2343" spans="7:14" x14ac:dyDescent="0.35">
      <c r="G2343" s="1"/>
      <c r="N2343" s="1"/>
    </row>
    <row r="2344" spans="7:14" x14ac:dyDescent="0.35">
      <c r="G2344" s="1"/>
      <c r="N2344" s="1"/>
    </row>
    <row r="2345" spans="7:14" x14ac:dyDescent="0.35">
      <c r="G2345" s="1"/>
      <c r="N2345" s="1"/>
    </row>
    <row r="2346" spans="7:14" x14ac:dyDescent="0.35">
      <c r="G2346" s="1"/>
      <c r="N2346" s="1"/>
    </row>
    <row r="2347" spans="7:14" x14ac:dyDescent="0.35">
      <c r="G2347" s="1"/>
      <c r="N2347" s="1"/>
    </row>
    <row r="2348" spans="7:14" x14ac:dyDescent="0.35">
      <c r="G2348" s="1"/>
      <c r="N2348" s="1"/>
    </row>
    <row r="2349" spans="7:14" x14ac:dyDescent="0.35">
      <c r="G2349" s="1"/>
      <c r="N2349" s="1"/>
    </row>
    <row r="2350" spans="7:14" x14ac:dyDescent="0.35">
      <c r="G2350" s="1"/>
      <c r="N2350" s="1"/>
    </row>
    <row r="2351" spans="7:14" x14ac:dyDescent="0.35">
      <c r="G2351" s="1"/>
      <c r="N2351" s="1"/>
    </row>
    <row r="2352" spans="7:14" x14ac:dyDescent="0.35">
      <c r="G2352" s="1"/>
      <c r="N2352" s="1"/>
    </row>
    <row r="2353" spans="7:14" x14ac:dyDescent="0.35">
      <c r="G2353" s="1"/>
      <c r="N2353" s="1"/>
    </row>
    <row r="2354" spans="7:14" x14ac:dyDescent="0.35">
      <c r="G2354" s="1"/>
      <c r="N2354" s="1"/>
    </row>
    <row r="2355" spans="7:14" x14ac:dyDescent="0.35">
      <c r="G2355" s="1"/>
      <c r="N2355" s="1"/>
    </row>
    <row r="2356" spans="7:14" x14ac:dyDescent="0.35">
      <c r="G2356" s="1"/>
      <c r="N2356" s="1"/>
    </row>
    <row r="2357" spans="7:14" x14ac:dyDescent="0.35">
      <c r="G2357" s="1"/>
      <c r="N2357" s="1"/>
    </row>
    <row r="2358" spans="7:14" x14ac:dyDescent="0.35">
      <c r="G2358" s="1"/>
      <c r="N2358" s="1"/>
    </row>
    <row r="2359" spans="7:14" x14ac:dyDescent="0.35">
      <c r="G2359" s="1"/>
      <c r="N2359" s="1"/>
    </row>
    <row r="2360" spans="7:14" x14ac:dyDescent="0.35">
      <c r="G2360" s="1"/>
      <c r="N2360" s="1"/>
    </row>
    <row r="2361" spans="7:14" x14ac:dyDescent="0.35">
      <c r="G2361" s="1"/>
      <c r="N2361" s="1"/>
    </row>
    <row r="2362" spans="7:14" x14ac:dyDescent="0.35">
      <c r="G2362" s="1"/>
      <c r="N2362" s="1"/>
    </row>
    <row r="2363" spans="7:14" x14ac:dyDescent="0.35">
      <c r="G2363" s="1"/>
      <c r="N2363" s="1"/>
    </row>
    <row r="2364" spans="7:14" x14ac:dyDescent="0.35">
      <c r="G2364" s="1"/>
      <c r="N2364" s="1"/>
    </row>
    <row r="2365" spans="7:14" x14ac:dyDescent="0.35">
      <c r="G2365" s="1"/>
      <c r="N2365" s="1"/>
    </row>
    <row r="2366" spans="7:14" x14ac:dyDescent="0.35">
      <c r="G2366" s="1"/>
      <c r="N2366" s="1"/>
    </row>
    <row r="2367" spans="7:14" x14ac:dyDescent="0.35">
      <c r="G2367" s="1"/>
      <c r="N2367" s="1"/>
    </row>
    <row r="2368" spans="7:14" x14ac:dyDescent="0.35">
      <c r="G2368" s="1"/>
      <c r="N2368" s="1"/>
    </row>
    <row r="2369" spans="7:14" x14ac:dyDescent="0.35">
      <c r="G2369" s="1"/>
      <c r="N2369" s="1"/>
    </row>
    <row r="2370" spans="7:14" x14ac:dyDescent="0.35">
      <c r="G2370" s="1"/>
      <c r="N2370" s="1"/>
    </row>
    <row r="2371" spans="7:14" x14ac:dyDescent="0.35">
      <c r="G2371" s="1"/>
      <c r="N2371" s="1"/>
    </row>
    <row r="2372" spans="7:14" x14ac:dyDescent="0.35">
      <c r="G2372" s="1"/>
      <c r="N2372" s="1"/>
    </row>
    <row r="2373" spans="7:14" x14ac:dyDescent="0.35">
      <c r="G2373" s="1"/>
      <c r="N2373" s="1"/>
    </row>
    <row r="2374" spans="7:14" x14ac:dyDescent="0.35">
      <c r="G2374" s="1"/>
      <c r="N2374" s="1"/>
    </row>
    <row r="2375" spans="7:14" x14ac:dyDescent="0.35">
      <c r="G2375" s="1"/>
      <c r="N2375" s="1"/>
    </row>
    <row r="2376" spans="7:14" x14ac:dyDescent="0.35">
      <c r="G2376" s="1"/>
      <c r="N2376" s="1"/>
    </row>
    <row r="2377" spans="7:14" x14ac:dyDescent="0.35">
      <c r="G2377" s="1"/>
      <c r="N2377" s="1"/>
    </row>
    <row r="2378" spans="7:14" x14ac:dyDescent="0.35">
      <c r="G2378" s="1"/>
      <c r="N2378" s="1"/>
    </row>
    <row r="2379" spans="7:14" x14ac:dyDescent="0.35">
      <c r="G2379" s="1"/>
      <c r="N2379" s="1"/>
    </row>
    <row r="2380" spans="7:14" x14ac:dyDescent="0.35">
      <c r="G2380" s="1"/>
      <c r="N2380" s="1"/>
    </row>
    <row r="2381" spans="7:14" x14ac:dyDescent="0.35">
      <c r="G2381" s="1"/>
      <c r="N2381" s="1"/>
    </row>
    <row r="2382" spans="7:14" x14ac:dyDescent="0.35">
      <c r="G2382" s="1"/>
      <c r="N2382" s="1"/>
    </row>
    <row r="2383" spans="7:14" x14ac:dyDescent="0.35">
      <c r="G2383" s="1"/>
      <c r="N2383" s="1"/>
    </row>
    <row r="2384" spans="7:14" x14ac:dyDescent="0.35">
      <c r="G2384" s="1"/>
      <c r="N2384" s="1"/>
    </row>
    <row r="2385" spans="7:14" x14ac:dyDescent="0.35">
      <c r="G2385" s="1"/>
      <c r="N2385" s="1"/>
    </row>
    <row r="2386" spans="7:14" x14ac:dyDescent="0.35">
      <c r="G2386" s="1"/>
      <c r="N2386" s="1"/>
    </row>
    <row r="2387" spans="7:14" x14ac:dyDescent="0.35">
      <c r="G2387" s="1"/>
      <c r="N2387" s="1"/>
    </row>
    <row r="2388" spans="7:14" x14ac:dyDescent="0.35">
      <c r="G2388" s="1"/>
      <c r="N2388" s="1"/>
    </row>
    <row r="2389" spans="7:14" x14ac:dyDescent="0.35">
      <c r="G2389" s="1"/>
      <c r="N2389" s="1"/>
    </row>
    <row r="2390" spans="7:14" x14ac:dyDescent="0.35">
      <c r="G2390" s="1"/>
      <c r="N2390" s="1"/>
    </row>
    <row r="2391" spans="7:14" x14ac:dyDescent="0.35">
      <c r="G2391" s="1"/>
      <c r="N2391" s="1"/>
    </row>
    <row r="2392" spans="7:14" x14ac:dyDescent="0.35">
      <c r="G2392" s="1"/>
      <c r="N2392" s="1"/>
    </row>
    <row r="2393" spans="7:14" x14ac:dyDescent="0.35">
      <c r="G2393" s="1"/>
      <c r="N2393" s="1"/>
    </row>
    <row r="2394" spans="7:14" x14ac:dyDescent="0.35">
      <c r="G2394" s="1"/>
      <c r="N2394" s="1"/>
    </row>
    <row r="2395" spans="7:14" x14ac:dyDescent="0.35">
      <c r="G2395" s="1"/>
      <c r="N2395" s="1"/>
    </row>
    <row r="2396" spans="7:14" x14ac:dyDescent="0.35">
      <c r="G2396" s="1"/>
      <c r="N2396" s="1"/>
    </row>
    <row r="2397" spans="7:14" x14ac:dyDescent="0.35">
      <c r="G2397" s="1"/>
      <c r="N2397" s="1"/>
    </row>
    <row r="2398" spans="7:14" x14ac:dyDescent="0.35">
      <c r="G2398" s="1"/>
      <c r="N2398" s="1"/>
    </row>
    <row r="2399" spans="7:14" x14ac:dyDescent="0.35">
      <c r="G2399" s="1"/>
      <c r="N2399" s="1"/>
    </row>
    <row r="2400" spans="7:14" x14ac:dyDescent="0.35">
      <c r="G2400" s="1"/>
      <c r="N2400" s="1"/>
    </row>
    <row r="2401" spans="7:14" x14ac:dyDescent="0.35">
      <c r="G2401" s="1"/>
      <c r="N2401" s="1"/>
    </row>
    <row r="2402" spans="7:14" x14ac:dyDescent="0.35">
      <c r="G2402" s="1"/>
      <c r="N2402" s="1"/>
    </row>
    <row r="2403" spans="7:14" x14ac:dyDescent="0.35">
      <c r="G2403" s="1"/>
      <c r="N2403" s="1"/>
    </row>
    <row r="2404" spans="7:14" x14ac:dyDescent="0.35">
      <c r="G2404" s="1"/>
      <c r="N2404" s="1"/>
    </row>
    <row r="2405" spans="7:14" x14ac:dyDescent="0.35">
      <c r="G2405" s="1"/>
      <c r="N2405" s="1"/>
    </row>
    <row r="2406" spans="7:14" x14ac:dyDescent="0.35">
      <c r="G2406" s="1"/>
      <c r="N2406" s="1"/>
    </row>
    <row r="2407" spans="7:14" x14ac:dyDescent="0.35">
      <c r="G2407" s="1"/>
      <c r="N2407" s="1"/>
    </row>
    <row r="2408" spans="7:14" x14ac:dyDescent="0.35">
      <c r="G2408" s="1"/>
      <c r="N2408" s="1"/>
    </row>
    <row r="2409" spans="7:14" x14ac:dyDescent="0.35">
      <c r="G2409" s="1"/>
      <c r="N2409" s="1"/>
    </row>
    <row r="2410" spans="7:14" x14ac:dyDescent="0.35">
      <c r="G2410" s="1"/>
      <c r="N2410" s="1"/>
    </row>
    <row r="2411" spans="7:14" x14ac:dyDescent="0.35">
      <c r="G2411" s="1"/>
      <c r="N2411" s="1"/>
    </row>
    <row r="2412" spans="7:14" x14ac:dyDescent="0.35">
      <c r="G2412" s="1"/>
      <c r="N2412" s="1"/>
    </row>
    <row r="2413" spans="7:14" x14ac:dyDescent="0.35">
      <c r="G2413" s="1"/>
      <c r="N2413" s="1"/>
    </row>
    <row r="2414" spans="7:14" x14ac:dyDescent="0.35">
      <c r="G2414" s="1"/>
      <c r="N2414" s="1"/>
    </row>
    <row r="2415" spans="7:14" x14ac:dyDescent="0.35">
      <c r="G2415" s="1"/>
      <c r="N2415" s="1"/>
    </row>
    <row r="2416" spans="7:14" x14ac:dyDescent="0.35">
      <c r="G2416" s="1"/>
      <c r="N2416" s="1"/>
    </row>
    <row r="2417" spans="7:14" x14ac:dyDescent="0.35">
      <c r="G2417" s="1"/>
      <c r="N2417" s="1"/>
    </row>
    <row r="2418" spans="7:14" x14ac:dyDescent="0.35">
      <c r="G2418" s="1"/>
      <c r="N2418" s="1"/>
    </row>
    <row r="2419" spans="7:14" x14ac:dyDescent="0.35">
      <c r="G2419" s="1"/>
      <c r="N2419" s="1"/>
    </row>
    <row r="2420" spans="7:14" x14ac:dyDescent="0.35">
      <c r="G2420" s="1"/>
      <c r="N2420" s="1"/>
    </row>
    <row r="2421" spans="7:14" x14ac:dyDescent="0.35">
      <c r="G2421" s="1"/>
      <c r="N2421" s="1"/>
    </row>
    <row r="2422" spans="7:14" x14ac:dyDescent="0.35">
      <c r="G2422" s="1"/>
      <c r="N2422" s="1"/>
    </row>
    <row r="2423" spans="7:14" x14ac:dyDescent="0.35">
      <c r="G2423" s="1"/>
      <c r="N2423" s="1"/>
    </row>
    <row r="2424" spans="7:14" x14ac:dyDescent="0.35">
      <c r="G2424" s="1"/>
      <c r="N2424" s="1"/>
    </row>
    <row r="2425" spans="7:14" x14ac:dyDescent="0.35">
      <c r="G2425" s="1"/>
      <c r="N2425" s="1"/>
    </row>
    <row r="2426" spans="7:14" x14ac:dyDescent="0.35">
      <c r="G2426" s="1"/>
      <c r="N2426" s="1"/>
    </row>
    <row r="2427" spans="7:14" x14ac:dyDescent="0.35">
      <c r="G2427" s="1"/>
      <c r="N2427" s="1"/>
    </row>
    <row r="2428" spans="7:14" x14ac:dyDescent="0.35">
      <c r="G2428" s="1"/>
      <c r="N2428" s="1"/>
    </row>
    <row r="2429" spans="7:14" x14ac:dyDescent="0.35">
      <c r="G2429" s="1"/>
      <c r="N2429" s="1"/>
    </row>
    <row r="2430" spans="7:14" x14ac:dyDescent="0.35">
      <c r="G2430" s="1"/>
      <c r="N2430" s="1"/>
    </row>
    <row r="2431" spans="7:14" x14ac:dyDescent="0.35">
      <c r="G2431" s="1"/>
      <c r="N2431" s="1"/>
    </row>
    <row r="2432" spans="7:14" x14ac:dyDescent="0.35">
      <c r="G2432" s="1"/>
      <c r="N2432" s="1"/>
    </row>
    <row r="2433" spans="7:14" x14ac:dyDescent="0.35">
      <c r="G2433" s="1"/>
      <c r="N2433" s="1"/>
    </row>
    <row r="2434" spans="7:14" x14ac:dyDescent="0.35">
      <c r="G2434" s="1"/>
      <c r="N2434" s="1"/>
    </row>
    <row r="2435" spans="7:14" x14ac:dyDescent="0.35">
      <c r="G2435" s="1"/>
      <c r="N2435" s="1"/>
    </row>
    <row r="2436" spans="7:14" x14ac:dyDescent="0.35">
      <c r="G2436" s="1"/>
      <c r="N2436" s="1"/>
    </row>
    <row r="2437" spans="7:14" x14ac:dyDescent="0.35">
      <c r="G2437" s="1"/>
      <c r="N2437" s="1"/>
    </row>
    <row r="2438" spans="7:14" x14ac:dyDescent="0.35">
      <c r="G2438" s="1"/>
      <c r="N2438" s="1"/>
    </row>
    <row r="2439" spans="7:14" x14ac:dyDescent="0.35">
      <c r="G2439" s="1"/>
      <c r="N2439" s="1"/>
    </row>
    <row r="2440" spans="7:14" x14ac:dyDescent="0.35">
      <c r="G2440" s="1"/>
      <c r="N2440" s="1"/>
    </row>
    <row r="2441" spans="7:14" x14ac:dyDescent="0.35">
      <c r="G2441" s="1"/>
      <c r="N2441" s="1"/>
    </row>
    <row r="2442" spans="7:14" x14ac:dyDescent="0.35">
      <c r="G2442" s="1"/>
      <c r="N2442" s="1"/>
    </row>
    <row r="2443" spans="7:14" x14ac:dyDescent="0.35">
      <c r="G2443" s="1"/>
      <c r="N2443" s="1"/>
    </row>
    <row r="2444" spans="7:14" x14ac:dyDescent="0.35">
      <c r="G2444" s="1"/>
      <c r="N2444" s="1"/>
    </row>
    <row r="2445" spans="7:14" x14ac:dyDescent="0.35">
      <c r="G2445" s="1"/>
      <c r="N2445" s="1"/>
    </row>
    <row r="2446" spans="7:14" x14ac:dyDescent="0.35">
      <c r="G2446" s="1"/>
      <c r="N2446" s="1"/>
    </row>
    <row r="2447" spans="7:14" x14ac:dyDescent="0.35">
      <c r="G2447" s="1"/>
      <c r="N2447" s="1"/>
    </row>
    <row r="2448" spans="7:14" x14ac:dyDescent="0.35">
      <c r="G2448" s="1"/>
      <c r="N2448" s="1"/>
    </row>
    <row r="2449" spans="7:14" x14ac:dyDescent="0.35">
      <c r="G2449" s="1"/>
      <c r="N2449" s="1"/>
    </row>
    <row r="2450" spans="7:14" x14ac:dyDescent="0.35">
      <c r="G2450" s="1"/>
      <c r="N2450" s="1"/>
    </row>
    <row r="2451" spans="7:14" x14ac:dyDescent="0.35">
      <c r="G2451" s="1"/>
      <c r="N2451" s="1"/>
    </row>
    <row r="2452" spans="7:14" x14ac:dyDescent="0.35">
      <c r="G2452" s="1"/>
      <c r="N2452" s="1"/>
    </row>
    <row r="2453" spans="7:14" x14ac:dyDescent="0.35">
      <c r="G2453" s="1"/>
      <c r="N2453" s="1"/>
    </row>
    <row r="2454" spans="7:14" x14ac:dyDescent="0.35">
      <c r="G2454" s="1"/>
      <c r="N2454" s="1"/>
    </row>
    <row r="2455" spans="7:14" x14ac:dyDescent="0.35">
      <c r="G2455" s="1"/>
      <c r="N2455" s="1"/>
    </row>
    <row r="2456" spans="7:14" x14ac:dyDescent="0.35">
      <c r="G2456" s="1"/>
      <c r="N2456" s="1"/>
    </row>
    <row r="2457" spans="7:14" x14ac:dyDescent="0.35">
      <c r="G2457" s="1"/>
      <c r="N2457" s="1"/>
    </row>
    <row r="2458" spans="7:14" x14ac:dyDescent="0.35">
      <c r="G2458" s="1"/>
      <c r="N2458" s="1"/>
    </row>
    <row r="2459" spans="7:14" x14ac:dyDescent="0.35">
      <c r="G2459" s="1"/>
      <c r="N2459" s="1"/>
    </row>
    <row r="2460" spans="7:14" x14ac:dyDescent="0.35">
      <c r="G2460" s="1"/>
      <c r="N2460" s="1"/>
    </row>
    <row r="2461" spans="7:14" x14ac:dyDescent="0.35">
      <c r="G2461" s="1"/>
      <c r="N2461" s="1"/>
    </row>
    <row r="2462" spans="7:14" x14ac:dyDescent="0.35">
      <c r="G2462" s="1"/>
      <c r="N2462" s="1"/>
    </row>
    <row r="2463" spans="7:14" x14ac:dyDescent="0.35">
      <c r="G2463" s="1"/>
      <c r="N2463" s="1"/>
    </row>
    <row r="2464" spans="7:14" x14ac:dyDescent="0.35">
      <c r="G2464" s="1"/>
      <c r="N2464" s="1"/>
    </row>
    <row r="2465" spans="7:14" x14ac:dyDescent="0.35">
      <c r="G2465" s="1"/>
      <c r="N2465" s="1"/>
    </row>
    <row r="2466" spans="7:14" x14ac:dyDescent="0.35">
      <c r="G2466" s="1"/>
      <c r="N2466" s="1"/>
    </row>
    <row r="2467" spans="7:14" x14ac:dyDescent="0.35">
      <c r="G2467" s="1"/>
      <c r="N2467" s="1"/>
    </row>
    <row r="2468" spans="7:14" x14ac:dyDescent="0.35">
      <c r="G2468" s="1"/>
      <c r="N2468" s="1"/>
    </row>
    <row r="2469" spans="7:14" x14ac:dyDescent="0.35">
      <c r="G2469" s="1"/>
      <c r="N2469" s="1"/>
    </row>
    <row r="2470" spans="7:14" x14ac:dyDescent="0.35">
      <c r="G2470" s="1"/>
      <c r="N2470" s="1"/>
    </row>
    <row r="2471" spans="7:14" x14ac:dyDescent="0.35">
      <c r="G2471" s="1"/>
      <c r="N2471" s="1"/>
    </row>
    <row r="2472" spans="7:14" x14ac:dyDescent="0.35">
      <c r="G2472" s="1"/>
      <c r="N2472" s="1"/>
    </row>
    <row r="2473" spans="7:14" x14ac:dyDescent="0.35">
      <c r="G2473" s="1"/>
      <c r="N2473" s="1"/>
    </row>
    <row r="2474" spans="7:14" x14ac:dyDescent="0.35">
      <c r="G2474" s="1"/>
      <c r="N2474" s="1"/>
    </row>
    <row r="2475" spans="7:14" x14ac:dyDescent="0.35">
      <c r="G2475" s="1"/>
      <c r="N2475" s="1"/>
    </row>
    <row r="2476" spans="7:14" x14ac:dyDescent="0.35">
      <c r="G2476" s="1"/>
      <c r="N2476" s="1"/>
    </row>
    <row r="2477" spans="7:14" x14ac:dyDescent="0.35">
      <c r="G2477" s="1"/>
      <c r="N2477" s="1"/>
    </row>
    <row r="2478" spans="7:14" x14ac:dyDescent="0.35">
      <c r="G2478" s="1"/>
      <c r="N2478" s="1"/>
    </row>
    <row r="2479" spans="7:14" x14ac:dyDescent="0.35">
      <c r="G2479" s="1"/>
      <c r="N2479" s="1"/>
    </row>
    <row r="2480" spans="7:14" x14ac:dyDescent="0.35">
      <c r="G2480" s="1"/>
      <c r="N2480" s="1"/>
    </row>
    <row r="2481" spans="7:14" x14ac:dyDescent="0.35">
      <c r="G2481" s="1"/>
      <c r="N2481" s="1"/>
    </row>
    <row r="2482" spans="7:14" x14ac:dyDescent="0.35">
      <c r="G2482" s="1"/>
      <c r="N2482" s="1"/>
    </row>
    <row r="2483" spans="7:14" x14ac:dyDescent="0.35">
      <c r="G2483" s="1"/>
      <c r="N2483" s="1"/>
    </row>
    <row r="2484" spans="7:14" x14ac:dyDescent="0.35">
      <c r="G2484" s="1"/>
      <c r="N2484" s="1"/>
    </row>
    <row r="2485" spans="7:14" x14ac:dyDescent="0.35">
      <c r="G2485" s="1"/>
      <c r="N2485" s="1"/>
    </row>
    <row r="2486" spans="7:14" x14ac:dyDescent="0.35">
      <c r="G2486" s="1"/>
      <c r="N2486" s="1"/>
    </row>
    <row r="2487" spans="7:14" x14ac:dyDescent="0.35">
      <c r="G2487" s="1"/>
      <c r="N2487" s="1"/>
    </row>
    <row r="2488" spans="7:14" x14ac:dyDescent="0.35">
      <c r="G2488" s="1"/>
      <c r="N2488" s="1"/>
    </row>
    <row r="2489" spans="7:14" x14ac:dyDescent="0.35">
      <c r="G2489" s="1"/>
      <c r="N2489" s="1"/>
    </row>
    <row r="2490" spans="7:14" x14ac:dyDescent="0.35">
      <c r="G2490" s="1"/>
      <c r="N2490" s="1"/>
    </row>
    <row r="2491" spans="7:14" x14ac:dyDescent="0.35">
      <c r="G2491" s="1"/>
      <c r="N2491" s="1"/>
    </row>
    <row r="2492" spans="7:14" x14ac:dyDescent="0.35">
      <c r="G2492" s="1"/>
      <c r="N2492" s="1"/>
    </row>
    <row r="2493" spans="7:14" x14ac:dyDescent="0.35">
      <c r="G2493" s="1"/>
      <c r="N2493" s="1"/>
    </row>
    <row r="2494" spans="7:14" x14ac:dyDescent="0.35">
      <c r="G2494" s="1"/>
      <c r="N2494" s="1"/>
    </row>
    <row r="2495" spans="7:14" x14ac:dyDescent="0.35">
      <c r="G2495" s="1"/>
      <c r="N2495" s="1"/>
    </row>
    <row r="2496" spans="7:14" x14ac:dyDescent="0.35">
      <c r="G2496" s="1"/>
      <c r="N2496" s="1"/>
    </row>
    <row r="2497" spans="7:14" x14ac:dyDescent="0.35">
      <c r="G2497" s="1"/>
      <c r="N2497" s="1"/>
    </row>
    <row r="2498" spans="7:14" x14ac:dyDescent="0.35">
      <c r="G2498" s="1"/>
      <c r="N2498" s="1"/>
    </row>
    <row r="2499" spans="7:14" x14ac:dyDescent="0.35">
      <c r="G2499" s="1"/>
      <c r="N2499" s="1"/>
    </row>
    <row r="2500" spans="7:14" x14ac:dyDescent="0.35">
      <c r="G2500" s="1"/>
      <c r="N2500" s="1"/>
    </row>
    <row r="2501" spans="7:14" x14ac:dyDescent="0.35">
      <c r="G2501" s="1"/>
      <c r="N2501" s="1"/>
    </row>
    <row r="2502" spans="7:14" x14ac:dyDescent="0.35">
      <c r="G2502" s="1"/>
      <c r="N2502" s="1"/>
    </row>
    <row r="2503" spans="7:14" x14ac:dyDescent="0.35">
      <c r="G2503" s="1"/>
      <c r="N2503" s="1"/>
    </row>
    <row r="2504" spans="7:14" x14ac:dyDescent="0.35">
      <c r="G2504" s="1"/>
      <c r="N2504" s="1"/>
    </row>
    <row r="2505" spans="7:14" x14ac:dyDescent="0.35">
      <c r="G2505" s="1"/>
      <c r="N2505" s="1"/>
    </row>
    <row r="2506" spans="7:14" x14ac:dyDescent="0.35">
      <c r="G2506" s="1"/>
      <c r="N2506" s="1"/>
    </row>
    <row r="2507" spans="7:14" x14ac:dyDescent="0.35">
      <c r="G2507" s="1"/>
      <c r="N2507" s="1"/>
    </row>
    <row r="2508" spans="7:14" x14ac:dyDescent="0.35">
      <c r="G2508" s="1"/>
      <c r="N2508" s="1"/>
    </row>
    <row r="2509" spans="7:14" x14ac:dyDescent="0.35">
      <c r="G2509" s="1"/>
      <c r="N2509" s="1"/>
    </row>
    <row r="2510" spans="7:14" x14ac:dyDescent="0.35">
      <c r="G2510" s="1"/>
      <c r="N2510" s="1"/>
    </row>
    <row r="2511" spans="7:14" x14ac:dyDescent="0.35">
      <c r="G2511" s="1"/>
      <c r="N2511" s="1"/>
    </row>
    <row r="2512" spans="7:14" x14ac:dyDescent="0.35">
      <c r="G2512" s="1"/>
      <c r="N2512" s="1"/>
    </row>
    <row r="2513" spans="7:14" x14ac:dyDescent="0.35">
      <c r="G2513" s="1"/>
      <c r="N2513" s="1"/>
    </row>
    <row r="2514" spans="7:14" x14ac:dyDescent="0.35">
      <c r="G2514" s="1"/>
      <c r="N2514" s="1"/>
    </row>
    <row r="2515" spans="7:14" x14ac:dyDescent="0.35">
      <c r="G2515" s="1"/>
      <c r="N2515" s="1"/>
    </row>
    <row r="2516" spans="7:14" x14ac:dyDescent="0.35">
      <c r="G2516" s="1"/>
      <c r="N2516" s="1"/>
    </row>
    <row r="2517" spans="7:14" x14ac:dyDescent="0.35">
      <c r="G2517" s="1"/>
      <c r="N2517" s="1"/>
    </row>
    <row r="2518" spans="7:14" x14ac:dyDescent="0.35">
      <c r="G2518" s="1"/>
      <c r="N2518" s="1"/>
    </row>
    <row r="2519" spans="7:14" x14ac:dyDescent="0.35">
      <c r="G2519" s="1"/>
      <c r="N2519" s="1"/>
    </row>
    <row r="2520" spans="7:14" x14ac:dyDescent="0.35">
      <c r="G2520" s="1"/>
      <c r="N2520" s="1"/>
    </row>
    <row r="2521" spans="7:14" x14ac:dyDescent="0.35">
      <c r="G2521" s="1"/>
      <c r="N2521" s="1"/>
    </row>
    <row r="2522" spans="7:14" x14ac:dyDescent="0.35">
      <c r="G2522" s="1"/>
      <c r="N2522" s="1"/>
    </row>
    <row r="2523" spans="7:14" x14ac:dyDescent="0.35">
      <c r="G2523" s="1"/>
      <c r="N2523" s="1"/>
    </row>
    <row r="2524" spans="7:14" x14ac:dyDescent="0.35">
      <c r="G2524" s="1"/>
      <c r="N2524" s="1"/>
    </row>
    <row r="2525" spans="7:14" x14ac:dyDescent="0.35">
      <c r="G2525" s="1"/>
      <c r="N2525" s="1"/>
    </row>
    <row r="2526" spans="7:14" x14ac:dyDescent="0.35">
      <c r="G2526" s="1"/>
      <c r="N2526" s="1"/>
    </row>
    <row r="2527" spans="7:14" x14ac:dyDescent="0.35">
      <c r="G2527" s="1"/>
      <c r="N2527" s="1"/>
    </row>
    <row r="2528" spans="7:14" x14ac:dyDescent="0.35">
      <c r="G2528" s="1"/>
      <c r="N2528" s="1"/>
    </row>
    <row r="2529" spans="7:14" x14ac:dyDescent="0.35">
      <c r="G2529" s="1"/>
      <c r="N2529" s="1"/>
    </row>
    <row r="2530" spans="7:14" x14ac:dyDescent="0.35">
      <c r="G2530" s="1"/>
      <c r="N2530" s="1"/>
    </row>
    <row r="2531" spans="7:14" x14ac:dyDescent="0.35">
      <c r="G2531" s="1"/>
      <c r="N2531" s="1"/>
    </row>
    <row r="2532" spans="7:14" x14ac:dyDescent="0.35">
      <c r="G2532" s="1"/>
      <c r="N2532" s="1"/>
    </row>
    <row r="2533" spans="7:14" x14ac:dyDescent="0.35">
      <c r="G2533" s="1"/>
      <c r="N2533" s="1"/>
    </row>
    <row r="2534" spans="7:14" x14ac:dyDescent="0.35">
      <c r="G2534" s="1"/>
      <c r="N2534" s="1"/>
    </row>
    <row r="2535" spans="7:14" x14ac:dyDescent="0.35">
      <c r="G2535" s="1"/>
      <c r="N2535" s="1"/>
    </row>
    <row r="2536" spans="7:14" x14ac:dyDescent="0.35">
      <c r="G2536" s="1"/>
      <c r="N2536" s="1"/>
    </row>
    <row r="2537" spans="7:14" x14ac:dyDescent="0.35">
      <c r="G2537" s="1"/>
      <c r="N2537" s="1"/>
    </row>
    <row r="2538" spans="7:14" x14ac:dyDescent="0.35">
      <c r="G2538" s="1"/>
      <c r="N2538" s="1"/>
    </row>
    <row r="2539" spans="7:14" x14ac:dyDescent="0.35">
      <c r="G2539" s="1"/>
      <c r="N2539" s="1"/>
    </row>
    <row r="2540" spans="7:14" x14ac:dyDescent="0.35">
      <c r="G2540" s="1"/>
      <c r="N2540" s="1"/>
    </row>
    <row r="2541" spans="7:14" x14ac:dyDescent="0.35">
      <c r="G2541" s="1"/>
      <c r="N2541" s="1"/>
    </row>
    <row r="2542" spans="7:14" x14ac:dyDescent="0.35">
      <c r="G2542" s="1"/>
      <c r="N2542" s="1"/>
    </row>
    <row r="2543" spans="7:14" x14ac:dyDescent="0.35">
      <c r="G2543" s="1"/>
      <c r="N2543" s="1"/>
    </row>
    <row r="2544" spans="7:14" x14ac:dyDescent="0.35">
      <c r="G2544" s="1"/>
      <c r="N2544" s="1"/>
    </row>
    <row r="2545" spans="7:14" x14ac:dyDescent="0.35">
      <c r="G2545" s="1"/>
      <c r="N2545" s="1"/>
    </row>
    <row r="2546" spans="7:14" x14ac:dyDescent="0.35">
      <c r="G2546" s="1"/>
      <c r="N2546" s="1"/>
    </row>
    <row r="2547" spans="7:14" x14ac:dyDescent="0.35">
      <c r="G2547" s="1"/>
      <c r="N2547" s="1"/>
    </row>
    <row r="2548" spans="7:14" x14ac:dyDescent="0.35">
      <c r="G2548" s="1"/>
      <c r="N2548" s="1"/>
    </row>
    <row r="2549" spans="7:14" x14ac:dyDescent="0.35">
      <c r="G2549" s="1"/>
      <c r="N2549" s="1"/>
    </row>
    <row r="2550" spans="7:14" x14ac:dyDescent="0.35">
      <c r="G2550" s="1"/>
      <c r="N2550" s="1"/>
    </row>
    <row r="2551" spans="7:14" x14ac:dyDescent="0.35">
      <c r="G2551" s="1"/>
      <c r="N2551" s="1"/>
    </row>
    <row r="2552" spans="7:14" x14ac:dyDescent="0.35">
      <c r="G2552" s="1"/>
      <c r="N2552" s="1"/>
    </row>
    <row r="2553" spans="7:14" x14ac:dyDescent="0.35">
      <c r="G2553" s="1"/>
      <c r="N2553" s="1"/>
    </row>
    <row r="2554" spans="7:14" x14ac:dyDescent="0.35">
      <c r="G2554" s="1"/>
      <c r="N2554" s="1"/>
    </row>
    <row r="2555" spans="7:14" x14ac:dyDescent="0.35">
      <c r="G2555" s="1"/>
      <c r="N2555" s="1"/>
    </row>
    <row r="2556" spans="7:14" x14ac:dyDescent="0.35">
      <c r="G2556" s="1"/>
      <c r="N2556" s="1"/>
    </row>
    <row r="2557" spans="7:14" x14ac:dyDescent="0.35">
      <c r="G2557" s="1"/>
      <c r="N2557" s="1"/>
    </row>
    <row r="2558" spans="7:14" x14ac:dyDescent="0.35">
      <c r="G2558" s="1"/>
      <c r="N2558" s="1"/>
    </row>
    <row r="2559" spans="7:14" x14ac:dyDescent="0.35">
      <c r="G2559" s="1"/>
      <c r="N2559" s="1"/>
    </row>
    <row r="2560" spans="7:14" x14ac:dyDescent="0.35">
      <c r="G2560" s="1"/>
      <c r="N2560" s="1"/>
    </row>
    <row r="2561" spans="7:14" x14ac:dyDescent="0.35">
      <c r="G2561" s="1"/>
      <c r="N2561" s="1"/>
    </row>
    <row r="2562" spans="7:14" x14ac:dyDescent="0.35">
      <c r="G2562" s="1"/>
      <c r="N2562" s="1"/>
    </row>
    <row r="2563" spans="7:14" x14ac:dyDescent="0.35">
      <c r="G2563" s="1"/>
      <c r="N2563" s="1"/>
    </row>
    <row r="2564" spans="7:14" x14ac:dyDescent="0.35">
      <c r="G2564" s="1"/>
      <c r="N2564" s="1"/>
    </row>
    <row r="2565" spans="7:14" x14ac:dyDescent="0.35">
      <c r="G2565" s="1"/>
      <c r="N2565" s="1"/>
    </row>
    <row r="2566" spans="7:14" x14ac:dyDescent="0.35">
      <c r="G2566" s="1"/>
      <c r="N2566" s="1"/>
    </row>
    <row r="2567" spans="7:14" x14ac:dyDescent="0.35">
      <c r="G2567" s="1"/>
      <c r="N2567" s="1"/>
    </row>
    <row r="2568" spans="7:14" x14ac:dyDescent="0.35">
      <c r="G2568" s="1"/>
      <c r="N2568" s="1"/>
    </row>
    <row r="2569" spans="7:14" x14ac:dyDescent="0.35">
      <c r="G2569" s="1"/>
      <c r="N2569" s="1"/>
    </row>
    <row r="2570" spans="7:14" x14ac:dyDescent="0.35">
      <c r="G2570" s="1"/>
      <c r="N2570" s="1"/>
    </row>
    <row r="2571" spans="7:14" x14ac:dyDescent="0.35">
      <c r="G2571" s="1"/>
      <c r="N2571" s="1"/>
    </row>
    <row r="2572" spans="7:14" x14ac:dyDescent="0.35">
      <c r="G2572" s="1"/>
      <c r="N2572" s="1"/>
    </row>
    <row r="2573" spans="7:14" x14ac:dyDescent="0.35">
      <c r="G2573" s="1"/>
      <c r="N2573" s="1"/>
    </row>
    <row r="2574" spans="7:14" x14ac:dyDescent="0.35">
      <c r="G2574" s="1"/>
      <c r="N2574" s="1"/>
    </row>
    <row r="2575" spans="7:14" x14ac:dyDescent="0.35">
      <c r="G2575" s="1"/>
      <c r="N2575" s="1"/>
    </row>
    <row r="2576" spans="7:14" x14ac:dyDescent="0.35">
      <c r="G2576" s="1"/>
      <c r="N2576" s="1"/>
    </row>
    <row r="2577" spans="7:14" x14ac:dyDescent="0.35">
      <c r="G2577" s="1"/>
      <c r="N2577" s="1"/>
    </row>
    <row r="2578" spans="7:14" x14ac:dyDescent="0.35">
      <c r="G2578" s="1"/>
      <c r="N2578" s="1"/>
    </row>
    <row r="2579" spans="7:14" x14ac:dyDescent="0.35">
      <c r="G2579" s="1"/>
      <c r="N2579" s="1"/>
    </row>
    <row r="2580" spans="7:14" x14ac:dyDescent="0.35">
      <c r="G2580" s="1"/>
      <c r="N2580" s="1"/>
    </row>
    <row r="2581" spans="7:14" x14ac:dyDescent="0.35">
      <c r="G2581" s="1"/>
      <c r="N2581" s="1"/>
    </row>
    <row r="2582" spans="7:14" x14ac:dyDescent="0.35">
      <c r="G2582" s="1"/>
      <c r="N2582" s="1"/>
    </row>
    <row r="2583" spans="7:14" x14ac:dyDescent="0.35">
      <c r="G2583" s="1"/>
      <c r="N2583" s="1"/>
    </row>
    <row r="2584" spans="7:14" x14ac:dyDescent="0.35">
      <c r="G2584" s="1"/>
      <c r="N2584" s="1"/>
    </row>
    <row r="2585" spans="7:14" x14ac:dyDescent="0.35">
      <c r="G2585" s="1"/>
      <c r="N2585" s="1"/>
    </row>
    <row r="2586" spans="7:14" x14ac:dyDescent="0.35">
      <c r="G2586" s="1"/>
      <c r="N2586" s="1"/>
    </row>
    <row r="2587" spans="7:14" x14ac:dyDescent="0.35">
      <c r="G2587" s="1"/>
      <c r="N2587" s="1"/>
    </row>
    <row r="2588" spans="7:14" x14ac:dyDescent="0.35">
      <c r="G2588" s="1"/>
      <c r="N2588" s="1"/>
    </row>
    <row r="2589" spans="7:14" x14ac:dyDescent="0.35">
      <c r="G2589" s="1"/>
      <c r="N2589" s="1"/>
    </row>
    <row r="2590" spans="7:14" x14ac:dyDescent="0.35">
      <c r="G2590" s="1"/>
      <c r="N2590" s="1"/>
    </row>
    <row r="2591" spans="7:14" x14ac:dyDescent="0.35">
      <c r="G2591" s="1"/>
      <c r="N2591" s="1"/>
    </row>
    <row r="2592" spans="7:14" x14ac:dyDescent="0.35">
      <c r="G2592" s="1"/>
      <c r="N2592" s="1"/>
    </row>
    <row r="2593" spans="7:14" x14ac:dyDescent="0.35">
      <c r="G2593" s="1"/>
      <c r="N2593" s="1"/>
    </row>
    <row r="2594" spans="7:14" x14ac:dyDescent="0.35">
      <c r="G2594" s="1"/>
      <c r="N2594" s="1"/>
    </row>
    <row r="2595" spans="7:14" x14ac:dyDescent="0.35">
      <c r="G2595" s="1"/>
      <c r="N2595" s="1"/>
    </row>
    <row r="2596" spans="7:14" x14ac:dyDescent="0.35">
      <c r="G2596" s="1"/>
      <c r="N2596" s="1"/>
    </row>
    <row r="2597" spans="7:14" x14ac:dyDescent="0.35">
      <c r="G2597" s="1"/>
      <c r="N2597" s="1"/>
    </row>
    <row r="2598" spans="7:14" x14ac:dyDescent="0.35">
      <c r="G2598" s="1"/>
      <c r="N2598" s="1"/>
    </row>
    <row r="2599" spans="7:14" x14ac:dyDescent="0.35">
      <c r="G2599" s="1"/>
      <c r="N2599" s="1"/>
    </row>
    <row r="2600" spans="7:14" x14ac:dyDescent="0.35">
      <c r="G2600" s="1"/>
      <c r="N2600" s="1"/>
    </row>
    <row r="2601" spans="7:14" x14ac:dyDescent="0.35">
      <c r="G2601" s="1"/>
      <c r="N2601" s="1"/>
    </row>
    <row r="2602" spans="7:14" x14ac:dyDescent="0.35">
      <c r="G2602" s="1"/>
      <c r="N2602" s="1"/>
    </row>
    <row r="2603" spans="7:14" x14ac:dyDescent="0.35">
      <c r="G2603" s="1"/>
      <c r="N2603" s="1"/>
    </row>
    <row r="2604" spans="7:14" x14ac:dyDescent="0.35">
      <c r="G2604" s="1"/>
      <c r="N2604" s="1"/>
    </row>
    <row r="2605" spans="7:14" x14ac:dyDescent="0.35">
      <c r="G2605" s="1"/>
      <c r="N2605" s="1"/>
    </row>
    <row r="2606" spans="7:14" x14ac:dyDescent="0.35">
      <c r="G2606" s="1"/>
      <c r="N2606" s="1"/>
    </row>
    <row r="2607" spans="7:14" x14ac:dyDescent="0.35">
      <c r="G2607" s="1"/>
      <c r="N2607" s="1"/>
    </row>
    <row r="2608" spans="7:14" x14ac:dyDescent="0.35">
      <c r="G2608" s="1"/>
      <c r="N2608" s="1"/>
    </row>
    <row r="2609" spans="7:14" x14ac:dyDescent="0.35">
      <c r="G2609" s="1"/>
      <c r="N2609" s="1"/>
    </row>
    <row r="2610" spans="7:14" x14ac:dyDescent="0.35">
      <c r="G2610" s="1"/>
      <c r="N2610" s="1"/>
    </row>
    <row r="2611" spans="7:14" x14ac:dyDescent="0.35">
      <c r="G2611" s="1"/>
      <c r="N2611" s="1"/>
    </row>
    <row r="2612" spans="7:14" x14ac:dyDescent="0.35">
      <c r="G2612" s="1"/>
      <c r="N2612" s="1"/>
    </row>
    <row r="2613" spans="7:14" x14ac:dyDescent="0.35">
      <c r="G2613" s="1"/>
      <c r="N2613" s="1"/>
    </row>
    <row r="2614" spans="7:14" x14ac:dyDescent="0.35">
      <c r="G2614" s="1"/>
      <c r="N2614" s="1"/>
    </row>
    <row r="2615" spans="7:14" x14ac:dyDescent="0.35">
      <c r="G2615" s="1"/>
      <c r="N2615" s="1"/>
    </row>
    <row r="2616" spans="7:14" x14ac:dyDescent="0.35">
      <c r="G2616" s="1"/>
      <c r="N2616" s="1"/>
    </row>
    <row r="2617" spans="7:14" x14ac:dyDescent="0.35">
      <c r="G2617" s="1"/>
      <c r="N2617" s="1"/>
    </row>
    <row r="2618" spans="7:14" x14ac:dyDescent="0.35">
      <c r="G2618" s="1"/>
      <c r="N2618" s="1"/>
    </row>
    <row r="2619" spans="7:14" x14ac:dyDescent="0.35">
      <c r="G2619" s="1"/>
      <c r="N2619" s="1"/>
    </row>
    <row r="2620" spans="7:14" x14ac:dyDescent="0.35">
      <c r="G2620" s="1"/>
      <c r="N2620" s="1"/>
    </row>
    <row r="2621" spans="7:14" x14ac:dyDescent="0.35">
      <c r="G2621" s="1"/>
      <c r="N2621" s="1"/>
    </row>
    <row r="2622" spans="7:14" x14ac:dyDescent="0.35">
      <c r="G2622" s="1"/>
      <c r="N2622" s="1"/>
    </row>
    <row r="2623" spans="7:14" x14ac:dyDescent="0.35">
      <c r="G2623" s="1"/>
      <c r="N2623" s="1"/>
    </row>
    <row r="2624" spans="7:14" x14ac:dyDescent="0.35">
      <c r="G2624" s="1"/>
      <c r="N2624" s="1"/>
    </row>
    <row r="2625" spans="7:14" x14ac:dyDescent="0.35">
      <c r="G2625" s="1"/>
      <c r="N2625" s="1"/>
    </row>
    <row r="2626" spans="7:14" x14ac:dyDescent="0.35">
      <c r="G2626" s="1"/>
      <c r="N2626" s="1"/>
    </row>
    <row r="2627" spans="7:14" x14ac:dyDescent="0.35">
      <c r="G2627" s="1"/>
      <c r="N2627" s="1"/>
    </row>
    <row r="2628" spans="7:14" x14ac:dyDescent="0.35">
      <c r="G2628" s="1"/>
      <c r="N2628" s="1"/>
    </row>
    <row r="2629" spans="7:14" x14ac:dyDescent="0.35">
      <c r="G2629" s="1"/>
      <c r="N2629" s="1"/>
    </row>
    <row r="2630" spans="7:14" x14ac:dyDescent="0.35">
      <c r="G2630" s="1"/>
      <c r="N2630" s="1"/>
    </row>
    <row r="2631" spans="7:14" x14ac:dyDescent="0.35">
      <c r="G2631" s="1"/>
      <c r="N2631" s="1"/>
    </row>
    <row r="2632" spans="7:14" x14ac:dyDescent="0.35">
      <c r="G2632" s="1"/>
      <c r="N2632" s="1"/>
    </row>
    <row r="2633" spans="7:14" x14ac:dyDescent="0.35">
      <c r="G2633" s="1"/>
      <c r="N2633" s="1"/>
    </row>
    <row r="2634" spans="7:14" x14ac:dyDescent="0.35">
      <c r="G2634" s="1"/>
      <c r="N2634" s="1"/>
    </row>
    <row r="2635" spans="7:14" x14ac:dyDescent="0.35">
      <c r="G2635" s="1"/>
      <c r="N2635" s="1"/>
    </row>
    <row r="2636" spans="7:14" x14ac:dyDescent="0.35">
      <c r="G2636" s="1"/>
      <c r="N2636" s="1"/>
    </row>
    <row r="2637" spans="7:14" x14ac:dyDescent="0.35">
      <c r="G2637" s="1"/>
      <c r="N2637" s="1"/>
    </row>
    <row r="2638" spans="7:14" x14ac:dyDescent="0.35">
      <c r="G2638" s="1"/>
      <c r="N2638" s="1"/>
    </row>
    <row r="2639" spans="7:14" x14ac:dyDescent="0.35">
      <c r="G2639" s="1"/>
      <c r="N2639" s="1"/>
    </row>
    <row r="2640" spans="7:14" x14ac:dyDescent="0.35">
      <c r="G2640" s="1"/>
      <c r="N2640" s="1"/>
    </row>
    <row r="2641" spans="7:14" x14ac:dyDescent="0.35">
      <c r="G2641" s="1"/>
      <c r="N2641" s="1"/>
    </row>
    <row r="2642" spans="7:14" x14ac:dyDescent="0.35">
      <c r="G2642" s="1"/>
      <c r="N2642" s="1"/>
    </row>
    <row r="2643" spans="7:14" x14ac:dyDescent="0.35">
      <c r="G2643" s="1"/>
      <c r="N2643" s="1"/>
    </row>
    <row r="2644" spans="7:14" x14ac:dyDescent="0.35">
      <c r="G2644" s="1"/>
      <c r="N2644" s="1"/>
    </row>
    <row r="2645" spans="7:14" x14ac:dyDescent="0.35">
      <c r="G2645" s="1"/>
      <c r="N2645" s="1"/>
    </row>
    <row r="2646" spans="7:14" x14ac:dyDescent="0.35">
      <c r="G2646" s="1"/>
      <c r="N2646" s="1"/>
    </row>
    <row r="2647" spans="7:14" x14ac:dyDescent="0.35">
      <c r="G2647" s="1"/>
      <c r="N2647" s="1"/>
    </row>
    <row r="2648" spans="7:14" x14ac:dyDescent="0.35">
      <c r="G2648" s="1"/>
      <c r="N2648" s="1"/>
    </row>
    <row r="2649" spans="7:14" x14ac:dyDescent="0.35">
      <c r="G2649" s="1"/>
      <c r="N2649" s="1"/>
    </row>
    <row r="2650" spans="7:14" x14ac:dyDescent="0.35">
      <c r="G2650" s="1"/>
      <c r="N2650" s="1"/>
    </row>
    <row r="2651" spans="7:14" x14ac:dyDescent="0.35">
      <c r="G2651" s="1"/>
      <c r="N2651" s="1"/>
    </row>
    <row r="2652" spans="7:14" x14ac:dyDescent="0.35">
      <c r="G2652" s="1"/>
      <c r="N2652" s="1"/>
    </row>
    <row r="2653" spans="7:14" x14ac:dyDescent="0.35">
      <c r="G2653" s="1"/>
      <c r="N2653" s="1"/>
    </row>
    <row r="2654" spans="7:14" x14ac:dyDescent="0.35">
      <c r="G2654" s="1"/>
      <c r="N2654" s="1"/>
    </row>
    <row r="2655" spans="7:14" x14ac:dyDescent="0.35">
      <c r="G2655" s="1"/>
      <c r="N2655" s="1"/>
    </row>
    <row r="2656" spans="7:14" x14ac:dyDescent="0.35">
      <c r="G2656" s="1"/>
      <c r="N2656" s="1"/>
    </row>
    <row r="2657" spans="7:14" x14ac:dyDescent="0.35">
      <c r="G2657" s="1"/>
      <c r="N2657" s="1"/>
    </row>
    <row r="2658" spans="7:14" x14ac:dyDescent="0.35">
      <c r="G2658" s="1"/>
      <c r="N2658" s="1"/>
    </row>
    <row r="2659" spans="7:14" x14ac:dyDescent="0.35">
      <c r="G2659" s="1"/>
      <c r="N2659" s="1"/>
    </row>
    <row r="2660" spans="7:14" x14ac:dyDescent="0.35">
      <c r="G2660" s="1"/>
      <c r="N2660" s="1"/>
    </row>
    <row r="2661" spans="7:14" x14ac:dyDescent="0.35">
      <c r="G2661" s="1"/>
      <c r="N2661" s="1"/>
    </row>
    <row r="2662" spans="7:14" x14ac:dyDescent="0.35">
      <c r="G2662" s="1"/>
      <c r="N2662" s="1"/>
    </row>
    <row r="2663" spans="7:14" x14ac:dyDescent="0.35">
      <c r="G2663" s="1"/>
      <c r="N2663" s="1"/>
    </row>
    <row r="2664" spans="7:14" x14ac:dyDescent="0.35">
      <c r="G2664" s="1"/>
      <c r="N2664" s="1"/>
    </row>
    <row r="2665" spans="7:14" x14ac:dyDescent="0.35">
      <c r="G2665" s="1"/>
      <c r="N2665" s="1"/>
    </row>
    <row r="2666" spans="7:14" x14ac:dyDescent="0.35">
      <c r="G2666" s="1"/>
      <c r="N2666" s="1"/>
    </row>
    <row r="2667" spans="7:14" x14ac:dyDescent="0.35">
      <c r="G2667" s="1"/>
      <c r="N2667" s="1"/>
    </row>
    <row r="2668" spans="7:14" x14ac:dyDescent="0.35">
      <c r="G2668" s="1"/>
      <c r="N2668" s="1"/>
    </row>
    <row r="2669" spans="7:14" x14ac:dyDescent="0.35">
      <c r="G2669" s="1"/>
      <c r="N2669" s="1"/>
    </row>
    <row r="2670" spans="7:14" x14ac:dyDescent="0.35">
      <c r="G2670" s="1"/>
      <c r="N2670" s="1"/>
    </row>
    <row r="2671" spans="7:14" x14ac:dyDescent="0.35">
      <c r="G2671" s="1"/>
      <c r="N2671" s="1"/>
    </row>
    <row r="2672" spans="7:14" x14ac:dyDescent="0.35">
      <c r="G2672" s="1"/>
      <c r="N2672" s="1"/>
    </row>
    <row r="2673" spans="7:14" x14ac:dyDescent="0.35">
      <c r="G2673" s="1"/>
      <c r="N2673" s="1"/>
    </row>
    <row r="2674" spans="7:14" x14ac:dyDescent="0.35">
      <c r="G2674" s="1"/>
      <c r="N2674" s="1"/>
    </row>
    <row r="2675" spans="7:14" x14ac:dyDescent="0.35">
      <c r="G2675" s="1"/>
      <c r="N2675" s="1"/>
    </row>
    <row r="2676" spans="7:14" x14ac:dyDescent="0.35">
      <c r="G2676" s="1"/>
      <c r="N2676" s="1"/>
    </row>
    <row r="2677" spans="7:14" x14ac:dyDescent="0.35">
      <c r="G2677" s="1"/>
      <c r="N2677" s="1"/>
    </row>
    <row r="2678" spans="7:14" x14ac:dyDescent="0.35">
      <c r="G2678" s="1"/>
      <c r="N2678" s="1"/>
    </row>
    <row r="2679" spans="7:14" x14ac:dyDescent="0.35">
      <c r="G2679" s="1"/>
      <c r="N2679" s="1"/>
    </row>
    <row r="2680" spans="7:14" x14ac:dyDescent="0.35">
      <c r="G2680" s="1"/>
      <c r="N2680" s="1"/>
    </row>
    <row r="2681" spans="7:14" x14ac:dyDescent="0.35">
      <c r="G2681" s="1"/>
      <c r="N2681" s="1"/>
    </row>
    <row r="2682" spans="7:14" x14ac:dyDescent="0.35">
      <c r="G2682" s="1"/>
      <c r="N2682" s="1"/>
    </row>
    <row r="2683" spans="7:14" x14ac:dyDescent="0.35">
      <c r="G2683" s="1"/>
      <c r="N2683" s="1"/>
    </row>
    <row r="2684" spans="7:14" x14ac:dyDescent="0.35">
      <c r="G2684" s="1"/>
      <c r="N2684" s="1"/>
    </row>
    <row r="2685" spans="7:14" x14ac:dyDescent="0.35">
      <c r="G2685" s="1"/>
      <c r="N2685" s="1"/>
    </row>
    <row r="2686" spans="7:14" x14ac:dyDescent="0.35">
      <c r="G2686" s="1"/>
      <c r="N2686" s="1"/>
    </row>
    <row r="2687" spans="7:14" x14ac:dyDescent="0.35">
      <c r="G2687" s="1"/>
      <c r="N2687" s="1"/>
    </row>
    <row r="2688" spans="7:14" x14ac:dyDescent="0.35">
      <c r="G2688" s="1"/>
      <c r="N2688" s="1"/>
    </row>
    <row r="2689" spans="7:14" x14ac:dyDescent="0.35">
      <c r="G2689" s="1"/>
      <c r="N2689" s="1"/>
    </row>
    <row r="2690" spans="7:14" x14ac:dyDescent="0.35">
      <c r="G2690" s="1"/>
      <c r="N2690" s="1"/>
    </row>
    <row r="2691" spans="7:14" x14ac:dyDescent="0.35">
      <c r="G2691" s="1"/>
      <c r="N2691" s="1"/>
    </row>
    <row r="2692" spans="7:14" x14ac:dyDescent="0.35">
      <c r="G2692" s="1"/>
      <c r="N2692" s="1"/>
    </row>
    <row r="2693" spans="7:14" x14ac:dyDescent="0.35">
      <c r="G2693" s="1"/>
      <c r="N2693" s="1"/>
    </row>
    <row r="2694" spans="7:14" x14ac:dyDescent="0.35">
      <c r="G2694" s="1"/>
      <c r="N2694" s="1"/>
    </row>
    <row r="2695" spans="7:14" x14ac:dyDescent="0.35">
      <c r="G2695" s="1"/>
      <c r="N2695" s="1"/>
    </row>
    <row r="2696" spans="7:14" x14ac:dyDescent="0.35">
      <c r="G2696" s="1"/>
      <c r="N2696" s="1"/>
    </row>
    <row r="2697" spans="7:14" x14ac:dyDescent="0.35">
      <c r="G2697" s="1"/>
      <c r="N2697" s="1"/>
    </row>
    <row r="2698" spans="7:14" x14ac:dyDescent="0.35">
      <c r="G2698" s="1"/>
      <c r="N2698" s="1"/>
    </row>
    <row r="2699" spans="7:14" x14ac:dyDescent="0.35">
      <c r="G2699" s="1"/>
      <c r="N2699" s="1"/>
    </row>
    <row r="2700" spans="7:14" x14ac:dyDescent="0.35">
      <c r="G2700" s="1"/>
      <c r="N2700" s="1"/>
    </row>
    <row r="2701" spans="7:14" x14ac:dyDescent="0.35">
      <c r="G2701" s="1"/>
      <c r="N2701" s="1"/>
    </row>
    <row r="2702" spans="7:14" x14ac:dyDescent="0.35">
      <c r="G2702" s="1"/>
      <c r="N2702" s="1"/>
    </row>
    <row r="2703" spans="7:14" x14ac:dyDescent="0.35">
      <c r="G2703" s="1"/>
      <c r="N2703" s="1"/>
    </row>
    <row r="2704" spans="7:14" x14ac:dyDescent="0.35">
      <c r="G2704" s="1"/>
      <c r="N2704" s="1"/>
    </row>
    <row r="2705" spans="7:14" x14ac:dyDescent="0.35">
      <c r="G2705" s="1"/>
      <c r="N2705" s="1"/>
    </row>
    <row r="2706" spans="7:14" x14ac:dyDescent="0.35">
      <c r="G2706" s="1"/>
      <c r="N2706" s="1"/>
    </row>
    <row r="2707" spans="7:14" x14ac:dyDescent="0.35">
      <c r="G2707" s="1"/>
      <c r="N2707" s="1"/>
    </row>
    <row r="2708" spans="7:14" x14ac:dyDescent="0.35">
      <c r="G2708" s="1"/>
      <c r="N2708" s="1"/>
    </row>
    <row r="2709" spans="7:14" x14ac:dyDescent="0.35">
      <c r="G2709" s="1"/>
      <c r="N2709" s="1"/>
    </row>
    <row r="2710" spans="7:14" x14ac:dyDescent="0.35">
      <c r="G2710" s="1"/>
      <c r="N2710" s="1"/>
    </row>
    <row r="2711" spans="7:14" x14ac:dyDescent="0.35">
      <c r="G2711" s="1"/>
      <c r="N2711" s="1"/>
    </row>
    <row r="2712" spans="7:14" x14ac:dyDescent="0.35">
      <c r="G2712" s="1"/>
      <c r="N2712" s="1"/>
    </row>
    <row r="2713" spans="7:14" x14ac:dyDescent="0.35">
      <c r="G2713" s="1"/>
      <c r="N2713" s="1"/>
    </row>
    <row r="2714" spans="7:14" x14ac:dyDescent="0.35">
      <c r="G2714" s="1"/>
      <c r="N2714" s="1"/>
    </row>
    <row r="2715" spans="7:14" x14ac:dyDescent="0.35">
      <c r="G2715" s="1"/>
      <c r="N2715" s="1"/>
    </row>
    <row r="2716" spans="7:14" x14ac:dyDescent="0.35">
      <c r="G2716" s="1"/>
      <c r="N2716" s="1"/>
    </row>
    <row r="2717" spans="7:14" x14ac:dyDescent="0.35">
      <c r="G2717" s="1"/>
      <c r="N2717" s="1"/>
    </row>
    <row r="2718" spans="7:14" x14ac:dyDescent="0.35">
      <c r="G2718" s="1"/>
      <c r="N2718" s="1"/>
    </row>
    <row r="2719" spans="7:14" x14ac:dyDescent="0.35">
      <c r="G2719" s="1"/>
      <c r="N2719" s="1"/>
    </row>
    <row r="2720" spans="7:14" x14ac:dyDescent="0.35">
      <c r="G2720" s="1"/>
      <c r="N2720" s="1"/>
    </row>
    <row r="2721" spans="7:14" x14ac:dyDescent="0.35">
      <c r="G2721" s="1"/>
      <c r="N2721" s="1"/>
    </row>
    <row r="2722" spans="7:14" x14ac:dyDescent="0.35">
      <c r="G2722" s="1"/>
      <c r="N2722" s="1"/>
    </row>
    <row r="2723" spans="7:14" x14ac:dyDescent="0.35">
      <c r="G2723" s="1"/>
      <c r="N2723" s="1"/>
    </row>
    <row r="2724" spans="7:14" x14ac:dyDescent="0.35">
      <c r="G2724" s="1"/>
      <c r="N2724" s="1"/>
    </row>
    <row r="2725" spans="7:14" x14ac:dyDescent="0.35">
      <c r="G2725" s="1"/>
      <c r="N2725" s="1"/>
    </row>
    <row r="2726" spans="7:14" x14ac:dyDescent="0.35">
      <c r="G2726" s="1"/>
      <c r="N2726" s="1"/>
    </row>
    <row r="2727" spans="7:14" x14ac:dyDescent="0.35">
      <c r="G2727" s="1"/>
      <c r="N2727" s="1"/>
    </row>
    <row r="2728" spans="7:14" x14ac:dyDescent="0.35">
      <c r="G2728" s="1"/>
      <c r="N2728" s="1"/>
    </row>
    <row r="2729" spans="7:14" x14ac:dyDescent="0.35">
      <c r="G2729" s="1"/>
      <c r="N2729" s="1"/>
    </row>
    <row r="2730" spans="7:14" x14ac:dyDescent="0.35">
      <c r="G2730" s="1"/>
      <c r="N2730" s="1"/>
    </row>
    <row r="2731" spans="7:14" x14ac:dyDescent="0.35">
      <c r="G2731" s="1"/>
      <c r="N2731" s="1"/>
    </row>
    <row r="2732" spans="7:14" x14ac:dyDescent="0.35">
      <c r="G2732" s="1"/>
      <c r="N2732" s="1"/>
    </row>
    <row r="2733" spans="7:14" x14ac:dyDescent="0.35">
      <c r="G2733" s="1"/>
      <c r="N2733" s="1"/>
    </row>
    <row r="2734" spans="7:14" x14ac:dyDescent="0.35">
      <c r="G2734" s="1"/>
      <c r="N2734" s="1"/>
    </row>
    <row r="2735" spans="7:14" x14ac:dyDescent="0.35">
      <c r="G2735" s="1"/>
      <c r="N2735" s="1"/>
    </row>
    <row r="2736" spans="7:14" x14ac:dyDescent="0.35">
      <c r="G2736" s="1"/>
      <c r="N2736" s="1"/>
    </row>
    <row r="2737" spans="7:14" x14ac:dyDescent="0.35">
      <c r="G2737" s="1"/>
      <c r="N2737" s="1"/>
    </row>
    <row r="2738" spans="7:14" x14ac:dyDescent="0.35">
      <c r="G2738" s="1"/>
      <c r="N2738" s="1"/>
    </row>
    <row r="2739" spans="7:14" x14ac:dyDescent="0.35">
      <c r="G2739" s="1"/>
      <c r="N2739" s="1"/>
    </row>
    <row r="2740" spans="7:14" x14ac:dyDescent="0.35">
      <c r="G2740" s="1"/>
      <c r="N2740" s="1"/>
    </row>
    <row r="2741" spans="7:14" x14ac:dyDescent="0.35">
      <c r="G2741" s="1"/>
      <c r="N2741" s="1"/>
    </row>
    <row r="2742" spans="7:14" x14ac:dyDescent="0.35">
      <c r="G2742" s="1"/>
      <c r="N2742" s="1"/>
    </row>
    <row r="2743" spans="7:14" x14ac:dyDescent="0.35">
      <c r="G2743" s="1"/>
      <c r="N2743" s="1"/>
    </row>
    <row r="2744" spans="7:14" x14ac:dyDescent="0.35">
      <c r="G2744" s="1"/>
      <c r="N2744" s="1"/>
    </row>
    <row r="2745" spans="7:14" x14ac:dyDescent="0.35">
      <c r="G2745" s="1"/>
      <c r="N2745" s="1"/>
    </row>
    <row r="2746" spans="7:14" x14ac:dyDescent="0.35">
      <c r="G2746" s="1"/>
      <c r="N2746" s="1"/>
    </row>
    <row r="2747" spans="7:14" x14ac:dyDescent="0.35">
      <c r="G2747" s="1"/>
      <c r="N2747" s="1"/>
    </row>
    <row r="2748" spans="7:14" x14ac:dyDescent="0.35">
      <c r="G2748" s="1"/>
      <c r="N2748" s="1"/>
    </row>
    <row r="2749" spans="7:14" x14ac:dyDescent="0.35">
      <c r="G2749" s="1"/>
      <c r="N2749" s="1"/>
    </row>
    <row r="2750" spans="7:14" x14ac:dyDescent="0.35">
      <c r="G2750" s="1"/>
      <c r="N2750" s="1"/>
    </row>
    <row r="2751" spans="7:14" x14ac:dyDescent="0.35">
      <c r="G2751" s="1"/>
      <c r="N2751" s="1"/>
    </row>
    <row r="2752" spans="7:14" x14ac:dyDescent="0.35">
      <c r="G2752" s="1"/>
      <c r="N2752" s="1"/>
    </row>
    <row r="2753" spans="7:14" x14ac:dyDescent="0.35">
      <c r="G2753" s="1"/>
      <c r="N2753" s="1"/>
    </row>
    <row r="2754" spans="7:14" x14ac:dyDescent="0.35">
      <c r="G2754" s="1"/>
      <c r="N2754" s="1"/>
    </row>
    <row r="2755" spans="7:14" x14ac:dyDescent="0.35">
      <c r="G2755" s="1"/>
      <c r="N2755" s="1"/>
    </row>
    <row r="2756" spans="7:14" x14ac:dyDescent="0.35">
      <c r="G2756" s="1"/>
      <c r="N2756" s="1"/>
    </row>
    <row r="2757" spans="7:14" x14ac:dyDescent="0.35">
      <c r="G2757" s="1"/>
      <c r="N2757" s="1"/>
    </row>
    <row r="2758" spans="7:14" x14ac:dyDescent="0.35">
      <c r="G2758" s="1"/>
      <c r="N2758" s="1"/>
    </row>
    <row r="2759" spans="7:14" x14ac:dyDescent="0.35">
      <c r="G2759" s="1"/>
      <c r="N2759" s="1"/>
    </row>
    <row r="2760" spans="7:14" x14ac:dyDescent="0.35">
      <c r="G2760" s="1"/>
      <c r="N2760" s="1"/>
    </row>
    <row r="2761" spans="7:14" x14ac:dyDescent="0.35">
      <c r="G2761" s="1"/>
      <c r="N2761" s="1"/>
    </row>
    <row r="2762" spans="7:14" x14ac:dyDescent="0.35">
      <c r="G2762" s="1"/>
      <c r="N2762" s="1"/>
    </row>
    <row r="2763" spans="7:14" x14ac:dyDescent="0.35">
      <c r="G2763" s="1"/>
      <c r="N2763" s="1"/>
    </row>
    <row r="2764" spans="7:14" x14ac:dyDescent="0.35">
      <c r="G2764" s="1"/>
      <c r="N2764" s="1"/>
    </row>
    <row r="2765" spans="7:14" x14ac:dyDescent="0.35">
      <c r="G2765" s="1"/>
      <c r="N2765" s="1"/>
    </row>
    <row r="2766" spans="7:14" x14ac:dyDescent="0.35">
      <c r="G2766" s="1"/>
      <c r="N2766" s="1"/>
    </row>
    <row r="2767" spans="7:14" x14ac:dyDescent="0.35">
      <c r="G2767" s="1"/>
      <c r="N2767" s="1"/>
    </row>
    <row r="2768" spans="7:14" x14ac:dyDescent="0.35">
      <c r="G2768" s="1"/>
      <c r="N2768" s="1"/>
    </row>
    <row r="2769" spans="7:14" x14ac:dyDescent="0.35">
      <c r="G2769" s="1"/>
      <c r="N2769" s="1"/>
    </row>
    <row r="2770" spans="7:14" x14ac:dyDescent="0.35">
      <c r="G2770" s="1"/>
      <c r="N2770" s="1"/>
    </row>
    <row r="2771" spans="7:14" x14ac:dyDescent="0.35">
      <c r="G2771" s="1"/>
      <c r="N2771" s="1"/>
    </row>
    <row r="2772" spans="7:14" x14ac:dyDescent="0.35">
      <c r="G2772" s="1"/>
      <c r="N2772" s="1"/>
    </row>
    <row r="2773" spans="7:14" x14ac:dyDescent="0.35">
      <c r="G2773" s="1"/>
      <c r="N2773" s="1"/>
    </row>
    <row r="2774" spans="7:14" x14ac:dyDescent="0.35">
      <c r="G2774" s="1"/>
      <c r="N2774" s="1"/>
    </row>
    <row r="2775" spans="7:14" x14ac:dyDescent="0.35">
      <c r="G2775" s="1"/>
      <c r="N2775" s="1"/>
    </row>
    <row r="2776" spans="7:14" x14ac:dyDescent="0.35">
      <c r="G2776" s="1"/>
      <c r="N2776" s="1"/>
    </row>
    <row r="2777" spans="7:14" x14ac:dyDescent="0.35">
      <c r="G2777" s="1"/>
      <c r="N2777" s="1"/>
    </row>
    <row r="2778" spans="7:14" x14ac:dyDescent="0.35">
      <c r="G2778" s="1"/>
      <c r="N2778" s="1"/>
    </row>
    <row r="2779" spans="7:14" x14ac:dyDescent="0.35">
      <c r="G2779" s="1"/>
      <c r="N2779" s="1"/>
    </row>
    <row r="2780" spans="7:14" x14ac:dyDescent="0.35">
      <c r="G2780" s="1"/>
      <c r="N2780" s="1"/>
    </row>
    <row r="2781" spans="7:14" x14ac:dyDescent="0.35">
      <c r="G2781" s="1"/>
      <c r="N2781" s="1"/>
    </row>
    <row r="2782" spans="7:14" x14ac:dyDescent="0.35">
      <c r="G2782" s="1"/>
      <c r="N2782" s="1"/>
    </row>
    <row r="2783" spans="7:14" x14ac:dyDescent="0.35">
      <c r="G2783" s="1"/>
      <c r="N2783" s="1"/>
    </row>
    <row r="2784" spans="7:14" x14ac:dyDescent="0.35">
      <c r="G2784" s="1"/>
      <c r="N2784" s="1"/>
    </row>
    <row r="2785" spans="7:14" x14ac:dyDescent="0.35">
      <c r="G2785" s="1"/>
      <c r="N2785" s="1"/>
    </row>
    <row r="2786" spans="7:14" x14ac:dyDescent="0.35">
      <c r="G2786" s="1"/>
      <c r="N2786" s="1"/>
    </row>
    <row r="2787" spans="7:14" x14ac:dyDescent="0.35">
      <c r="G2787" s="1"/>
      <c r="N2787" s="1"/>
    </row>
    <row r="2788" spans="7:14" x14ac:dyDescent="0.35">
      <c r="G2788" s="1"/>
      <c r="N2788" s="1"/>
    </row>
    <row r="2789" spans="7:14" x14ac:dyDescent="0.35">
      <c r="G2789" s="1"/>
      <c r="N2789" s="1"/>
    </row>
    <row r="2790" spans="7:14" x14ac:dyDescent="0.35">
      <c r="G2790" s="1"/>
      <c r="N2790" s="1"/>
    </row>
    <row r="2791" spans="7:14" x14ac:dyDescent="0.35">
      <c r="G2791" s="1"/>
      <c r="N2791" s="1"/>
    </row>
    <row r="2792" spans="7:14" x14ac:dyDescent="0.35">
      <c r="G2792" s="1"/>
      <c r="N2792" s="1"/>
    </row>
    <row r="2793" spans="7:14" x14ac:dyDescent="0.35">
      <c r="G2793" s="1"/>
      <c r="N2793" s="1"/>
    </row>
    <row r="2794" spans="7:14" x14ac:dyDescent="0.35">
      <c r="G2794" s="1"/>
      <c r="N2794" s="1"/>
    </row>
    <row r="2795" spans="7:14" x14ac:dyDescent="0.35">
      <c r="G2795" s="1"/>
      <c r="N2795" s="1"/>
    </row>
    <row r="2796" spans="7:14" x14ac:dyDescent="0.35">
      <c r="G2796" s="1"/>
      <c r="N2796" s="1"/>
    </row>
    <row r="2797" spans="7:14" x14ac:dyDescent="0.35">
      <c r="G2797" s="1"/>
      <c r="N2797" s="1"/>
    </row>
    <row r="2798" spans="7:14" x14ac:dyDescent="0.35">
      <c r="G2798" s="1"/>
      <c r="N2798" s="1"/>
    </row>
    <row r="2799" spans="7:14" x14ac:dyDescent="0.35">
      <c r="G2799" s="1"/>
      <c r="N2799" s="1"/>
    </row>
    <row r="2800" spans="7:14" x14ac:dyDescent="0.35">
      <c r="G2800" s="1"/>
      <c r="N2800" s="1"/>
    </row>
    <row r="2801" spans="7:14" x14ac:dyDescent="0.35">
      <c r="G2801" s="1"/>
      <c r="N2801" s="1"/>
    </row>
    <row r="2802" spans="7:14" x14ac:dyDescent="0.35">
      <c r="G2802" s="1"/>
      <c r="N2802" s="1"/>
    </row>
    <row r="2803" spans="7:14" x14ac:dyDescent="0.35">
      <c r="G2803" s="1"/>
      <c r="N2803" s="1"/>
    </row>
    <row r="2804" spans="7:14" x14ac:dyDescent="0.35">
      <c r="G2804" s="1"/>
      <c r="N2804" s="1"/>
    </row>
    <row r="2805" spans="7:14" x14ac:dyDescent="0.35">
      <c r="G2805" s="1"/>
      <c r="N2805" s="1"/>
    </row>
    <row r="2806" spans="7:14" x14ac:dyDescent="0.35">
      <c r="G2806" s="1"/>
      <c r="N2806" s="1"/>
    </row>
    <row r="2807" spans="7:14" x14ac:dyDescent="0.35">
      <c r="G2807" s="1"/>
      <c r="N2807" s="1"/>
    </row>
    <row r="2808" spans="7:14" x14ac:dyDescent="0.35">
      <c r="G2808" s="1"/>
      <c r="N2808" s="1"/>
    </row>
    <row r="2809" spans="7:14" x14ac:dyDescent="0.35">
      <c r="G2809" s="1"/>
      <c r="N2809" s="1"/>
    </row>
    <row r="2810" spans="7:14" x14ac:dyDescent="0.35">
      <c r="G2810" s="1"/>
      <c r="N2810" s="1"/>
    </row>
    <row r="2811" spans="7:14" x14ac:dyDescent="0.35">
      <c r="G2811" s="1"/>
      <c r="N2811" s="1"/>
    </row>
    <row r="2812" spans="7:14" x14ac:dyDescent="0.35">
      <c r="G2812" s="1"/>
      <c r="N2812" s="1"/>
    </row>
    <row r="2813" spans="7:14" x14ac:dyDescent="0.35">
      <c r="G2813" s="1"/>
      <c r="N2813" s="1"/>
    </row>
    <row r="2814" spans="7:14" x14ac:dyDescent="0.35">
      <c r="G2814" s="1"/>
      <c r="N2814" s="1"/>
    </row>
    <row r="2815" spans="7:14" x14ac:dyDescent="0.35">
      <c r="G2815" s="1"/>
      <c r="N2815" s="1"/>
    </row>
    <row r="2816" spans="7:14" x14ac:dyDescent="0.35">
      <c r="G2816" s="1"/>
      <c r="N2816" s="1"/>
    </row>
    <row r="2817" spans="7:14" x14ac:dyDescent="0.35">
      <c r="G2817" s="1"/>
      <c r="N2817" s="1"/>
    </row>
    <row r="2818" spans="7:14" x14ac:dyDescent="0.35">
      <c r="G2818" s="1"/>
      <c r="N2818" s="1"/>
    </row>
    <row r="2819" spans="7:14" x14ac:dyDescent="0.35">
      <c r="G2819" s="1"/>
      <c r="N2819" s="1"/>
    </row>
    <row r="2820" spans="7:14" x14ac:dyDescent="0.35">
      <c r="G2820" s="1"/>
      <c r="N2820" s="1"/>
    </row>
    <row r="2821" spans="7:14" x14ac:dyDescent="0.35">
      <c r="G2821" s="1"/>
      <c r="N2821" s="1"/>
    </row>
    <row r="2822" spans="7:14" x14ac:dyDescent="0.35">
      <c r="G2822" s="1"/>
      <c r="N2822" s="1"/>
    </row>
    <row r="2823" spans="7:14" x14ac:dyDescent="0.35">
      <c r="G2823" s="1"/>
      <c r="N2823" s="1"/>
    </row>
    <row r="2824" spans="7:14" x14ac:dyDescent="0.35">
      <c r="G2824" s="1"/>
      <c r="N2824" s="1"/>
    </row>
    <row r="2825" spans="7:14" x14ac:dyDescent="0.35">
      <c r="G2825" s="1"/>
      <c r="N2825" s="1"/>
    </row>
    <row r="2826" spans="7:14" x14ac:dyDescent="0.35">
      <c r="G2826" s="1"/>
      <c r="N2826" s="1"/>
    </row>
    <row r="2827" spans="7:14" x14ac:dyDescent="0.35">
      <c r="G2827" s="1"/>
      <c r="N2827" s="1"/>
    </row>
    <row r="2828" spans="7:14" x14ac:dyDescent="0.35">
      <c r="G2828" s="1"/>
      <c r="N2828" s="1"/>
    </row>
    <row r="2829" spans="7:14" x14ac:dyDescent="0.35">
      <c r="G2829" s="1"/>
      <c r="N2829" s="1"/>
    </row>
    <row r="2830" spans="7:14" x14ac:dyDescent="0.35">
      <c r="G2830" s="1"/>
      <c r="N2830" s="1"/>
    </row>
    <row r="2831" spans="7:14" x14ac:dyDescent="0.35">
      <c r="G2831" s="1"/>
      <c r="N2831" s="1"/>
    </row>
    <row r="2832" spans="7:14" x14ac:dyDescent="0.35">
      <c r="G2832" s="1"/>
      <c r="N2832" s="1"/>
    </row>
    <row r="2833" spans="7:14" x14ac:dyDescent="0.35">
      <c r="G2833" s="1"/>
      <c r="N2833" s="1"/>
    </row>
    <row r="2834" spans="7:14" x14ac:dyDescent="0.35">
      <c r="G2834" s="1"/>
      <c r="N2834" s="1"/>
    </row>
    <row r="2835" spans="7:14" x14ac:dyDescent="0.35">
      <c r="G2835" s="1"/>
      <c r="N2835" s="1"/>
    </row>
    <row r="2836" spans="7:14" x14ac:dyDescent="0.35">
      <c r="G2836" s="1"/>
      <c r="N2836" s="1"/>
    </row>
    <row r="2837" spans="7:14" x14ac:dyDescent="0.35">
      <c r="G2837" s="1"/>
      <c r="N2837" s="1"/>
    </row>
    <row r="2838" spans="7:14" x14ac:dyDescent="0.35">
      <c r="G2838" s="1"/>
      <c r="N2838" s="1"/>
    </row>
    <row r="2839" spans="7:14" x14ac:dyDescent="0.35">
      <c r="G2839" s="1"/>
      <c r="N2839" s="1"/>
    </row>
    <row r="2840" spans="7:14" x14ac:dyDescent="0.35">
      <c r="G2840" s="1"/>
      <c r="N2840" s="1"/>
    </row>
    <row r="2841" spans="7:14" x14ac:dyDescent="0.35">
      <c r="G2841" s="1"/>
      <c r="N2841" s="1"/>
    </row>
    <row r="2842" spans="7:14" x14ac:dyDescent="0.35">
      <c r="G2842" s="1"/>
      <c r="N2842" s="1"/>
    </row>
    <row r="2843" spans="7:14" x14ac:dyDescent="0.35">
      <c r="G2843" s="1"/>
      <c r="N2843" s="1"/>
    </row>
    <row r="2844" spans="7:14" x14ac:dyDescent="0.35">
      <c r="G2844" s="1"/>
      <c r="N2844" s="1"/>
    </row>
    <row r="2845" spans="7:14" x14ac:dyDescent="0.35">
      <c r="G2845" s="1"/>
      <c r="N2845" s="1"/>
    </row>
    <row r="2846" spans="7:14" x14ac:dyDescent="0.35">
      <c r="G2846" s="1"/>
      <c r="N2846" s="1"/>
    </row>
    <row r="2847" spans="7:14" x14ac:dyDescent="0.35">
      <c r="G2847" s="1"/>
      <c r="N2847" s="1"/>
    </row>
    <row r="2848" spans="7:14" x14ac:dyDescent="0.35">
      <c r="G2848" s="1"/>
      <c r="N2848" s="1"/>
    </row>
    <row r="2849" spans="7:14" x14ac:dyDescent="0.35">
      <c r="G2849" s="1"/>
      <c r="N2849" s="1"/>
    </row>
    <row r="2850" spans="7:14" x14ac:dyDescent="0.35">
      <c r="G2850" s="1"/>
      <c r="N2850" s="1"/>
    </row>
    <row r="2851" spans="7:14" x14ac:dyDescent="0.35">
      <c r="G2851" s="1"/>
      <c r="N2851" s="1"/>
    </row>
    <row r="2852" spans="7:14" x14ac:dyDescent="0.35">
      <c r="G2852" s="1"/>
      <c r="N2852" s="1"/>
    </row>
    <row r="2853" spans="7:14" x14ac:dyDescent="0.35">
      <c r="G2853" s="1"/>
      <c r="N2853" s="1"/>
    </row>
    <row r="2854" spans="7:14" x14ac:dyDescent="0.35">
      <c r="G2854" s="1"/>
      <c r="N2854" s="1"/>
    </row>
    <row r="2855" spans="7:14" x14ac:dyDescent="0.35">
      <c r="G2855" s="1"/>
      <c r="N2855" s="1"/>
    </row>
    <row r="2856" spans="7:14" x14ac:dyDescent="0.35">
      <c r="G2856" s="1"/>
      <c r="N2856" s="1"/>
    </row>
    <row r="2857" spans="7:14" x14ac:dyDescent="0.35">
      <c r="G2857" s="1"/>
      <c r="N2857" s="1"/>
    </row>
    <row r="2858" spans="7:14" x14ac:dyDescent="0.35">
      <c r="G2858" s="1"/>
      <c r="N2858" s="1"/>
    </row>
    <row r="2859" spans="7:14" x14ac:dyDescent="0.35">
      <c r="G2859" s="1"/>
      <c r="N2859" s="1"/>
    </row>
    <row r="2860" spans="7:14" x14ac:dyDescent="0.35">
      <c r="G2860" s="1"/>
      <c r="N2860" s="1"/>
    </row>
    <row r="2861" spans="7:14" x14ac:dyDescent="0.35">
      <c r="G2861" s="1"/>
      <c r="N2861" s="1"/>
    </row>
    <row r="2862" spans="7:14" x14ac:dyDescent="0.35">
      <c r="G2862" s="1"/>
      <c r="N2862" s="1"/>
    </row>
    <row r="2863" spans="7:14" x14ac:dyDescent="0.35">
      <c r="G2863" s="1"/>
      <c r="N2863" s="1"/>
    </row>
    <row r="2864" spans="7:14" x14ac:dyDescent="0.35">
      <c r="G2864" s="1"/>
      <c r="N2864" s="1"/>
    </row>
    <row r="2865" spans="7:14" x14ac:dyDescent="0.35">
      <c r="G2865" s="1"/>
      <c r="N2865" s="1"/>
    </row>
    <row r="2866" spans="7:14" x14ac:dyDescent="0.35">
      <c r="G2866" s="1"/>
      <c r="N2866" s="1"/>
    </row>
    <row r="2867" spans="7:14" x14ac:dyDescent="0.35">
      <c r="G2867" s="1"/>
      <c r="N2867" s="1"/>
    </row>
    <row r="2868" spans="7:14" x14ac:dyDescent="0.35">
      <c r="G2868" s="1"/>
      <c r="N2868" s="1"/>
    </row>
    <row r="2869" spans="7:14" x14ac:dyDescent="0.35">
      <c r="G2869" s="1"/>
      <c r="N2869" s="1"/>
    </row>
    <row r="2870" spans="7:14" x14ac:dyDescent="0.35">
      <c r="G2870" s="1"/>
      <c r="N2870" s="1"/>
    </row>
    <row r="2871" spans="7:14" x14ac:dyDescent="0.35">
      <c r="G2871" s="1"/>
      <c r="N2871" s="1"/>
    </row>
    <row r="2872" spans="7:14" x14ac:dyDescent="0.35">
      <c r="G2872" s="1"/>
      <c r="N2872" s="1"/>
    </row>
    <row r="2873" spans="7:14" x14ac:dyDescent="0.35">
      <c r="G2873" s="1"/>
      <c r="N2873" s="1"/>
    </row>
    <row r="2874" spans="7:14" x14ac:dyDescent="0.35">
      <c r="G2874" s="1"/>
      <c r="N2874" s="1"/>
    </row>
    <row r="2875" spans="7:14" x14ac:dyDescent="0.35">
      <c r="G2875" s="1"/>
      <c r="N2875" s="1"/>
    </row>
    <row r="2876" spans="7:14" x14ac:dyDescent="0.35">
      <c r="G2876" s="1"/>
      <c r="N2876" s="1"/>
    </row>
    <row r="2877" spans="7:14" x14ac:dyDescent="0.35">
      <c r="G2877" s="1"/>
      <c r="N2877" s="1"/>
    </row>
    <row r="2878" spans="7:14" x14ac:dyDescent="0.35">
      <c r="G2878" s="1"/>
      <c r="N2878" s="1"/>
    </row>
    <row r="2879" spans="7:14" x14ac:dyDescent="0.35">
      <c r="G2879" s="1"/>
      <c r="N2879" s="1"/>
    </row>
    <row r="2880" spans="7:14" x14ac:dyDescent="0.35">
      <c r="G2880" s="1"/>
      <c r="N2880" s="1"/>
    </row>
    <row r="2881" spans="7:14" x14ac:dyDescent="0.35">
      <c r="G2881" s="1"/>
      <c r="N2881" s="1"/>
    </row>
    <row r="2882" spans="7:14" x14ac:dyDescent="0.35">
      <c r="G2882" s="1"/>
      <c r="N2882" s="1"/>
    </row>
    <row r="2883" spans="7:14" x14ac:dyDescent="0.35">
      <c r="G2883" s="1"/>
      <c r="N2883" s="1"/>
    </row>
    <row r="2884" spans="7:14" x14ac:dyDescent="0.35">
      <c r="G2884" s="1"/>
      <c r="N2884" s="1"/>
    </row>
    <row r="2885" spans="7:14" x14ac:dyDescent="0.35">
      <c r="G2885" s="1"/>
      <c r="N2885" s="1"/>
    </row>
    <row r="2886" spans="7:14" x14ac:dyDescent="0.35">
      <c r="G2886" s="1"/>
      <c r="N2886" s="1"/>
    </row>
    <row r="2887" spans="7:14" x14ac:dyDescent="0.35">
      <c r="G2887" s="1"/>
      <c r="N2887" s="1"/>
    </row>
    <row r="2888" spans="7:14" x14ac:dyDescent="0.35">
      <c r="G2888" s="1"/>
      <c r="N2888" s="1"/>
    </row>
    <row r="2889" spans="7:14" x14ac:dyDescent="0.35">
      <c r="G2889" s="1"/>
      <c r="N2889" s="1"/>
    </row>
    <row r="2890" spans="7:14" x14ac:dyDescent="0.35">
      <c r="G2890" s="1"/>
      <c r="N2890" s="1"/>
    </row>
    <row r="2891" spans="7:14" x14ac:dyDescent="0.35">
      <c r="G2891" s="1"/>
      <c r="N2891" s="1"/>
    </row>
    <row r="2892" spans="7:14" x14ac:dyDescent="0.35">
      <c r="G2892" s="1"/>
      <c r="N2892" s="1"/>
    </row>
    <row r="2893" spans="7:14" x14ac:dyDescent="0.35">
      <c r="G2893" s="1"/>
      <c r="N2893" s="1"/>
    </row>
    <row r="2894" spans="7:14" x14ac:dyDescent="0.35">
      <c r="G2894" s="1"/>
      <c r="N2894" s="1"/>
    </row>
    <row r="2895" spans="7:14" x14ac:dyDescent="0.35">
      <c r="G2895" s="1"/>
      <c r="N2895" s="1"/>
    </row>
    <row r="2896" spans="7:14" x14ac:dyDescent="0.35">
      <c r="G2896" s="1"/>
      <c r="N2896" s="1"/>
    </row>
    <row r="2897" spans="7:14" x14ac:dyDescent="0.35">
      <c r="G2897" s="1"/>
      <c r="N2897" s="1"/>
    </row>
    <row r="2898" spans="7:14" x14ac:dyDescent="0.35">
      <c r="G2898" s="1"/>
      <c r="N2898" s="1"/>
    </row>
    <row r="2899" spans="7:14" x14ac:dyDescent="0.35">
      <c r="G2899" s="1"/>
      <c r="N2899" s="1"/>
    </row>
    <row r="2900" spans="7:14" x14ac:dyDescent="0.35">
      <c r="G2900" s="1"/>
      <c r="N2900" s="1"/>
    </row>
    <row r="2901" spans="7:14" x14ac:dyDescent="0.35">
      <c r="G2901" s="1"/>
      <c r="N2901" s="1"/>
    </row>
    <row r="2902" spans="7:14" x14ac:dyDescent="0.35">
      <c r="G2902" s="1"/>
      <c r="N2902" s="1"/>
    </row>
    <row r="2903" spans="7:14" x14ac:dyDescent="0.35">
      <c r="G2903" s="1"/>
      <c r="N2903" s="1"/>
    </row>
    <row r="2904" spans="7:14" x14ac:dyDescent="0.35">
      <c r="G2904" s="1"/>
      <c r="N2904" s="1"/>
    </row>
    <row r="2905" spans="7:14" x14ac:dyDescent="0.35">
      <c r="G2905" s="1"/>
      <c r="N2905" s="1"/>
    </row>
    <row r="2906" spans="7:14" x14ac:dyDescent="0.35">
      <c r="G2906" s="1"/>
      <c r="N2906" s="1"/>
    </row>
    <row r="2907" spans="7:14" x14ac:dyDescent="0.35">
      <c r="G2907" s="1"/>
      <c r="N2907" s="1"/>
    </row>
    <row r="2908" spans="7:14" x14ac:dyDescent="0.35">
      <c r="G2908" s="1"/>
      <c r="N2908" s="1"/>
    </row>
    <row r="2909" spans="7:14" x14ac:dyDescent="0.35">
      <c r="G2909" s="1"/>
      <c r="N2909" s="1"/>
    </row>
    <row r="2910" spans="7:14" x14ac:dyDescent="0.35">
      <c r="G2910" s="1"/>
      <c r="N2910" s="1"/>
    </row>
    <row r="2911" spans="7:14" x14ac:dyDescent="0.35">
      <c r="G2911" s="1"/>
      <c r="N2911" s="1"/>
    </row>
    <row r="2912" spans="7:14" x14ac:dyDescent="0.35">
      <c r="G2912" s="1"/>
      <c r="N2912" s="1"/>
    </row>
    <row r="2913" spans="7:14" x14ac:dyDescent="0.35">
      <c r="G2913" s="1"/>
      <c r="N2913" s="1"/>
    </row>
    <row r="2914" spans="7:14" x14ac:dyDescent="0.35">
      <c r="G2914" s="1"/>
      <c r="N2914" s="1"/>
    </row>
    <row r="2915" spans="7:14" x14ac:dyDescent="0.35">
      <c r="G2915" s="1"/>
      <c r="N2915" s="1"/>
    </row>
    <row r="2916" spans="7:14" x14ac:dyDescent="0.35">
      <c r="G2916" s="1"/>
      <c r="N2916" s="1"/>
    </row>
    <row r="2917" spans="7:14" x14ac:dyDescent="0.35">
      <c r="G2917" s="1"/>
      <c r="N2917" s="1"/>
    </row>
    <row r="2918" spans="7:14" x14ac:dyDescent="0.35">
      <c r="G2918" s="1"/>
      <c r="N2918" s="1"/>
    </row>
    <row r="2919" spans="7:14" x14ac:dyDescent="0.35">
      <c r="G2919" s="1"/>
      <c r="N2919" s="1"/>
    </row>
    <row r="2920" spans="7:14" x14ac:dyDescent="0.35">
      <c r="G2920" s="1"/>
      <c r="N2920" s="1"/>
    </row>
    <row r="2921" spans="7:14" x14ac:dyDescent="0.35">
      <c r="G2921" s="1"/>
      <c r="N2921" s="1"/>
    </row>
    <row r="2922" spans="7:14" x14ac:dyDescent="0.35">
      <c r="G2922" s="1"/>
      <c r="N2922" s="1"/>
    </row>
    <row r="2923" spans="7:14" x14ac:dyDescent="0.35">
      <c r="G2923" s="1"/>
      <c r="N2923" s="1"/>
    </row>
    <row r="2924" spans="7:14" x14ac:dyDescent="0.35">
      <c r="G2924" s="1"/>
      <c r="N2924" s="1"/>
    </row>
    <row r="2925" spans="7:14" x14ac:dyDescent="0.35">
      <c r="G2925" s="1"/>
      <c r="N2925" s="1"/>
    </row>
    <row r="2926" spans="7:14" x14ac:dyDescent="0.35">
      <c r="G2926" s="1"/>
      <c r="N2926" s="1"/>
    </row>
    <row r="2927" spans="7:14" x14ac:dyDescent="0.35">
      <c r="G2927" s="1"/>
      <c r="N2927" s="1"/>
    </row>
    <row r="2928" spans="7:14" x14ac:dyDescent="0.35">
      <c r="G2928" s="1"/>
      <c r="N2928" s="1"/>
    </row>
    <row r="2929" spans="7:14" x14ac:dyDescent="0.35">
      <c r="G2929" s="1"/>
      <c r="N2929" s="1"/>
    </row>
    <row r="2930" spans="7:14" x14ac:dyDescent="0.35">
      <c r="G2930" s="1"/>
      <c r="N2930" s="1"/>
    </row>
    <row r="2931" spans="7:14" x14ac:dyDescent="0.35">
      <c r="G2931" s="1"/>
      <c r="N2931" s="1"/>
    </row>
    <row r="2932" spans="7:14" x14ac:dyDescent="0.35">
      <c r="G2932" s="1"/>
      <c r="N2932" s="1"/>
    </row>
    <row r="2933" spans="7:14" x14ac:dyDescent="0.35">
      <c r="G2933" s="1"/>
      <c r="N2933" s="1"/>
    </row>
    <row r="2934" spans="7:14" x14ac:dyDescent="0.35">
      <c r="G2934" s="1"/>
      <c r="N2934" s="1"/>
    </row>
    <row r="2935" spans="7:14" x14ac:dyDescent="0.35">
      <c r="G2935" s="1"/>
      <c r="N2935" s="1"/>
    </row>
    <row r="2936" spans="7:14" x14ac:dyDescent="0.35">
      <c r="G2936" s="1"/>
      <c r="N2936" s="1"/>
    </row>
    <row r="2937" spans="7:14" x14ac:dyDescent="0.35">
      <c r="G2937" s="1"/>
      <c r="N2937" s="1"/>
    </row>
    <row r="2938" spans="7:14" x14ac:dyDescent="0.35">
      <c r="G2938" s="1"/>
      <c r="N2938" s="1"/>
    </row>
    <row r="2939" spans="7:14" x14ac:dyDescent="0.35">
      <c r="G2939" s="1"/>
      <c r="N2939" s="1"/>
    </row>
    <row r="2940" spans="7:14" x14ac:dyDescent="0.35">
      <c r="G2940" s="1"/>
      <c r="N2940" s="1"/>
    </row>
    <row r="2941" spans="7:14" x14ac:dyDescent="0.35">
      <c r="G2941" s="1"/>
      <c r="N2941" s="1"/>
    </row>
    <row r="2942" spans="7:14" x14ac:dyDescent="0.35">
      <c r="G2942" s="1"/>
      <c r="N2942" s="1"/>
    </row>
    <row r="2943" spans="7:14" x14ac:dyDescent="0.35">
      <c r="G2943" s="1"/>
      <c r="N2943" s="1"/>
    </row>
    <row r="2944" spans="7:14" x14ac:dyDescent="0.35">
      <c r="G2944" s="1"/>
      <c r="N2944" s="1"/>
    </row>
    <row r="2945" spans="7:14" x14ac:dyDescent="0.35">
      <c r="G2945" s="1"/>
      <c r="N2945" s="1"/>
    </row>
    <row r="2946" spans="7:14" x14ac:dyDescent="0.35">
      <c r="G2946" s="1"/>
      <c r="N2946" s="1"/>
    </row>
    <row r="2947" spans="7:14" x14ac:dyDescent="0.35">
      <c r="G2947" s="1"/>
      <c r="N2947" s="1"/>
    </row>
    <row r="2948" spans="7:14" x14ac:dyDescent="0.35">
      <c r="G2948" s="1"/>
      <c r="N2948" s="1"/>
    </row>
    <row r="2949" spans="7:14" x14ac:dyDescent="0.35">
      <c r="G2949" s="1"/>
      <c r="N2949" s="1"/>
    </row>
    <row r="2950" spans="7:14" x14ac:dyDescent="0.35">
      <c r="G2950" s="1"/>
      <c r="N2950" s="1"/>
    </row>
    <row r="2951" spans="7:14" x14ac:dyDescent="0.35">
      <c r="G2951" s="1"/>
      <c r="N2951" s="1"/>
    </row>
    <row r="2952" spans="7:14" x14ac:dyDescent="0.35">
      <c r="G2952" s="1"/>
      <c r="N2952" s="1"/>
    </row>
    <row r="2953" spans="7:14" x14ac:dyDescent="0.35">
      <c r="G2953" s="1"/>
      <c r="N2953" s="1"/>
    </row>
    <row r="2954" spans="7:14" x14ac:dyDescent="0.35">
      <c r="G2954" s="1"/>
      <c r="N2954" s="1"/>
    </row>
    <row r="2955" spans="7:14" x14ac:dyDescent="0.35">
      <c r="G2955" s="1"/>
      <c r="N2955" s="1"/>
    </row>
    <row r="2956" spans="7:14" x14ac:dyDescent="0.35">
      <c r="G2956" s="1"/>
      <c r="N2956" s="1"/>
    </row>
    <row r="2957" spans="7:14" x14ac:dyDescent="0.35">
      <c r="G2957" s="1"/>
      <c r="N2957" s="1"/>
    </row>
    <row r="2958" spans="7:14" x14ac:dyDescent="0.35">
      <c r="G2958" s="1"/>
      <c r="N2958" s="1"/>
    </row>
    <row r="2959" spans="7:14" x14ac:dyDescent="0.35">
      <c r="G2959" s="1"/>
      <c r="N2959" s="1"/>
    </row>
    <row r="2960" spans="7:14" x14ac:dyDescent="0.35">
      <c r="G2960" s="1"/>
      <c r="N2960" s="1"/>
    </row>
    <row r="2961" spans="7:14" x14ac:dyDescent="0.35">
      <c r="G2961" s="1"/>
      <c r="N2961" s="1"/>
    </row>
    <row r="2962" spans="7:14" x14ac:dyDescent="0.35">
      <c r="G2962" s="1"/>
      <c r="N2962" s="1"/>
    </row>
    <row r="2963" spans="7:14" x14ac:dyDescent="0.35">
      <c r="G2963" s="1"/>
      <c r="N2963" s="1"/>
    </row>
    <row r="2964" spans="7:14" x14ac:dyDescent="0.35">
      <c r="G2964" s="1"/>
      <c r="N2964" s="1"/>
    </row>
    <row r="2965" spans="7:14" x14ac:dyDescent="0.35">
      <c r="G2965" s="1"/>
      <c r="N2965" s="1"/>
    </row>
    <row r="2966" spans="7:14" x14ac:dyDescent="0.35">
      <c r="G2966" s="1"/>
      <c r="N2966" s="1"/>
    </row>
    <row r="2967" spans="7:14" x14ac:dyDescent="0.35">
      <c r="G2967" s="1"/>
      <c r="N2967" s="1"/>
    </row>
    <row r="2968" spans="7:14" x14ac:dyDescent="0.35">
      <c r="G2968" s="1"/>
      <c r="N2968" s="1"/>
    </row>
    <row r="2969" spans="7:14" x14ac:dyDescent="0.35">
      <c r="G2969" s="1"/>
      <c r="N2969" s="1"/>
    </row>
    <row r="2970" spans="7:14" x14ac:dyDescent="0.35">
      <c r="G2970" s="1"/>
      <c r="N2970" s="1"/>
    </row>
    <row r="2971" spans="7:14" x14ac:dyDescent="0.35">
      <c r="G2971" s="1"/>
      <c r="N2971" s="1"/>
    </row>
    <row r="2972" spans="7:14" x14ac:dyDescent="0.35">
      <c r="G2972" s="1"/>
      <c r="N2972" s="1"/>
    </row>
    <row r="2973" spans="7:14" x14ac:dyDescent="0.35">
      <c r="G2973" s="1"/>
      <c r="N2973" s="1"/>
    </row>
    <row r="2974" spans="7:14" x14ac:dyDescent="0.35">
      <c r="G2974" s="1"/>
      <c r="N2974" s="1"/>
    </row>
    <row r="2975" spans="7:14" x14ac:dyDescent="0.35">
      <c r="G2975" s="1"/>
      <c r="N2975" s="1"/>
    </row>
    <row r="2976" spans="7:14" x14ac:dyDescent="0.35">
      <c r="G2976" s="1"/>
      <c r="N2976" s="1"/>
    </row>
    <row r="2977" spans="7:14" x14ac:dyDescent="0.35">
      <c r="G2977" s="1"/>
      <c r="N2977" s="1"/>
    </row>
    <row r="2978" spans="7:14" x14ac:dyDescent="0.35">
      <c r="G2978" s="1"/>
      <c r="N2978" s="1"/>
    </row>
    <row r="2979" spans="7:14" x14ac:dyDescent="0.35">
      <c r="G2979" s="1"/>
      <c r="N2979" s="1"/>
    </row>
    <row r="2980" spans="7:14" x14ac:dyDescent="0.35">
      <c r="G2980" s="1"/>
      <c r="N2980" s="1"/>
    </row>
    <row r="2981" spans="7:14" x14ac:dyDescent="0.35">
      <c r="G2981" s="1"/>
      <c r="N2981" s="1"/>
    </row>
    <row r="2982" spans="7:14" x14ac:dyDescent="0.35">
      <c r="G2982" s="1"/>
      <c r="N2982" s="1"/>
    </row>
    <row r="2983" spans="7:14" x14ac:dyDescent="0.35">
      <c r="G2983" s="1"/>
      <c r="N2983" s="1"/>
    </row>
    <row r="2984" spans="7:14" x14ac:dyDescent="0.35">
      <c r="G2984" s="1"/>
      <c r="N2984" s="1"/>
    </row>
    <row r="2985" spans="7:14" x14ac:dyDescent="0.35">
      <c r="G2985" s="1"/>
      <c r="N2985" s="1"/>
    </row>
    <row r="2986" spans="7:14" x14ac:dyDescent="0.35">
      <c r="G2986" s="1"/>
      <c r="N2986" s="1"/>
    </row>
    <row r="2987" spans="7:14" x14ac:dyDescent="0.35">
      <c r="G2987" s="1"/>
      <c r="N2987" s="1"/>
    </row>
    <row r="2988" spans="7:14" x14ac:dyDescent="0.35">
      <c r="G2988" s="1"/>
      <c r="N2988" s="1"/>
    </row>
    <row r="2989" spans="7:14" x14ac:dyDescent="0.35">
      <c r="G2989" s="1"/>
      <c r="N2989" s="1"/>
    </row>
    <row r="2990" spans="7:14" x14ac:dyDescent="0.35">
      <c r="G2990" s="1"/>
      <c r="N2990" s="1"/>
    </row>
    <row r="2991" spans="7:14" x14ac:dyDescent="0.35">
      <c r="G2991" s="1"/>
      <c r="N2991" s="1"/>
    </row>
    <row r="2992" spans="7:14" x14ac:dyDescent="0.35">
      <c r="G2992" s="1"/>
      <c r="N2992" s="1"/>
    </row>
    <row r="2993" spans="7:14" x14ac:dyDescent="0.35">
      <c r="G2993" s="1"/>
      <c r="N2993" s="1"/>
    </row>
    <row r="2994" spans="7:14" x14ac:dyDescent="0.35">
      <c r="G2994" s="1"/>
      <c r="N2994" s="1"/>
    </row>
    <row r="2995" spans="7:14" x14ac:dyDescent="0.35">
      <c r="G2995" s="1"/>
      <c r="N2995" s="1"/>
    </row>
    <row r="2996" spans="7:14" x14ac:dyDescent="0.35">
      <c r="G2996" s="1"/>
      <c r="N2996" s="1"/>
    </row>
    <row r="2997" spans="7:14" x14ac:dyDescent="0.35">
      <c r="G2997" s="1"/>
      <c r="N2997" s="1"/>
    </row>
    <row r="2998" spans="7:14" x14ac:dyDescent="0.35">
      <c r="G2998" s="1"/>
      <c r="N2998" s="1"/>
    </row>
    <row r="2999" spans="7:14" x14ac:dyDescent="0.35">
      <c r="G2999" s="1"/>
      <c r="N2999" s="1"/>
    </row>
    <row r="3000" spans="7:14" x14ac:dyDescent="0.35">
      <c r="G3000" s="1"/>
      <c r="N3000" s="1"/>
    </row>
    <row r="3001" spans="7:14" x14ac:dyDescent="0.35">
      <c r="G3001" s="1"/>
      <c r="N3001" s="1"/>
    </row>
    <row r="3002" spans="7:14" x14ac:dyDescent="0.35">
      <c r="G3002" s="1"/>
      <c r="N3002" s="1"/>
    </row>
    <row r="3003" spans="7:14" x14ac:dyDescent="0.35">
      <c r="G3003" s="1"/>
      <c r="N3003" s="1"/>
    </row>
    <row r="3004" spans="7:14" x14ac:dyDescent="0.35">
      <c r="G3004" s="1"/>
      <c r="N3004" s="1"/>
    </row>
    <row r="3005" spans="7:14" x14ac:dyDescent="0.35">
      <c r="G3005" s="1"/>
      <c r="N3005" s="1"/>
    </row>
    <row r="3006" spans="7:14" x14ac:dyDescent="0.35">
      <c r="G3006" s="1"/>
      <c r="N3006" s="1"/>
    </row>
    <row r="3007" spans="7:14" x14ac:dyDescent="0.35">
      <c r="G3007" s="1"/>
      <c r="N3007" s="1"/>
    </row>
    <row r="3008" spans="7:14" x14ac:dyDescent="0.35">
      <c r="G3008" s="1"/>
      <c r="N3008" s="1"/>
    </row>
    <row r="3009" spans="7:14" x14ac:dyDescent="0.35">
      <c r="G3009" s="1"/>
      <c r="N3009" s="1"/>
    </row>
    <row r="3010" spans="7:14" x14ac:dyDescent="0.35">
      <c r="G3010" s="1"/>
      <c r="N3010" s="1"/>
    </row>
    <row r="3011" spans="7:14" x14ac:dyDescent="0.35">
      <c r="G3011" s="1"/>
      <c r="N3011" s="1"/>
    </row>
    <row r="3012" spans="7:14" x14ac:dyDescent="0.35">
      <c r="G3012" s="1"/>
      <c r="N3012" s="1"/>
    </row>
    <row r="3013" spans="7:14" x14ac:dyDescent="0.35">
      <c r="G3013" s="1"/>
      <c r="N3013" s="1"/>
    </row>
    <row r="3014" spans="7:14" x14ac:dyDescent="0.35">
      <c r="G3014" s="1"/>
      <c r="N3014" s="1"/>
    </row>
    <row r="3015" spans="7:14" x14ac:dyDescent="0.35">
      <c r="G3015" s="1"/>
      <c r="N3015" s="1"/>
    </row>
    <row r="3016" spans="7:14" x14ac:dyDescent="0.35">
      <c r="G3016" s="1"/>
      <c r="N3016" s="1"/>
    </row>
    <row r="3017" spans="7:14" x14ac:dyDescent="0.35">
      <c r="G3017" s="1"/>
      <c r="N3017" s="1"/>
    </row>
    <row r="3018" spans="7:14" x14ac:dyDescent="0.35">
      <c r="G3018" s="1"/>
      <c r="N3018" s="1"/>
    </row>
    <row r="3019" spans="7:14" x14ac:dyDescent="0.35">
      <c r="G3019" s="1"/>
      <c r="N3019" s="1"/>
    </row>
    <row r="3020" spans="7:14" x14ac:dyDescent="0.35">
      <c r="G3020" s="1"/>
      <c r="N3020" s="1"/>
    </row>
    <row r="3021" spans="7:14" x14ac:dyDescent="0.35">
      <c r="G3021" s="1"/>
      <c r="N3021" s="1"/>
    </row>
    <row r="3022" spans="7:14" x14ac:dyDescent="0.35">
      <c r="G3022" s="1"/>
      <c r="N3022" s="1"/>
    </row>
    <row r="3023" spans="7:14" x14ac:dyDescent="0.35">
      <c r="G3023" s="1"/>
      <c r="N3023" s="1"/>
    </row>
    <row r="3024" spans="7:14" x14ac:dyDescent="0.35">
      <c r="G3024" s="1"/>
      <c r="N3024" s="1"/>
    </row>
    <row r="3025" spans="7:14" x14ac:dyDescent="0.35">
      <c r="G3025" s="1"/>
      <c r="N3025" s="1"/>
    </row>
    <row r="3026" spans="7:14" x14ac:dyDescent="0.35">
      <c r="G3026" s="1"/>
      <c r="N3026" s="1"/>
    </row>
    <row r="3027" spans="7:14" x14ac:dyDescent="0.35">
      <c r="G3027" s="1"/>
      <c r="N3027" s="1"/>
    </row>
    <row r="3028" spans="7:14" x14ac:dyDescent="0.35">
      <c r="G3028" s="1"/>
      <c r="N3028" s="1"/>
    </row>
    <row r="3029" spans="7:14" x14ac:dyDescent="0.35">
      <c r="G3029" s="1"/>
      <c r="N3029" s="1"/>
    </row>
    <row r="3030" spans="7:14" x14ac:dyDescent="0.35">
      <c r="G3030" s="1"/>
      <c r="N3030" s="1"/>
    </row>
    <row r="3031" spans="7:14" x14ac:dyDescent="0.35">
      <c r="G3031" s="1"/>
      <c r="N3031" s="1"/>
    </row>
    <row r="3032" spans="7:14" x14ac:dyDescent="0.35">
      <c r="G3032" s="1"/>
      <c r="N3032" s="1"/>
    </row>
    <row r="3033" spans="7:14" x14ac:dyDescent="0.35">
      <c r="G3033" s="1"/>
      <c r="N3033" s="1"/>
    </row>
    <row r="3034" spans="7:14" x14ac:dyDescent="0.35">
      <c r="G3034" s="1"/>
      <c r="N3034" s="1"/>
    </row>
    <row r="3035" spans="7:14" x14ac:dyDescent="0.35">
      <c r="G3035" s="1"/>
      <c r="N3035" s="1"/>
    </row>
    <row r="3036" spans="7:14" x14ac:dyDescent="0.35">
      <c r="G3036" s="1"/>
      <c r="N3036" s="1"/>
    </row>
    <row r="3037" spans="7:14" x14ac:dyDescent="0.35">
      <c r="G3037" s="1"/>
      <c r="N3037" s="1"/>
    </row>
    <row r="3038" spans="7:14" x14ac:dyDescent="0.35">
      <c r="G3038" s="1"/>
      <c r="N3038" s="1"/>
    </row>
    <row r="3039" spans="7:14" x14ac:dyDescent="0.35">
      <c r="G3039" s="1"/>
      <c r="N3039" s="1"/>
    </row>
    <row r="3040" spans="7:14" x14ac:dyDescent="0.35">
      <c r="G3040" s="1"/>
      <c r="N3040" s="1"/>
    </row>
    <row r="3041" spans="7:14" x14ac:dyDescent="0.35">
      <c r="G3041" s="1"/>
      <c r="N3041" s="1"/>
    </row>
    <row r="3042" spans="7:14" x14ac:dyDescent="0.35">
      <c r="G3042" s="1"/>
      <c r="N3042" s="1"/>
    </row>
    <row r="3043" spans="7:14" x14ac:dyDescent="0.35">
      <c r="G3043" s="1"/>
      <c r="N3043" s="1"/>
    </row>
    <row r="3044" spans="7:14" x14ac:dyDescent="0.35">
      <c r="G3044" s="1"/>
      <c r="N3044" s="1"/>
    </row>
    <row r="3045" spans="7:14" x14ac:dyDescent="0.35">
      <c r="G3045" s="1"/>
      <c r="N3045" s="1"/>
    </row>
    <row r="3046" spans="7:14" x14ac:dyDescent="0.35">
      <c r="G3046" s="1"/>
      <c r="N3046" s="1"/>
    </row>
    <row r="3047" spans="7:14" x14ac:dyDescent="0.35">
      <c r="G3047" s="1"/>
      <c r="N3047" s="1"/>
    </row>
    <row r="3048" spans="7:14" x14ac:dyDescent="0.35">
      <c r="G3048" s="1"/>
      <c r="N3048" s="1"/>
    </row>
    <row r="3049" spans="7:14" x14ac:dyDescent="0.35">
      <c r="G3049" s="1"/>
      <c r="N3049" s="1"/>
    </row>
    <row r="3050" spans="7:14" x14ac:dyDescent="0.35">
      <c r="G3050" s="1"/>
      <c r="N3050" s="1"/>
    </row>
    <row r="3051" spans="7:14" x14ac:dyDescent="0.35">
      <c r="G3051" s="1"/>
      <c r="N3051" s="1"/>
    </row>
    <row r="3052" spans="7:14" x14ac:dyDescent="0.35">
      <c r="G3052" s="1"/>
      <c r="N3052" s="1"/>
    </row>
    <row r="3053" spans="7:14" x14ac:dyDescent="0.35">
      <c r="G3053" s="1"/>
      <c r="N3053" s="1"/>
    </row>
    <row r="3054" spans="7:14" x14ac:dyDescent="0.35">
      <c r="G3054" s="1"/>
      <c r="N3054" s="1"/>
    </row>
    <row r="3055" spans="7:14" x14ac:dyDescent="0.35">
      <c r="G3055" s="1"/>
      <c r="N3055" s="1"/>
    </row>
    <row r="3056" spans="7:14" x14ac:dyDescent="0.35">
      <c r="G3056" s="1"/>
      <c r="N3056" s="1"/>
    </row>
    <row r="3057" spans="7:14" x14ac:dyDescent="0.35">
      <c r="G3057" s="1"/>
      <c r="N3057" s="1"/>
    </row>
    <row r="3058" spans="7:14" x14ac:dyDescent="0.35">
      <c r="G3058" s="1"/>
      <c r="N3058" s="1"/>
    </row>
    <row r="3059" spans="7:14" x14ac:dyDescent="0.35">
      <c r="G3059" s="1"/>
      <c r="N3059" s="1"/>
    </row>
    <row r="3060" spans="7:14" x14ac:dyDescent="0.35">
      <c r="G3060" s="1"/>
      <c r="N3060" s="1"/>
    </row>
    <row r="3061" spans="7:14" x14ac:dyDescent="0.35">
      <c r="G3061" s="1"/>
      <c r="N3061" s="1"/>
    </row>
    <row r="3062" spans="7:14" x14ac:dyDescent="0.35">
      <c r="G3062" s="1"/>
      <c r="N3062" s="1"/>
    </row>
    <row r="3063" spans="7:14" x14ac:dyDescent="0.35">
      <c r="G3063" s="1"/>
      <c r="N3063" s="1"/>
    </row>
    <row r="3064" spans="7:14" x14ac:dyDescent="0.35">
      <c r="G3064" s="1"/>
      <c r="N3064" s="1"/>
    </row>
    <row r="3065" spans="7:14" x14ac:dyDescent="0.35">
      <c r="G3065" s="1"/>
      <c r="N3065" s="1"/>
    </row>
    <row r="3066" spans="7:14" x14ac:dyDescent="0.35">
      <c r="G3066" s="1"/>
      <c r="N3066" s="1"/>
    </row>
    <row r="3067" spans="7:14" x14ac:dyDescent="0.35">
      <c r="G3067" s="1"/>
      <c r="N3067" s="1"/>
    </row>
    <row r="3068" spans="7:14" x14ac:dyDescent="0.35">
      <c r="G3068" s="1"/>
      <c r="N3068" s="1"/>
    </row>
    <row r="3069" spans="7:14" x14ac:dyDescent="0.35">
      <c r="G3069" s="1"/>
      <c r="N3069" s="1"/>
    </row>
    <row r="3070" spans="7:14" x14ac:dyDescent="0.35">
      <c r="G3070" s="1"/>
      <c r="N3070" s="1"/>
    </row>
    <row r="3071" spans="7:14" x14ac:dyDescent="0.35">
      <c r="G3071" s="1"/>
      <c r="N3071" s="1"/>
    </row>
    <row r="3072" spans="7:14" x14ac:dyDescent="0.35">
      <c r="G3072" s="1"/>
      <c r="N3072" s="1"/>
    </row>
    <row r="3073" spans="7:14" x14ac:dyDescent="0.35">
      <c r="G3073" s="1"/>
      <c r="N3073" s="1"/>
    </row>
    <row r="3074" spans="7:14" x14ac:dyDescent="0.35">
      <c r="G3074" s="1"/>
      <c r="N3074" s="1"/>
    </row>
    <row r="3075" spans="7:14" x14ac:dyDescent="0.35">
      <c r="G3075" s="1"/>
      <c r="N3075" s="1"/>
    </row>
    <row r="3076" spans="7:14" x14ac:dyDescent="0.35">
      <c r="G3076" s="1"/>
      <c r="N3076" s="1"/>
    </row>
    <row r="3077" spans="7:14" x14ac:dyDescent="0.35">
      <c r="G3077" s="1"/>
      <c r="N3077" s="1"/>
    </row>
    <row r="3078" spans="7:14" x14ac:dyDescent="0.35">
      <c r="G3078" s="1"/>
      <c r="N3078" s="1"/>
    </row>
    <row r="3079" spans="7:14" x14ac:dyDescent="0.35">
      <c r="G3079" s="1"/>
      <c r="N3079" s="1"/>
    </row>
    <row r="3080" spans="7:14" x14ac:dyDescent="0.35">
      <c r="G3080" s="1"/>
      <c r="N3080" s="1"/>
    </row>
    <row r="3081" spans="7:14" x14ac:dyDescent="0.35">
      <c r="G3081" s="1"/>
      <c r="N3081" s="1"/>
    </row>
    <row r="3082" spans="7:14" x14ac:dyDescent="0.35">
      <c r="G3082" s="1"/>
      <c r="N3082" s="1"/>
    </row>
    <row r="3083" spans="7:14" x14ac:dyDescent="0.35">
      <c r="G3083" s="1"/>
      <c r="N3083" s="1"/>
    </row>
    <row r="3084" spans="7:14" x14ac:dyDescent="0.35">
      <c r="G3084" s="1"/>
      <c r="N3084" s="1"/>
    </row>
    <row r="3085" spans="7:14" x14ac:dyDescent="0.35">
      <c r="G3085" s="1"/>
      <c r="N3085" s="1"/>
    </row>
    <row r="3086" spans="7:14" x14ac:dyDescent="0.35">
      <c r="G3086" s="1"/>
      <c r="N3086" s="1"/>
    </row>
    <row r="3087" spans="7:14" x14ac:dyDescent="0.35">
      <c r="G3087" s="1"/>
      <c r="N3087" s="1"/>
    </row>
    <row r="3088" spans="7:14" x14ac:dyDescent="0.35">
      <c r="G3088" s="1"/>
      <c r="N3088" s="1"/>
    </row>
    <row r="3089" spans="7:14" x14ac:dyDescent="0.35">
      <c r="G3089" s="1"/>
      <c r="N3089" s="1"/>
    </row>
    <row r="3090" spans="7:14" x14ac:dyDescent="0.35">
      <c r="G3090" s="1"/>
      <c r="N3090" s="1"/>
    </row>
    <row r="3091" spans="7:14" x14ac:dyDescent="0.35">
      <c r="G3091" s="1"/>
      <c r="N3091" s="1"/>
    </row>
    <row r="3092" spans="7:14" x14ac:dyDescent="0.35">
      <c r="G3092" s="1"/>
      <c r="N3092" s="1"/>
    </row>
    <row r="3093" spans="7:14" x14ac:dyDescent="0.35">
      <c r="G3093" s="1"/>
      <c r="N3093" s="1"/>
    </row>
    <row r="3094" spans="7:14" x14ac:dyDescent="0.35">
      <c r="G3094" s="1"/>
      <c r="N3094" s="1"/>
    </row>
    <row r="3095" spans="7:14" x14ac:dyDescent="0.35">
      <c r="G3095" s="1"/>
      <c r="N3095" s="1"/>
    </row>
    <row r="3096" spans="7:14" x14ac:dyDescent="0.35">
      <c r="G3096" s="1"/>
      <c r="N3096" s="1"/>
    </row>
    <row r="3097" spans="7:14" x14ac:dyDescent="0.35">
      <c r="G3097" s="1"/>
      <c r="N3097" s="1"/>
    </row>
    <row r="3098" spans="7:14" x14ac:dyDescent="0.35">
      <c r="G3098" s="1"/>
      <c r="N3098" s="1"/>
    </row>
    <row r="3099" spans="7:14" x14ac:dyDescent="0.35">
      <c r="G3099" s="1"/>
      <c r="N3099" s="1"/>
    </row>
    <row r="3100" spans="7:14" x14ac:dyDescent="0.35">
      <c r="G3100" s="1"/>
      <c r="N3100" s="1"/>
    </row>
    <row r="3101" spans="7:14" x14ac:dyDescent="0.35">
      <c r="G3101" s="1"/>
      <c r="N3101" s="1"/>
    </row>
    <row r="3102" spans="7:14" x14ac:dyDescent="0.35">
      <c r="G3102" s="1"/>
      <c r="N3102" s="1"/>
    </row>
    <row r="3103" spans="7:14" x14ac:dyDescent="0.35">
      <c r="G3103" s="1"/>
      <c r="N3103" s="1"/>
    </row>
    <row r="3104" spans="7:14" x14ac:dyDescent="0.35">
      <c r="G3104" s="1"/>
      <c r="N3104" s="1"/>
    </row>
    <row r="3105" spans="7:14" x14ac:dyDescent="0.35">
      <c r="G3105" s="1"/>
      <c r="N3105" s="1"/>
    </row>
    <row r="3106" spans="7:14" x14ac:dyDescent="0.35">
      <c r="G3106" s="1"/>
      <c r="N3106" s="1"/>
    </row>
    <row r="3107" spans="7:14" x14ac:dyDescent="0.35">
      <c r="G3107" s="1"/>
      <c r="N3107" s="1"/>
    </row>
    <row r="3108" spans="7:14" x14ac:dyDescent="0.35">
      <c r="G3108" s="1"/>
      <c r="N3108" s="1"/>
    </row>
    <row r="3109" spans="7:14" x14ac:dyDescent="0.35">
      <c r="G3109" s="1"/>
      <c r="N3109" s="1"/>
    </row>
    <row r="3110" spans="7:14" x14ac:dyDescent="0.35">
      <c r="G3110" s="1"/>
      <c r="N3110" s="1"/>
    </row>
    <row r="3111" spans="7:14" x14ac:dyDescent="0.35">
      <c r="G3111" s="1"/>
      <c r="N3111" s="1"/>
    </row>
    <row r="3112" spans="7:14" x14ac:dyDescent="0.35">
      <c r="G3112" s="1"/>
      <c r="N3112" s="1"/>
    </row>
    <row r="3113" spans="7:14" x14ac:dyDescent="0.35">
      <c r="G3113" s="1"/>
      <c r="N3113" s="1"/>
    </row>
    <row r="3114" spans="7:14" x14ac:dyDescent="0.35">
      <c r="G3114" s="1"/>
      <c r="N3114" s="1"/>
    </row>
    <row r="3115" spans="7:14" x14ac:dyDescent="0.35">
      <c r="G3115" s="1"/>
      <c r="N3115" s="1"/>
    </row>
    <row r="3116" spans="7:14" x14ac:dyDescent="0.35">
      <c r="G3116" s="1"/>
      <c r="N3116" s="1"/>
    </row>
    <row r="3117" spans="7:14" x14ac:dyDescent="0.35">
      <c r="G3117" s="1"/>
      <c r="N3117" s="1"/>
    </row>
    <row r="3118" spans="7:14" x14ac:dyDescent="0.35">
      <c r="G3118" s="1"/>
      <c r="N3118" s="1"/>
    </row>
    <row r="3119" spans="7:14" x14ac:dyDescent="0.35">
      <c r="G3119" s="1"/>
      <c r="N3119" s="1"/>
    </row>
    <row r="3120" spans="7:14" x14ac:dyDescent="0.35">
      <c r="G3120" s="1"/>
      <c r="N3120" s="1"/>
    </row>
    <row r="3121" spans="7:14" x14ac:dyDescent="0.35">
      <c r="G3121" s="1"/>
      <c r="N3121" s="1"/>
    </row>
    <row r="3122" spans="7:14" x14ac:dyDescent="0.35">
      <c r="G3122" s="1"/>
      <c r="N3122" s="1"/>
    </row>
    <row r="3123" spans="7:14" x14ac:dyDescent="0.35">
      <c r="G3123" s="1"/>
      <c r="N3123" s="1"/>
    </row>
    <row r="3124" spans="7:14" x14ac:dyDescent="0.35">
      <c r="G3124" s="1"/>
      <c r="N3124" s="1"/>
    </row>
    <row r="3125" spans="7:14" x14ac:dyDescent="0.35">
      <c r="G3125" s="1"/>
      <c r="N3125" s="1"/>
    </row>
    <row r="3126" spans="7:14" x14ac:dyDescent="0.35">
      <c r="G3126" s="1"/>
      <c r="N3126" s="1"/>
    </row>
    <row r="3127" spans="7:14" x14ac:dyDescent="0.35">
      <c r="G3127" s="1"/>
      <c r="N3127" s="1"/>
    </row>
    <row r="3128" spans="7:14" x14ac:dyDescent="0.35">
      <c r="G3128" s="1"/>
      <c r="N3128" s="1"/>
    </row>
    <row r="3129" spans="7:14" x14ac:dyDescent="0.35">
      <c r="G3129" s="1"/>
      <c r="N3129" s="1"/>
    </row>
    <row r="3130" spans="7:14" x14ac:dyDescent="0.35">
      <c r="G3130" s="1"/>
      <c r="N3130" s="1"/>
    </row>
    <row r="3131" spans="7:14" x14ac:dyDescent="0.35">
      <c r="G3131" s="1"/>
      <c r="N3131" s="1"/>
    </row>
    <row r="3132" spans="7:14" x14ac:dyDescent="0.35">
      <c r="G3132" s="1"/>
      <c r="N3132" s="1"/>
    </row>
    <row r="3133" spans="7:14" x14ac:dyDescent="0.35">
      <c r="G3133" s="1"/>
      <c r="N3133" s="1"/>
    </row>
    <row r="3134" spans="7:14" x14ac:dyDescent="0.35">
      <c r="G3134" s="1"/>
      <c r="N3134" s="1"/>
    </row>
    <row r="3135" spans="7:14" x14ac:dyDescent="0.35">
      <c r="G3135" s="1"/>
      <c r="N3135" s="1"/>
    </row>
    <row r="3136" spans="7:14" x14ac:dyDescent="0.35">
      <c r="G3136" s="1"/>
      <c r="N3136" s="1"/>
    </row>
    <row r="3137" spans="7:14" x14ac:dyDescent="0.35">
      <c r="G3137" s="1"/>
      <c r="N3137" s="1"/>
    </row>
    <row r="3138" spans="7:14" x14ac:dyDescent="0.35">
      <c r="G3138" s="1"/>
      <c r="N3138" s="1"/>
    </row>
    <row r="3139" spans="7:14" x14ac:dyDescent="0.35">
      <c r="G3139" s="1"/>
      <c r="N3139" s="1"/>
    </row>
    <row r="3140" spans="7:14" x14ac:dyDescent="0.35">
      <c r="G3140" s="1"/>
      <c r="N3140" s="1"/>
    </row>
    <row r="3141" spans="7:14" x14ac:dyDescent="0.35">
      <c r="G3141" s="1"/>
      <c r="N3141" s="1"/>
    </row>
    <row r="3142" spans="7:14" x14ac:dyDescent="0.35">
      <c r="G3142" s="1"/>
      <c r="N3142" s="1"/>
    </row>
    <row r="3143" spans="7:14" x14ac:dyDescent="0.35">
      <c r="G3143" s="1"/>
      <c r="N3143" s="1"/>
    </row>
    <row r="3144" spans="7:14" x14ac:dyDescent="0.35">
      <c r="G3144" s="1"/>
      <c r="N3144" s="1"/>
    </row>
    <row r="3145" spans="7:14" x14ac:dyDescent="0.35">
      <c r="G3145" s="1"/>
      <c r="N3145" s="1"/>
    </row>
    <row r="3146" spans="7:14" x14ac:dyDescent="0.35">
      <c r="G3146" s="1"/>
      <c r="N3146" s="1"/>
    </row>
    <row r="3147" spans="7:14" x14ac:dyDescent="0.35">
      <c r="G3147" s="1"/>
      <c r="N3147" s="1"/>
    </row>
    <row r="3148" spans="7:14" x14ac:dyDescent="0.35">
      <c r="G3148" s="1"/>
      <c r="N3148" s="1"/>
    </row>
    <row r="3149" spans="7:14" x14ac:dyDescent="0.35">
      <c r="G3149" s="1"/>
      <c r="N3149" s="1"/>
    </row>
    <row r="3150" spans="7:14" x14ac:dyDescent="0.35">
      <c r="G3150" s="1"/>
      <c r="N3150" s="1"/>
    </row>
    <row r="3151" spans="7:14" x14ac:dyDescent="0.35">
      <c r="G3151" s="1"/>
      <c r="N3151" s="1"/>
    </row>
    <row r="3152" spans="7:14" x14ac:dyDescent="0.35">
      <c r="G3152" s="1"/>
      <c r="N3152" s="1"/>
    </row>
    <row r="3153" spans="7:14" x14ac:dyDescent="0.35">
      <c r="G3153" s="1"/>
      <c r="N3153" s="1"/>
    </row>
    <row r="3154" spans="7:14" x14ac:dyDescent="0.35">
      <c r="G3154" s="1"/>
      <c r="N3154" s="1"/>
    </row>
    <row r="3155" spans="7:14" x14ac:dyDescent="0.35">
      <c r="G3155" s="1"/>
      <c r="N3155" s="1"/>
    </row>
    <row r="3156" spans="7:14" x14ac:dyDescent="0.35">
      <c r="G3156" s="1"/>
      <c r="N3156" s="1"/>
    </row>
    <row r="3157" spans="7:14" x14ac:dyDescent="0.35">
      <c r="G3157" s="1"/>
      <c r="N3157" s="1"/>
    </row>
    <row r="3158" spans="7:14" x14ac:dyDescent="0.35">
      <c r="G3158" s="1"/>
      <c r="N3158" s="1"/>
    </row>
    <row r="3159" spans="7:14" x14ac:dyDescent="0.35">
      <c r="G3159" s="1"/>
      <c r="N3159" s="1"/>
    </row>
    <row r="3160" spans="7:14" x14ac:dyDescent="0.35">
      <c r="G3160" s="1"/>
      <c r="N3160" s="1"/>
    </row>
    <row r="3161" spans="7:14" x14ac:dyDescent="0.35">
      <c r="G3161" s="1"/>
      <c r="N3161" s="1"/>
    </row>
    <row r="3162" spans="7:14" x14ac:dyDescent="0.35">
      <c r="G3162" s="1"/>
      <c r="N3162" s="1"/>
    </row>
    <row r="3163" spans="7:14" x14ac:dyDescent="0.35">
      <c r="G3163" s="1"/>
      <c r="N3163" s="1"/>
    </row>
    <row r="3164" spans="7:14" x14ac:dyDescent="0.35">
      <c r="G3164" s="1"/>
      <c r="N3164" s="1"/>
    </row>
    <row r="3165" spans="7:14" x14ac:dyDescent="0.35">
      <c r="G3165" s="1"/>
      <c r="N3165" s="1"/>
    </row>
    <row r="3166" spans="7:14" x14ac:dyDescent="0.35">
      <c r="G3166" s="1"/>
      <c r="N3166" s="1"/>
    </row>
    <row r="3167" spans="7:14" x14ac:dyDescent="0.35">
      <c r="G3167" s="1"/>
      <c r="N3167" s="1"/>
    </row>
    <row r="3168" spans="7:14" x14ac:dyDescent="0.35">
      <c r="G3168" s="1"/>
      <c r="N3168" s="1"/>
    </row>
    <row r="3169" spans="7:14" x14ac:dyDescent="0.35">
      <c r="G3169" s="1"/>
      <c r="N3169" s="1"/>
    </row>
    <row r="3170" spans="7:14" x14ac:dyDescent="0.35">
      <c r="G3170" s="1"/>
      <c r="N3170" s="1"/>
    </row>
    <row r="3171" spans="7:14" x14ac:dyDescent="0.35">
      <c r="G3171" s="1"/>
      <c r="N3171" s="1"/>
    </row>
    <row r="3172" spans="7:14" x14ac:dyDescent="0.35">
      <c r="G3172" s="1"/>
      <c r="N3172" s="1"/>
    </row>
    <row r="3173" spans="7:14" x14ac:dyDescent="0.35">
      <c r="G3173" s="1"/>
      <c r="N3173" s="1"/>
    </row>
    <row r="3174" spans="7:14" x14ac:dyDescent="0.35">
      <c r="G3174" s="1"/>
      <c r="N3174" s="1"/>
    </row>
    <row r="3175" spans="7:14" x14ac:dyDescent="0.35">
      <c r="G3175" s="1"/>
      <c r="N3175" s="1"/>
    </row>
    <row r="3176" spans="7:14" x14ac:dyDescent="0.35">
      <c r="G3176" s="1"/>
      <c r="N3176" s="1"/>
    </row>
    <row r="3177" spans="7:14" x14ac:dyDescent="0.35">
      <c r="G3177" s="1"/>
      <c r="N3177" s="1"/>
    </row>
    <row r="3178" spans="7:14" x14ac:dyDescent="0.35">
      <c r="G3178" s="1"/>
      <c r="N3178" s="1"/>
    </row>
    <row r="3179" spans="7:14" x14ac:dyDescent="0.35">
      <c r="G3179" s="1"/>
      <c r="N3179" s="1"/>
    </row>
    <row r="3180" spans="7:14" x14ac:dyDescent="0.35">
      <c r="G3180" s="1"/>
      <c r="N3180" s="1"/>
    </row>
    <row r="3181" spans="7:14" x14ac:dyDescent="0.35">
      <c r="G3181" s="1"/>
      <c r="N3181" s="1"/>
    </row>
    <row r="3182" spans="7:14" x14ac:dyDescent="0.35">
      <c r="G3182" s="1"/>
      <c r="N3182" s="1"/>
    </row>
    <row r="3183" spans="7:14" x14ac:dyDescent="0.35">
      <c r="G3183" s="1"/>
      <c r="N3183" s="1"/>
    </row>
    <row r="3184" spans="7:14" x14ac:dyDescent="0.35">
      <c r="G3184" s="1"/>
      <c r="N3184" s="1"/>
    </row>
    <row r="3185" spans="7:14" x14ac:dyDescent="0.35">
      <c r="G3185" s="1"/>
      <c r="N3185" s="1"/>
    </row>
    <row r="3186" spans="7:14" x14ac:dyDescent="0.35">
      <c r="G3186" s="1"/>
      <c r="N3186" s="1"/>
    </row>
    <row r="3187" spans="7:14" x14ac:dyDescent="0.35">
      <c r="G3187" s="1"/>
      <c r="N3187" s="1"/>
    </row>
    <row r="3188" spans="7:14" x14ac:dyDescent="0.35">
      <c r="G3188" s="1"/>
      <c r="N3188" s="1"/>
    </row>
    <row r="3189" spans="7:14" x14ac:dyDescent="0.35">
      <c r="G3189" s="1"/>
      <c r="N3189" s="1"/>
    </row>
    <row r="3190" spans="7:14" x14ac:dyDescent="0.35">
      <c r="G3190" s="1"/>
      <c r="N3190" s="1"/>
    </row>
    <row r="3191" spans="7:14" x14ac:dyDescent="0.35">
      <c r="G3191" s="1"/>
      <c r="N3191" s="1"/>
    </row>
    <row r="3192" spans="7:14" x14ac:dyDescent="0.35">
      <c r="G3192" s="1"/>
      <c r="N3192" s="1"/>
    </row>
    <row r="3193" spans="7:14" x14ac:dyDescent="0.35">
      <c r="G3193" s="1"/>
      <c r="N3193" s="1"/>
    </row>
    <row r="3194" spans="7:14" x14ac:dyDescent="0.35">
      <c r="G3194" s="1"/>
      <c r="N3194" s="1"/>
    </row>
    <row r="3195" spans="7:14" x14ac:dyDescent="0.35">
      <c r="G3195" s="1"/>
      <c r="N3195" s="1"/>
    </row>
    <row r="3196" spans="7:14" x14ac:dyDescent="0.35">
      <c r="G3196" s="1"/>
      <c r="N3196" s="1"/>
    </row>
    <row r="3197" spans="7:14" x14ac:dyDescent="0.35">
      <c r="G3197" s="1"/>
      <c r="N3197" s="1"/>
    </row>
    <row r="3198" spans="7:14" x14ac:dyDescent="0.35">
      <c r="G3198" s="1"/>
      <c r="N3198" s="1"/>
    </row>
    <row r="3199" spans="7:14" x14ac:dyDescent="0.35">
      <c r="G3199" s="1"/>
      <c r="N3199" s="1"/>
    </row>
    <row r="3200" spans="7:14" x14ac:dyDescent="0.35">
      <c r="G3200" s="1"/>
      <c r="N3200" s="1"/>
    </row>
    <row r="3201" spans="7:14" x14ac:dyDescent="0.35">
      <c r="G3201" s="1"/>
      <c r="N3201" s="1"/>
    </row>
    <row r="3202" spans="7:14" x14ac:dyDescent="0.35">
      <c r="G3202" s="1"/>
      <c r="N3202" s="1"/>
    </row>
    <row r="3203" spans="7:14" x14ac:dyDescent="0.35">
      <c r="G3203" s="1"/>
      <c r="N3203" s="1"/>
    </row>
    <row r="3204" spans="7:14" x14ac:dyDescent="0.35">
      <c r="G3204" s="1"/>
      <c r="N3204" s="1"/>
    </row>
    <row r="3205" spans="7:14" x14ac:dyDescent="0.35">
      <c r="G3205" s="1"/>
      <c r="N3205" s="1"/>
    </row>
    <row r="3206" spans="7:14" x14ac:dyDescent="0.35">
      <c r="G3206" s="1"/>
      <c r="N3206" s="1"/>
    </row>
    <row r="3207" spans="7:14" x14ac:dyDescent="0.35">
      <c r="G3207" s="1"/>
      <c r="N3207" s="1"/>
    </row>
    <row r="3208" spans="7:14" x14ac:dyDescent="0.35">
      <c r="G3208" s="1"/>
      <c r="N3208" s="1"/>
    </row>
    <row r="3209" spans="7:14" x14ac:dyDescent="0.35">
      <c r="G3209" s="1"/>
      <c r="N3209" s="1"/>
    </row>
    <row r="3210" spans="7:14" x14ac:dyDescent="0.35">
      <c r="G3210" s="1"/>
      <c r="N3210" s="1"/>
    </row>
    <row r="3211" spans="7:14" x14ac:dyDescent="0.35">
      <c r="G3211" s="1"/>
      <c r="N3211" s="1"/>
    </row>
    <row r="3212" spans="7:14" x14ac:dyDescent="0.35">
      <c r="G3212" s="1"/>
      <c r="N3212" s="1"/>
    </row>
    <row r="3213" spans="7:14" x14ac:dyDescent="0.35">
      <c r="G3213" s="1"/>
      <c r="N3213" s="1"/>
    </row>
    <row r="3214" spans="7:14" x14ac:dyDescent="0.35">
      <c r="G3214" s="1"/>
      <c r="N3214" s="1"/>
    </row>
    <row r="3215" spans="7:14" x14ac:dyDescent="0.35">
      <c r="G3215" s="1"/>
      <c r="N3215" s="1"/>
    </row>
    <row r="3216" spans="7:14" x14ac:dyDescent="0.35">
      <c r="G3216" s="1"/>
      <c r="N3216" s="1"/>
    </row>
    <row r="3217" spans="7:14" x14ac:dyDescent="0.35">
      <c r="G3217" s="1"/>
      <c r="N3217" s="1"/>
    </row>
    <row r="3218" spans="7:14" x14ac:dyDescent="0.35">
      <c r="G3218" s="1"/>
      <c r="N3218" s="1"/>
    </row>
    <row r="3219" spans="7:14" x14ac:dyDescent="0.35">
      <c r="G3219" s="1"/>
      <c r="N3219" s="1"/>
    </row>
    <row r="3220" spans="7:14" x14ac:dyDescent="0.35">
      <c r="G3220" s="1"/>
      <c r="N3220" s="1"/>
    </row>
    <row r="3221" spans="7:14" x14ac:dyDescent="0.35">
      <c r="G3221" s="1"/>
      <c r="N3221" s="1"/>
    </row>
    <row r="3222" spans="7:14" x14ac:dyDescent="0.35">
      <c r="G3222" s="1"/>
      <c r="N3222" s="1"/>
    </row>
    <row r="3223" spans="7:14" x14ac:dyDescent="0.35">
      <c r="G3223" s="1"/>
      <c r="N3223" s="1"/>
    </row>
    <row r="3224" spans="7:14" x14ac:dyDescent="0.35">
      <c r="G3224" s="1"/>
      <c r="N3224" s="1"/>
    </row>
    <row r="3225" spans="7:14" x14ac:dyDescent="0.35">
      <c r="G3225" s="1"/>
      <c r="N3225" s="1"/>
    </row>
    <row r="3226" spans="7:14" x14ac:dyDescent="0.35">
      <c r="G3226" s="1"/>
      <c r="N3226" s="1"/>
    </row>
    <row r="3227" spans="7:14" x14ac:dyDescent="0.35">
      <c r="G3227" s="1"/>
      <c r="N3227" s="1"/>
    </row>
    <row r="3228" spans="7:14" x14ac:dyDescent="0.35">
      <c r="G3228" s="1"/>
      <c r="N3228" s="1"/>
    </row>
    <row r="3229" spans="7:14" x14ac:dyDescent="0.35">
      <c r="G3229" s="1"/>
      <c r="N3229" s="1"/>
    </row>
    <row r="3230" spans="7:14" x14ac:dyDescent="0.35">
      <c r="G3230" s="1"/>
      <c r="N3230" s="1"/>
    </row>
    <row r="3231" spans="7:14" x14ac:dyDescent="0.35">
      <c r="G3231" s="1"/>
      <c r="N3231" s="1"/>
    </row>
    <row r="3232" spans="7:14" x14ac:dyDescent="0.35">
      <c r="G3232" s="1"/>
      <c r="N3232" s="1"/>
    </row>
    <row r="3233" spans="7:14" x14ac:dyDescent="0.35">
      <c r="G3233" s="1"/>
      <c r="N3233" s="1"/>
    </row>
    <row r="3234" spans="7:14" x14ac:dyDescent="0.35">
      <c r="G3234" s="1"/>
      <c r="N3234" s="1"/>
    </row>
    <row r="3235" spans="7:14" x14ac:dyDescent="0.35">
      <c r="G3235" s="1"/>
      <c r="N3235" s="1"/>
    </row>
    <row r="3236" spans="7:14" x14ac:dyDescent="0.35">
      <c r="G3236" s="1"/>
      <c r="N3236" s="1"/>
    </row>
    <row r="3237" spans="7:14" x14ac:dyDescent="0.35">
      <c r="G3237" s="1"/>
      <c r="N3237" s="1"/>
    </row>
    <row r="3238" spans="7:14" x14ac:dyDescent="0.35">
      <c r="G3238" s="1"/>
      <c r="N3238" s="1"/>
    </row>
    <row r="3239" spans="7:14" x14ac:dyDescent="0.35">
      <c r="G3239" s="1"/>
      <c r="N3239" s="1"/>
    </row>
    <row r="3240" spans="7:14" x14ac:dyDescent="0.35">
      <c r="G3240" s="1"/>
      <c r="N3240" s="1"/>
    </row>
    <row r="3241" spans="7:14" x14ac:dyDescent="0.35">
      <c r="G3241" s="1"/>
      <c r="N3241" s="1"/>
    </row>
    <row r="3242" spans="7:14" x14ac:dyDescent="0.35">
      <c r="G3242" s="1"/>
      <c r="N3242" s="1"/>
    </row>
    <row r="3243" spans="7:14" x14ac:dyDescent="0.35">
      <c r="G3243" s="1"/>
      <c r="N3243" s="1"/>
    </row>
    <row r="3244" spans="7:14" x14ac:dyDescent="0.35">
      <c r="G3244" s="1"/>
      <c r="N3244" s="1"/>
    </row>
    <row r="3245" spans="7:14" x14ac:dyDescent="0.35">
      <c r="G3245" s="1"/>
      <c r="N3245" s="1"/>
    </row>
    <row r="3246" spans="7:14" x14ac:dyDescent="0.35">
      <c r="G3246" s="1"/>
      <c r="N3246" s="1"/>
    </row>
    <row r="3247" spans="7:14" x14ac:dyDescent="0.35">
      <c r="G3247" s="1"/>
      <c r="N3247" s="1"/>
    </row>
    <row r="3248" spans="7:14" x14ac:dyDescent="0.35">
      <c r="G3248" s="1"/>
      <c r="N3248" s="1"/>
    </row>
    <row r="3249" spans="7:14" x14ac:dyDescent="0.35">
      <c r="G3249" s="1"/>
      <c r="N3249" s="1"/>
    </row>
    <row r="3250" spans="7:14" x14ac:dyDescent="0.35">
      <c r="G3250" s="1"/>
      <c r="N3250" s="1"/>
    </row>
    <row r="3251" spans="7:14" x14ac:dyDescent="0.35">
      <c r="G3251" s="1"/>
      <c r="N3251" s="1"/>
    </row>
    <row r="3252" spans="7:14" x14ac:dyDescent="0.35">
      <c r="G3252" s="1"/>
      <c r="N3252" s="1"/>
    </row>
    <row r="3253" spans="7:14" x14ac:dyDescent="0.35">
      <c r="G3253" s="1"/>
      <c r="N3253" s="1"/>
    </row>
    <row r="3254" spans="7:14" x14ac:dyDescent="0.35">
      <c r="G3254" s="1"/>
      <c r="N3254" s="1"/>
    </row>
    <row r="3255" spans="7:14" x14ac:dyDescent="0.35">
      <c r="G3255" s="1"/>
      <c r="N3255" s="1"/>
    </row>
    <row r="3256" spans="7:14" x14ac:dyDescent="0.35">
      <c r="G3256" s="1"/>
      <c r="N3256" s="1"/>
    </row>
    <row r="3257" spans="7:14" x14ac:dyDescent="0.35">
      <c r="G3257" s="1"/>
      <c r="N3257" s="1"/>
    </row>
    <row r="3258" spans="7:14" x14ac:dyDescent="0.35">
      <c r="G3258" s="1"/>
      <c r="N3258" s="1"/>
    </row>
    <row r="3259" spans="7:14" x14ac:dyDescent="0.35">
      <c r="G3259" s="1"/>
      <c r="N3259" s="1"/>
    </row>
    <row r="3260" spans="7:14" x14ac:dyDescent="0.35">
      <c r="G3260" s="1"/>
      <c r="N3260" s="1"/>
    </row>
    <row r="3261" spans="7:14" x14ac:dyDescent="0.35">
      <c r="G3261" s="1"/>
      <c r="N3261" s="1"/>
    </row>
    <row r="3262" spans="7:14" x14ac:dyDescent="0.35">
      <c r="G3262" s="1"/>
      <c r="N3262" s="1"/>
    </row>
    <row r="3263" spans="7:14" x14ac:dyDescent="0.35">
      <c r="G3263" s="1"/>
      <c r="N3263" s="1"/>
    </row>
    <row r="3264" spans="7:14" x14ac:dyDescent="0.35">
      <c r="G3264" s="1"/>
      <c r="N3264" s="1"/>
    </row>
    <row r="3265" spans="7:14" x14ac:dyDescent="0.35">
      <c r="G3265" s="1"/>
      <c r="N3265" s="1"/>
    </row>
    <row r="3266" spans="7:14" x14ac:dyDescent="0.35">
      <c r="G3266" s="1"/>
      <c r="N3266" s="1"/>
    </row>
    <row r="3267" spans="7:14" x14ac:dyDescent="0.35">
      <c r="G3267" s="1"/>
      <c r="N3267" s="1"/>
    </row>
    <row r="3268" spans="7:14" x14ac:dyDescent="0.35">
      <c r="G3268" s="1"/>
      <c r="N3268" s="1"/>
    </row>
    <row r="3269" spans="7:14" x14ac:dyDescent="0.35">
      <c r="G3269" s="1"/>
      <c r="N3269" s="1"/>
    </row>
    <row r="3270" spans="7:14" x14ac:dyDescent="0.35">
      <c r="G3270" s="1"/>
      <c r="N3270" s="1"/>
    </row>
    <row r="3271" spans="7:14" x14ac:dyDescent="0.35">
      <c r="G3271" s="1"/>
      <c r="N3271" s="1"/>
    </row>
    <row r="3272" spans="7:14" x14ac:dyDescent="0.35">
      <c r="G3272" s="1"/>
      <c r="N3272" s="1"/>
    </row>
    <row r="3273" spans="7:14" x14ac:dyDescent="0.35">
      <c r="G3273" s="1"/>
      <c r="N3273" s="1"/>
    </row>
    <row r="3274" spans="7:14" x14ac:dyDescent="0.35">
      <c r="G3274" s="1"/>
      <c r="N3274" s="1"/>
    </row>
    <row r="3275" spans="7:14" x14ac:dyDescent="0.35">
      <c r="G3275" s="1"/>
      <c r="N3275" s="1"/>
    </row>
    <row r="3276" spans="7:14" x14ac:dyDescent="0.35">
      <c r="G3276" s="1"/>
      <c r="N3276" s="1"/>
    </row>
    <row r="3277" spans="7:14" x14ac:dyDescent="0.35">
      <c r="G3277" s="1"/>
      <c r="N3277" s="1"/>
    </row>
    <row r="3278" spans="7:14" x14ac:dyDescent="0.35">
      <c r="G3278" s="1"/>
      <c r="N3278" s="1"/>
    </row>
    <row r="3279" spans="7:14" x14ac:dyDescent="0.35">
      <c r="G3279" s="1"/>
      <c r="N3279" s="1"/>
    </row>
    <row r="3280" spans="7:14" x14ac:dyDescent="0.35">
      <c r="G3280" s="1"/>
      <c r="N3280" s="1"/>
    </row>
    <row r="3281" spans="7:14" x14ac:dyDescent="0.35">
      <c r="G3281" s="1"/>
      <c r="N3281" s="1"/>
    </row>
    <row r="3282" spans="7:14" x14ac:dyDescent="0.35">
      <c r="G3282" s="1"/>
      <c r="N3282" s="1"/>
    </row>
    <row r="3283" spans="7:14" x14ac:dyDescent="0.35">
      <c r="G3283" s="1"/>
      <c r="N3283" s="1"/>
    </row>
    <row r="3284" spans="7:14" x14ac:dyDescent="0.35">
      <c r="G3284" s="1"/>
      <c r="N3284" s="1"/>
    </row>
    <row r="3285" spans="7:14" x14ac:dyDescent="0.35">
      <c r="G3285" s="1"/>
      <c r="N3285" s="1"/>
    </row>
    <row r="3286" spans="7:14" x14ac:dyDescent="0.35">
      <c r="G3286" s="1"/>
      <c r="N3286" s="1"/>
    </row>
    <row r="3287" spans="7:14" x14ac:dyDescent="0.35">
      <c r="G3287" s="1"/>
      <c r="N3287" s="1"/>
    </row>
    <row r="3288" spans="7:14" x14ac:dyDescent="0.35">
      <c r="G3288" s="1"/>
      <c r="N3288" s="1"/>
    </row>
    <row r="3289" spans="7:14" x14ac:dyDescent="0.35">
      <c r="G3289" s="1"/>
      <c r="N3289" s="1"/>
    </row>
    <row r="3290" spans="7:14" x14ac:dyDescent="0.35">
      <c r="G3290" s="1"/>
      <c r="N3290" s="1"/>
    </row>
    <row r="3291" spans="7:14" x14ac:dyDescent="0.35">
      <c r="G3291" s="1"/>
      <c r="N3291" s="1"/>
    </row>
    <row r="3292" spans="7:14" x14ac:dyDescent="0.35">
      <c r="G3292" s="1"/>
      <c r="N3292" s="1"/>
    </row>
    <row r="3293" spans="7:14" x14ac:dyDescent="0.35">
      <c r="G3293" s="1"/>
      <c r="N3293" s="1"/>
    </row>
    <row r="3294" spans="7:14" x14ac:dyDescent="0.35">
      <c r="G3294" s="1"/>
      <c r="N3294" s="1"/>
    </row>
    <row r="3295" spans="7:14" x14ac:dyDescent="0.35">
      <c r="G3295" s="1"/>
      <c r="N3295" s="1"/>
    </row>
    <row r="3296" spans="7:14" x14ac:dyDescent="0.35">
      <c r="G3296" s="1"/>
      <c r="N3296" s="1"/>
    </row>
    <row r="3297" spans="7:14" x14ac:dyDescent="0.35">
      <c r="G3297" s="1"/>
      <c r="N3297" s="1"/>
    </row>
    <row r="3298" spans="7:14" x14ac:dyDescent="0.35">
      <c r="G3298" s="1"/>
      <c r="N3298" s="1"/>
    </row>
    <row r="3299" spans="7:14" x14ac:dyDescent="0.35">
      <c r="G3299" s="1"/>
      <c r="N3299" s="1"/>
    </row>
    <row r="3300" spans="7:14" x14ac:dyDescent="0.35">
      <c r="G3300" s="1"/>
      <c r="N3300" s="1"/>
    </row>
    <row r="3301" spans="7:14" x14ac:dyDescent="0.35">
      <c r="G3301" s="1"/>
      <c r="N3301" s="1"/>
    </row>
    <row r="3302" spans="7:14" x14ac:dyDescent="0.35">
      <c r="G3302" s="1"/>
      <c r="N3302" s="1"/>
    </row>
    <row r="3303" spans="7:14" x14ac:dyDescent="0.35">
      <c r="G3303" s="1"/>
      <c r="N3303" s="1"/>
    </row>
    <row r="3304" spans="7:14" x14ac:dyDescent="0.35">
      <c r="G3304" s="1"/>
      <c r="N3304" s="1"/>
    </row>
    <row r="3305" spans="7:14" x14ac:dyDescent="0.35">
      <c r="G3305" s="1"/>
      <c r="N3305" s="1"/>
    </row>
    <row r="3306" spans="7:14" x14ac:dyDescent="0.35">
      <c r="G3306" s="1"/>
      <c r="N3306" s="1"/>
    </row>
    <row r="3307" spans="7:14" x14ac:dyDescent="0.35">
      <c r="G3307" s="1"/>
      <c r="N3307" s="1"/>
    </row>
    <row r="3308" spans="7:14" x14ac:dyDescent="0.35">
      <c r="G3308" s="1"/>
      <c r="N3308" s="1"/>
    </row>
    <row r="3309" spans="7:14" x14ac:dyDescent="0.35">
      <c r="G3309" s="1"/>
      <c r="N3309" s="1"/>
    </row>
    <row r="3310" spans="7:14" x14ac:dyDescent="0.35">
      <c r="G3310" s="1"/>
      <c r="N3310" s="1"/>
    </row>
    <row r="3311" spans="7:14" x14ac:dyDescent="0.35">
      <c r="G3311" s="1"/>
      <c r="N3311" s="1"/>
    </row>
    <row r="3312" spans="7:14" x14ac:dyDescent="0.35">
      <c r="G3312" s="1"/>
      <c r="N3312" s="1"/>
    </row>
    <row r="3313" spans="7:14" x14ac:dyDescent="0.35">
      <c r="G3313" s="1"/>
      <c r="N3313" s="1"/>
    </row>
    <row r="3314" spans="7:14" x14ac:dyDescent="0.35">
      <c r="G3314" s="1"/>
      <c r="N3314" s="1"/>
    </row>
    <row r="3315" spans="7:14" x14ac:dyDescent="0.35">
      <c r="G3315" s="1"/>
      <c r="N3315" s="1"/>
    </row>
    <row r="3316" spans="7:14" x14ac:dyDescent="0.35">
      <c r="G3316" s="1"/>
      <c r="N3316" s="1"/>
    </row>
    <row r="3317" spans="7:14" x14ac:dyDescent="0.35">
      <c r="G3317" s="1"/>
      <c r="N3317" s="1"/>
    </row>
    <row r="3318" spans="7:14" x14ac:dyDescent="0.35">
      <c r="G3318" s="1"/>
      <c r="N3318" s="1"/>
    </row>
    <row r="3319" spans="7:14" x14ac:dyDescent="0.35">
      <c r="G3319" s="1"/>
      <c r="N3319" s="1"/>
    </row>
    <row r="3320" spans="7:14" x14ac:dyDescent="0.35">
      <c r="G3320" s="1"/>
      <c r="N3320" s="1"/>
    </row>
    <row r="3321" spans="7:14" x14ac:dyDescent="0.35">
      <c r="G3321" s="1"/>
      <c r="N3321" s="1"/>
    </row>
    <row r="3322" spans="7:14" x14ac:dyDescent="0.35">
      <c r="G3322" s="1"/>
      <c r="N3322" s="1"/>
    </row>
    <row r="3323" spans="7:14" x14ac:dyDescent="0.35">
      <c r="G3323" s="1"/>
      <c r="N3323" s="1"/>
    </row>
    <row r="3324" spans="7:14" x14ac:dyDescent="0.35">
      <c r="G3324" s="1"/>
      <c r="N3324" s="1"/>
    </row>
    <row r="3325" spans="7:14" x14ac:dyDescent="0.35">
      <c r="G3325" s="1"/>
      <c r="N3325" s="1"/>
    </row>
    <row r="3326" spans="7:14" x14ac:dyDescent="0.35">
      <c r="G3326" s="1"/>
      <c r="N3326" s="1"/>
    </row>
    <row r="3327" spans="7:14" x14ac:dyDescent="0.35">
      <c r="G3327" s="1"/>
      <c r="N3327" s="1"/>
    </row>
    <row r="3328" spans="7:14" x14ac:dyDescent="0.35">
      <c r="G3328" s="1"/>
      <c r="N3328" s="1"/>
    </row>
    <row r="3329" spans="7:14" x14ac:dyDescent="0.35">
      <c r="G3329" s="1"/>
      <c r="N3329" s="1"/>
    </row>
    <row r="3330" spans="7:14" x14ac:dyDescent="0.35">
      <c r="G3330" s="1"/>
      <c r="N3330" s="1"/>
    </row>
    <row r="3331" spans="7:14" x14ac:dyDescent="0.35">
      <c r="G3331" s="1"/>
      <c r="N3331" s="1"/>
    </row>
    <row r="3332" spans="7:14" x14ac:dyDescent="0.35">
      <c r="G3332" s="1"/>
      <c r="N3332" s="1"/>
    </row>
    <row r="3333" spans="7:14" x14ac:dyDescent="0.35">
      <c r="G3333" s="1"/>
      <c r="N3333" s="1"/>
    </row>
    <row r="3334" spans="7:14" x14ac:dyDescent="0.35">
      <c r="G3334" s="1"/>
      <c r="N3334" s="1"/>
    </row>
    <row r="3335" spans="7:14" x14ac:dyDescent="0.35">
      <c r="G3335" s="1"/>
      <c r="N3335" s="1"/>
    </row>
    <row r="3336" spans="7:14" x14ac:dyDescent="0.35">
      <c r="G3336" s="1"/>
      <c r="N3336" s="1"/>
    </row>
    <row r="3337" spans="7:14" x14ac:dyDescent="0.35">
      <c r="G3337" s="1"/>
      <c r="N3337" s="1"/>
    </row>
    <row r="3338" spans="7:14" x14ac:dyDescent="0.35">
      <c r="G3338" s="1"/>
      <c r="N3338" s="1"/>
    </row>
    <row r="3339" spans="7:14" x14ac:dyDescent="0.35">
      <c r="G3339" s="1"/>
      <c r="N3339" s="1"/>
    </row>
    <row r="3340" spans="7:14" x14ac:dyDescent="0.35">
      <c r="G3340" s="1"/>
      <c r="N3340" s="1"/>
    </row>
    <row r="3341" spans="7:14" x14ac:dyDescent="0.35">
      <c r="G3341" s="1"/>
      <c r="N3341" s="1"/>
    </row>
    <row r="3342" spans="7:14" x14ac:dyDescent="0.35">
      <c r="G3342" s="1"/>
      <c r="N3342" s="1"/>
    </row>
    <row r="3343" spans="7:14" x14ac:dyDescent="0.35">
      <c r="G3343" s="1"/>
      <c r="N3343" s="1"/>
    </row>
    <row r="3344" spans="7:14" x14ac:dyDescent="0.35">
      <c r="G3344" s="1"/>
      <c r="N3344" s="1"/>
    </row>
    <row r="3345" spans="7:14" x14ac:dyDescent="0.35">
      <c r="G3345" s="1"/>
      <c r="N3345" s="1"/>
    </row>
    <row r="3346" spans="7:14" x14ac:dyDescent="0.35">
      <c r="G3346" s="1"/>
      <c r="N3346" s="1"/>
    </row>
    <row r="3347" spans="7:14" x14ac:dyDescent="0.35">
      <c r="G3347" s="1"/>
      <c r="N3347" s="1"/>
    </row>
    <row r="3348" spans="7:14" x14ac:dyDescent="0.35">
      <c r="G3348" s="1"/>
      <c r="N3348" s="1"/>
    </row>
    <row r="3349" spans="7:14" x14ac:dyDescent="0.35">
      <c r="G3349" s="1"/>
      <c r="N3349" s="1"/>
    </row>
    <row r="3350" spans="7:14" x14ac:dyDescent="0.35">
      <c r="G3350" s="1"/>
      <c r="N3350" s="1"/>
    </row>
    <row r="3351" spans="7:14" x14ac:dyDescent="0.35">
      <c r="G3351" s="1"/>
      <c r="N3351" s="1"/>
    </row>
    <row r="3352" spans="7:14" x14ac:dyDescent="0.35">
      <c r="G3352" s="1"/>
      <c r="N3352" s="1"/>
    </row>
    <row r="3353" spans="7:14" x14ac:dyDescent="0.35">
      <c r="G3353" s="1"/>
      <c r="N3353" s="1"/>
    </row>
    <row r="3354" spans="7:14" x14ac:dyDescent="0.35">
      <c r="G3354" s="1"/>
      <c r="N3354" s="1"/>
    </row>
    <row r="3355" spans="7:14" x14ac:dyDescent="0.35">
      <c r="G3355" s="1"/>
      <c r="N3355" s="1"/>
    </row>
    <row r="3356" spans="7:14" x14ac:dyDescent="0.35">
      <c r="G3356" s="1"/>
      <c r="N3356" s="1"/>
    </row>
    <row r="3357" spans="7:14" x14ac:dyDescent="0.35">
      <c r="G3357" s="1"/>
      <c r="N3357" s="1"/>
    </row>
    <row r="3358" spans="7:14" x14ac:dyDescent="0.35">
      <c r="G3358" s="1"/>
      <c r="N3358" s="1"/>
    </row>
    <row r="3359" spans="7:14" x14ac:dyDescent="0.35">
      <c r="G3359" s="1"/>
      <c r="N3359" s="1"/>
    </row>
    <row r="3360" spans="7:14" x14ac:dyDescent="0.35">
      <c r="G3360" s="1"/>
      <c r="N3360" s="1"/>
    </row>
    <row r="3361" spans="7:14" x14ac:dyDescent="0.35">
      <c r="G3361" s="1"/>
      <c r="N3361" s="1"/>
    </row>
    <row r="3362" spans="7:14" x14ac:dyDescent="0.35">
      <c r="G3362" s="1"/>
      <c r="N3362" s="1"/>
    </row>
    <row r="3363" spans="7:14" x14ac:dyDescent="0.35">
      <c r="G3363" s="1"/>
      <c r="N3363" s="1"/>
    </row>
    <row r="3364" spans="7:14" x14ac:dyDescent="0.35">
      <c r="G3364" s="1"/>
      <c r="N3364" s="1"/>
    </row>
    <row r="3365" spans="7:14" x14ac:dyDescent="0.35">
      <c r="G3365" s="1"/>
      <c r="N3365" s="1"/>
    </row>
    <row r="3366" spans="7:14" x14ac:dyDescent="0.35">
      <c r="G3366" s="1"/>
      <c r="N3366" s="1"/>
    </row>
    <row r="3367" spans="7:14" x14ac:dyDescent="0.35">
      <c r="G3367" s="1"/>
      <c r="N3367" s="1"/>
    </row>
    <row r="3368" spans="7:14" x14ac:dyDescent="0.35">
      <c r="G3368" s="1"/>
      <c r="N3368" s="1"/>
    </row>
    <row r="3369" spans="7:14" x14ac:dyDescent="0.35">
      <c r="G3369" s="1"/>
      <c r="N3369" s="1"/>
    </row>
    <row r="3370" spans="7:14" x14ac:dyDescent="0.35">
      <c r="G3370" s="1"/>
      <c r="N3370" s="1"/>
    </row>
    <row r="3371" spans="7:14" x14ac:dyDescent="0.35">
      <c r="G3371" s="1"/>
      <c r="N3371" s="1"/>
    </row>
    <row r="3372" spans="7:14" x14ac:dyDescent="0.35">
      <c r="G3372" s="1"/>
      <c r="N3372" s="1"/>
    </row>
    <row r="3373" spans="7:14" x14ac:dyDescent="0.35">
      <c r="G3373" s="1"/>
      <c r="N3373" s="1"/>
    </row>
    <row r="3374" spans="7:14" x14ac:dyDescent="0.35">
      <c r="G3374" s="1"/>
      <c r="N3374" s="1"/>
    </row>
    <row r="3375" spans="7:14" x14ac:dyDescent="0.35">
      <c r="G3375" s="1"/>
      <c r="N3375" s="1"/>
    </row>
    <row r="3376" spans="7:14" x14ac:dyDescent="0.35">
      <c r="G3376" s="1"/>
      <c r="N3376" s="1"/>
    </row>
    <row r="3377" spans="7:14" x14ac:dyDescent="0.35">
      <c r="G3377" s="1"/>
      <c r="N3377" s="1"/>
    </row>
    <row r="3378" spans="7:14" x14ac:dyDescent="0.35">
      <c r="G3378" s="1"/>
      <c r="N3378" s="1"/>
    </row>
    <row r="3379" spans="7:14" x14ac:dyDescent="0.35">
      <c r="G3379" s="1"/>
      <c r="N3379" s="1"/>
    </row>
    <row r="3380" spans="7:14" x14ac:dyDescent="0.35">
      <c r="G3380" s="1"/>
      <c r="N3380" s="1"/>
    </row>
    <row r="3381" spans="7:14" x14ac:dyDescent="0.35">
      <c r="G3381" s="1"/>
      <c r="N3381" s="1"/>
    </row>
    <row r="3382" spans="7:14" x14ac:dyDescent="0.35">
      <c r="G3382" s="1"/>
      <c r="N3382" s="1"/>
    </row>
    <row r="3383" spans="7:14" x14ac:dyDescent="0.35">
      <c r="G3383" s="1"/>
      <c r="N3383" s="1"/>
    </row>
    <row r="3384" spans="7:14" x14ac:dyDescent="0.35">
      <c r="G3384" s="1"/>
      <c r="N3384" s="1"/>
    </row>
    <row r="3385" spans="7:14" x14ac:dyDescent="0.35">
      <c r="G3385" s="1"/>
      <c r="N3385" s="1"/>
    </row>
    <row r="3386" spans="7:14" x14ac:dyDescent="0.35">
      <c r="G3386" s="1"/>
      <c r="N3386" s="1"/>
    </row>
    <row r="3387" spans="7:14" x14ac:dyDescent="0.35">
      <c r="G3387" s="1"/>
      <c r="N3387" s="1"/>
    </row>
    <row r="3388" spans="7:14" x14ac:dyDescent="0.35">
      <c r="G3388" s="1"/>
      <c r="N3388" s="1"/>
    </row>
    <row r="3389" spans="7:14" x14ac:dyDescent="0.35">
      <c r="G3389" s="1"/>
      <c r="N3389" s="1"/>
    </row>
    <row r="3390" spans="7:14" x14ac:dyDescent="0.35">
      <c r="G3390" s="1"/>
      <c r="N3390" s="1"/>
    </row>
    <row r="3391" spans="7:14" x14ac:dyDescent="0.35">
      <c r="G3391" s="1"/>
      <c r="N3391" s="1"/>
    </row>
    <row r="3392" spans="7:14" x14ac:dyDescent="0.35">
      <c r="G3392" s="1"/>
      <c r="N3392" s="1"/>
    </row>
    <row r="3393" spans="7:14" x14ac:dyDescent="0.35">
      <c r="G3393" s="1"/>
      <c r="N3393" s="1"/>
    </row>
    <row r="3394" spans="7:14" x14ac:dyDescent="0.35">
      <c r="G3394" s="1"/>
      <c r="N3394" s="1"/>
    </row>
    <row r="3395" spans="7:14" x14ac:dyDescent="0.35">
      <c r="G3395" s="1"/>
      <c r="N3395" s="1"/>
    </row>
    <row r="3396" spans="7:14" x14ac:dyDescent="0.35">
      <c r="G3396" s="1"/>
      <c r="N3396" s="1"/>
    </row>
    <row r="3397" spans="7:14" x14ac:dyDescent="0.35">
      <c r="G3397" s="1"/>
      <c r="N3397" s="1"/>
    </row>
    <row r="3398" spans="7:14" x14ac:dyDescent="0.35">
      <c r="G3398" s="1"/>
      <c r="N3398" s="1"/>
    </row>
    <row r="3399" spans="7:14" x14ac:dyDescent="0.35">
      <c r="G3399" s="1"/>
      <c r="N3399" s="1"/>
    </row>
    <row r="3400" spans="7:14" x14ac:dyDescent="0.35">
      <c r="G3400" s="1"/>
      <c r="N3400" s="1"/>
    </row>
    <row r="3401" spans="7:14" x14ac:dyDescent="0.35">
      <c r="G3401" s="1"/>
      <c r="N3401" s="1"/>
    </row>
    <row r="3402" spans="7:14" x14ac:dyDescent="0.35">
      <c r="G3402" s="1"/>
      <c r="N3402" s="1"/>
    </row>
    <row r="3403" spans="7:14" x14ac:dyDescent="0.35">
      <c r="G3403" s="1"/>
      <c r="N3403" s="1"/>
    </row>
    <row r="3404" spans="7:14" x14ac:dyDescent="0.35">
      <c r="G3404" s="1"/>
      <c r="N3404" s="1"/>
    </row>
    <row r="3405" spans="7:14" x14ac:dyDescent="0.35">
      <c r="G3405" s="1"/>
      <c r="N3405" s="1"/>
    </row>
    <row r="3406" spans="7:14" x14ac:dyDescent="0.35">
      <c r="G3406" s="1"/>
      <c r="N3406" s="1"/>
    </row>
    <row r="3407" spans="7:14" x14ac:dyDescent="0.35">
      <c r="G3407" s="1"/>
      <c r="N3407" s="1"/>
    </row>
    <row r="3408" spans="7:14" x14ac:dyDescent="0.35">
      <c r="G3408" s="1"/>
      <c r="N3408" s="1"/>
    </row>
    <row r="3409" spans="7:14" x14ac:dyDescent="0.35">
      <c r="G3409" s="1"/>
      <c r="N3409" s="1"/>
    </row>
    <row r="3410" spans="7:14" x14ac:dyDescent="0.35">
      <c r="G3410" s="1"/>
      <c r="N3410" s="1"/>
    </row>
    <row r="3411" spans="7:14" x14ac:dyDescent="0.35">
      <c r="G3411" s="1"/>
      <c r="N3411" s="1"/>
    </row>
    <row r="3412" spans="7:14" x14ac:dyDescent="0.35">
      <c r="G3412" s="1"/>
      <c r="N3412" s="1"/>
    </row>
    <row r="3413" spans="7:14" x14ac:dyDescent="0.35">
      <c r="G3413" s="1"/>
      <c r="N3413" s="1"/>
    </row>
    <row r="3414" spans="7:14" x14ac:dyDescent="0.35">
      <c r="G3414" s="1"/>
      <c r="N3414" s="1"/>
    </row>
    <row r="3415" spans="7:14" x14ac:dyDescent="0.35">
      <c r="G3415" s="1"/>
      <c r="N3415" s="1"/>
    </row>
    <row r="3416" spans="7:14" x14ac:dyDescent="0.35">
      <c r="G3416" s="1"/>
      <c r="N3416" s="1"/>
    </row>
    <row r="3417" spans="7:14" x14ac:dyDescent="0.35">
      <c r="G3417" s="1"/>
      <c r="N3417" s="1"/>
    </row>
    <row r="3418" spans="7:14" x14ac:dyDescent="0.35">
      <c r="G3418" s="1"/>
      <c r="N3418" s="1"/>
    </row>
    <row r="3419" spans="7:14" x14ac:dyDescent="0.35">
      <c r="G3419" s="1"/>
      <c r="N3419" s="1"/>
    </row>
    <row r="3420" spans="7:14" x14ac:dyDescent="0.35">
      <c r="G3420" s="1"/>
      <c r="N3420" s="1"/>
    </row>
    <row r="3421" spans="7:14" x14ac:dyDescent="0.35">
      <c r="G3421" s="1"/>
      <c r="N3421" s="1"/>
    </row>
    <row r="3422" spans="7:14" x14ac:dyDescent="0.35">
      <c r="G3422" s="1"/>
      <c r="N3422" s="1"/>
    </row>
    <row r="3423" spans="7:14" x14ac:dyDescent="0.35">
      <c r="G3423" s="1"/>
      <c r="N3423" s="1"/>
    </row>
    <row r="3424" spans="7:14" x14ac:dyDescent="0.35">
      <c r="G3424" s="1"/>
      <c r="N3424" s="1"/>
    </row>
    <row r="3425" spans="7:14" x14ac:dyDescent="0.35">
      <c r="G3425" s="1"/>
      <c r="N3425" s="1"/>
    </row>
    <row r="3426" spans="7:14" x14ac:dyDescent="0.35">
      <c r="G3426" s="1"/>
      <c r="N3426" s="1"/>
    </row>
    <row r="3427" spans="7:14" x14ac:dyDescent="0.35">
      <c r="G3427" s="1"/>
      <c r="N3427" s="1"/>
    </row>
    <row r="3428" spans="7:14" x14ac:dyDescent="0.35">
      <c r="G3428" s="1"/>
      <c r="N3428" s="1"/>
    </row>
    <row r="3429" spans="7:14" x14ac:dyDescent="0.35">
      <c r="G3429" s="1"/>
      <c r="N3429" s="1"/>
    </row>
    <row r="3430" spans="7:14" x14ac:dyDescent="0.35">
      <c r="G3430" s="1"/>
      <c r="N3430" s="1"/>
    </row>
    <row r="3431" spans="7:14" x14ac:dyDescent="0.35">
      <c r="G3431" s="1"/>
      <c r="N3431" s="1"/>
    </row>
    <row r="3432" spans="7:14" x14ac:dyDescent="0.35">
      <c r="G3432" s="1"/>
      <c r="N3432" s="1"/>
    </row>
    <row r="3433" spans="7:14" x14ac:dyDescent="0.35">
      <c r="G3433" s="1"/>
      <c r="N3433" s="1"/>
    </row>
    <row r="3434" spans="7:14" x14ac:dyDescent="0.35">
      <c r="G3434" s="1"/>
      <c r="N3434" s="1"/>
    </row>
    <row r="3435" spans="7:14" x14ac:dyDescent="0.35">
      <c r="G3435" s="1"/>
      <c r="N3435" s="1"/>
    </row>
    <row r="3436" spans="7:14" x14ac:dyDescent="0.35">
      <c r="G3436" s="1"/>
      <c r="N3436" s="1"/>
    </row>
    <row r="3437" spans="7:14" x14ac:dyDescent="0.35">
      <c r="G3437" s="1"/>
      <c r="N3437" s="1"/>
    </row>
    <row r="3438" spans="7:14" x14ac:dyDescent="0.35">
      <c r="G3438" s="1"/>
      <c r="N3438" s="1"/>
    </row>
    <row r="3439" spans="7:14" x14ac:dyDescent="0.35">
      <c r="G3439" s="1"/>
      <c r="N3439" s="1"/>
    </row>
    <row r="3440" spans="7:14" x14ac:dyDescent="0.35">
      <c r="G3440" s="1"/>
      <c r="N3440" s="1"/>
    </row>
    <row r="3441" spans="7:14" x14ac:dyDescent="0.35">
      <c r="G3441" s="1"/>
      <c r="N3441" s="1"/>
    </row>
    <row r="3442" spans="7:14" x14ac:dyDescent="0.35">
      <c r="G3442" s="1"/>
      <c r="N3442" s="1"/>
    </row>
    <row r="3443" spans="7:14" x14ac:dyDescent="0.35">
      <c r="G3443" s="1"/>
      <c r="N3443" s="1"/>
    </row>
    <row r="3444" spans="7:14" x14ac:dyDescent="0.35">
      <c r="G3444" s="1"/>
      <c r="N3444" s="1"/>
    </row>
    <row r="3445" spans="7:14" x14ac:dyDescent="0.35">
      <c r="G3445" s="1"/>
      <c r="N3445" s="1"/>
    </row>
    <row r="3446" spans="7:14" x14ac:dyDescent="0.35">
      <c r="G3446" s="1"/>
      <c r="N3446" s="1"/>
    </row>
    <row r="3447" spans="7:14" x14ac:dyDescent="0.35">
      <c r="G3447" s="1"/>
      <c r="N3447" s="1"/>
    </row>
    <row r="3448" spans="7:14" x14ac:dyDescent="0.35">
      <c r="G3448" s="1"/>
      <c r="N3448" s="1"/>
    </row>
    <row r="3449" spans="7:14" x14ac:dyDescent="0.35">
      <c r="G3449" s="1"/>
      <c r="N3449" s="1"/>
    </row>
    <row r="3450" spans="7:14" x14ac:dyDescent="0.35">
      <c r="G3450" s="1"/>
      <c r="N3450" s="1"/>
    </row>
    <row r="3451" spans="7:14" x14ac:dyDescent="0.35">
      <c r="G3451" s="1"/>
      <c r="N3451" s="1"/>
    </row>
    <row r="3452" spans="7:14" x14ac:dyDescent="0.35">
      <c r="G3452" s="1"/>
      <c r="N3452" s="1"/>
    </row>
    <row r="3453" spans="7:14" x14ac:dyDescent="0.35">
      <c r="G3453" s="1"/>
      <c r="N3453" s="1"/>
    </row>
    <row r="3454" spans="7:14" x14ac:dyDescent="0.35">
      <c r="G3454" s="1"/>
      <c r="N3454" s="1"/>
    </row>
    <row r="3455" spans="7:14" x14ac:dyDescent="0.35">
      <c r="G3455" s="1"/>
      <c r="N3455" s="1"/>
    </row>
    <row r="3456" spans="7:14" x14ac:dyDescent="0.35">
      <c r="G3456" s="1"/>
      <c r="N3456" s="1"/>
    </row>
    <row r="3457" spans="7:14" x14ac:dyDescent="0.35">
      <c r="G3457" s="1"/>
      <c r="N3457" s="1"/>
    </row>
    <row r="3458" spans="7:14" x14ac:dyDescent="0.35">
      <c r="G3458" s="1"/>
      <c r="N3458" s="1"/>
    </row>
    <row r="3459" spans="7:14" x14ac:dyDescent="0.35">
      <c r="G3459" s="1"/>
      <c r="N3459" s="1"/>
    </row>
    <row r="3460" spans="7:14" x14ac:dyDescent="0.35">
      <c r="G3460" s="1"/>
      <c r="N3460" s="1"/>
    </row>
    <row r="3461" spans="7:14" x14ac:dyDescent="0.35">
      <c r="G3461" s="1"/>
      <c r="N3461" s="1"/>
    </row>
    <row r="3462" spans="7:14" x14ac:dyDescent="0.35">
      <c r="G3462" s="1"/>
      <c r="N3462" s="1"/>
    </row>
    <row r="3463" spans="7:14" x14ac:dyDescent="0.35">
      <c r="G3463" s="1"/>
      <c r="N3463" s="1"/>
    </row>
    <row r="3464" spans="7:14" x14ac:dyDescent="0.35">
      <c r="G3464" s="1"/>
      <c r="N3464" s="1"/>
    </row>
    <row r="3465" spans="7:14" x14ac:dyDescent="0.35">
      <c r="G3465" s="1"/>
      <c r="N3465" s="1"/>
    </row>
    <row r="3466" spans="7:14" x14ac:dyDescent="0.35">
      <c r="G3466" s="1"/>
      <c r="N3466" s="1"/>
    </row>
    <row r="3467" spans="7:14" x14ac:dyDescent="0.35">
      <c r="G3467" s="1"/>
      <c r="N3467" s="1"/>
    </row>
    <row r="3468" spans="7:14" x14ac:dyDescent="0.35">
      <c r="G3468" s="1"/>
      <c r="N3468" s="1"/>
    </row>
    <row r="3469" spans="7:14" x14ac:dyDescent="0.35">
      <c r="G3469" s="1"/>
      <c r="N3469" s="1"/>
    </row>
    <row r="3470" spans="7:14" x14ac:dyDescent="0.35">
      <c r="G3470" s="1"/>
      <c r="N3470" s="1"/>
    </row>
    <row r="3471" spans="7:14" x14ac:dyDescent="0.35">
      <c r="G3471" s="1"/>
      <c r="N3471" s="1"/>
    </row>
    <row r="3472" spans="7:14" x14ac:dyDescent="0.35">
      <c r="G3472" s="1"/>
      <c r="N3472" s="1"/>
    </row>
    <row r="3473" spans="7:14" x14ac:dyDescent="0.35">
      <c r="G3473" s="1"/>
      <c r="N3473" s="1"/>
    </row>
    <row r="3474" spans="7:14" x14ac:dyDescent="0.35">
      <c r="G3474" s="1"/>
      <c r="N3474" s="1"/>
    </row>
    <row r="3475" spans="7:14" x14ac:dyDescent="0.35">
      <c r="G3475" s="1"/>
      <c r="N3475" s="1"/>
    </row>
    <row r="3476" spans="7:14" x14ac:dyDescent="0.35">
      <c r="G3476" s="1"/>
      <c r="N3476" s="1"/>
    </row>
    <row r="3477" spans="7:14" x14ac:dyDescent="0.35">
      <c r="G3477" s="1"/>
      <c r="N3477" s="1"/>
    </row>
    <row r="3478" spans="7:14" x14ac:dyDescent="0.35">
      <c r="G3478" s="1"/>
      <c r="N3478" s="1"/>
    </row>
    <row r="3479" spans="7:14" x14ac:dyDescent="0.35">
      <c r="G3479" s="1"/>
      <c r="N3479" s="1"/>
    </row>
    <row r="3480" spans="7:14" x14ac:dyDescent="0.35">
      <c r="G3480" s="1"/>
      <c r="N3480" s="1"/>
    </row>
    <row r="3481" spans="7:14" x14ac:dyDescent="0.35">
      <c r="G3481" s="1"/>
      <c r="N3481" s="1"/>
    </row>
    <row r="3482" spans="7:14" x14ac:dyDescent="0.35">
      <c r="G3482" s="1"/>
      <c r="N3482" s="1"/>
    </row>
    <row r="3483" spans="7:14" x14ac:dyDescent="0.35">
      <c r="G3483" s="1"/>
      <c r="N3483" s="1"/>
    </row>
    <row r="3484" spans="7:14" x14ac:dyDescent="0.35">
      <c r="G3484" s="1"/>
      <c r="N3484" s="1"/>
    </row>
    <row r="3485" spans="7:14" x14ac:dyDescent="0.35">
      <c r="G3485" s="1"/>
      <c r="N3485" s="1"/>
    </row>
    <row r="3486" spans="7:14" x14ac:dyDescent="0.35">
      <c r="G3486" s="1"/>
      <c r="N3486" s="1"/>
    </row>
    <row r="3487" spans="7:14" x14ac:dyDescent="0.35">
      <c r="G3487" s="1"/>
      <c r="N3487" s="1"/>
    </row>
    <row r="3488" spans="7:14" x14ac:dyDescent="0.35">
      <c r="G3488" s="1"/>
      <c r="N3488" s="1"/>
    </row>
    <row r="3489" spans="7:14" x14ac:dyDescent="0.35">
      <c r="G3489" s="1"/>
      <c r="N3489" s="1"/>
    </row>
    <row r="3490" spans="7:14" x14ac:dyDescent="0.35">
      <c r="G3490" s="1"/>
      <c r="N3490" s="1"/>
    </row>
    <row r="3491" spans="7:14" x14ac:dyDescent="0.35">
      <c r="G3491" s="1"/>
      <c r="N3491" s="1"/>
    </row>
    <row r="3492" spans="7:14" x14ac:dyDescent="0.35">
      <c r="G3492" s="1"/>
      <c r="N3492" s="1"/>
    </row>
    <row r="3493" spans="7:14" x14ac:dyDescent="0.35">
      <c r="G3493" s="1"/>
      <c r="N3493" s="1"/>
    </row>
    <row r="3494" spans="7:14" x14ac:dyDescent="0.35">
      <c r="G3494" s="1"/>
      <c r="N3494" s="1"/>
    </row>
    <row r="3495" spans="7:14" x14ac:dyDescent="0.35">
      <c r="G3495" s="1"/>
      <c r="N3495" s="1"/>
    </row>
    <row r="3496" spans="7:14" x14ac:dyDescent="0.35">
      <c r="G3496" s="1"/>
      <c r="N3496" s="1"/>
    </row>
    <row r="3497" spans="7:14" x14ac:dyDescent="0.35">
      <c r="G3497" s="1"/>
      <c r="N3497" s="1"/>
    </row>
    <row r="3498" spans="7:14" x14ac:dyDescent="0.35">
      <c r="G3498" s="1"/>
      <c r="N3498" s="1"/>
    </row>
    <row r="3499" spans="7:14" x14ac:dyDescent="0.35">
      <c r="G3499" s="1"/>
      <c r="N3499" s="1"/>
    </row>
    <row r="3500" spans="7:14" x14ac:dyDescent="0.35">
      <c r="G3500" s="1"/>
      <c r="N3500" s="1"/>
    </row>
    <row r="3501" spans="7:14" x14ac:dyDescent="0.35">
      <c r="G3501" s="1"/>
      <c r="N3501" s="1"/>
    </row>
    <row r="3502" spans="7:14" x14ac:dyDescent="0.35">
      <c r="G3502" s="1"/>
      <c r="N3502" s="1"/>
    </row>
    <row r="3503" spans="7:14" x14ac:dyDescent="0.35">
      <c r="G3503" s="1"/>
      <c r="N3503" s="1"/>
    </row>
    <row r="3504" spans="7:14" x14ac:dyDescent="0.35">
      <c r="G3504" s="1"/>
      <c r="N3504" s="1"/>
    </row>
    <row r="3505" spans="7:14" x14ac:dyDescent="0.35">
      <c r="G3505" s="1"/>
      <c r="N3505" s="1"/>
    </row>
    <row r="3506" spans="7:14" x14ac:dyDescent="0.35">
      <c r="G3506" s="1"/>
      <c r="N3506" s="1"/>
    </row>
    <row r="3507" spans="7:14" x14ac:dyDescent="0.35">
      <c r="G3507" s="1"/>
      <c r="N3507" s="1"/>
    </row>
    <row r="3508" spans="7:14" x14ac:dyDescent="0.35">
      <c r="G3508" s="1"/>
      <c r="N3508" s="1"/>
    </row>
    <row r="3509" spans="7:14" x14ac:dyDescent="0.35">
      <c r="G3509" s="1"/>
      <c r="N3509" s="1"/>
    </row>
    <row r="3510" spans="7:14" x14ac:dyDescent="0.35">
      <c r="G3510" s="1"/>
      <c r="N3510" s="1"/>
    </row>
    <row r="3511" spans="7:14" x14ac:dyDescent="0.35">
      <c r="G3511" s="1"/>
      <c r="N3511" s="1"/>
    </row>
    <row r="3512" spans="7:14" x14ac:dyDescent="0.35">
      <c r="G3512" s="1"/>
      <c r="N3512" s="1"/>
    </row>
    <row r="3513" spans="7:14" x14ac:dyDescent="0.35">
      <c r="G3513" s="1"/>
      <c r="N3513" s="1"/>
    </row>
    <row r="3514" spans="7:14" x14ac:dyDescent="0.35">
      <c r="G3514" s="1"/>
      <c r="N3514" s="1"/>
    </row>
    <row r="3515" spans="7:14" x14ac:dyDescent="0.35">
      <c r="G3515" s="1"/>
      <c r="N3515" s="1"/>
    </row>
    <row r="3516" spans="7:14" x14ac:dyDescent="0.35">
      <c r="G3516" s="1"/>
      <c r="N3516" s="1"/>
    </row>
    <row r="3517" spans="7:14" x14ac:dyDescent="0.35">
      <c r="G3517" s="1"/>
      <c r="N3517" s="1"/>
    </row>
    <row r="3518" spans="7:14" x14ac:dyDescent="0.35">
      <c r="G3518" s="1"/>
      <c r="N3518" s="1"/>
    </row>
    <row r="3519" spans="7:14" x14ac:dyDescent="0.35">
      <c r="G3519" s="1"/>
      <c r="N3519" s="1"/>
    </row>
    <row r="3520" spans="7:14" x14ac:dyDescent="0.35">
      <c r="G3520" s="1"/>
      <c r="N3520" s="1"/>
    </row>
    <row r="3521" spans="7:14" x14ac:dyDescent="0.35">
      <c r="G3521" s="1"/>
      <c r="N3521" s="1"/>
    </row>
    <row r="3522" spans="7:14" x14ac:dyDescent="0.35">
      <c r="G3522" s="1"/>
      <c r="N3522" s="1"/>
    </row>
    <row r="3523" spans="7:14" x14ac:dyDescent="0.35">
      <c r="G3523" s="1"/>
      <c r="N3523" s="1"/>
    </row>
    <row r="3524" spans="7:14" x14ac:dyDescent="0.35">
      <c r="G3524" s="1"/>
      <c r="N3524" s="1"/>
    </row>
    <row r="3525" spans="7:14" x14ac:dyDescent="0.35">
      <c r="G3525" s="1"/>
      <c r="N3525" s="1"/>
    </row>
    <row r="3526" spans="7:14" x14ac:dyDescent="0.35">
      <c r="G3526" s="1"/>
      <c r="N3526" s="1"/>
    </row>
    <row r="3527" spans="7:14" x14ac:dyDescent="0.35">
      <c r="G3527" s="1"/>
      <c r="N3527" s="1"/>
    </row>
    <row r="3528" spans="7:14" x14ac:dyDescent="0.35">
      <c r="G3528" s="1"/>
      <c r="N3528" s="1"/>
    </row>
    <row r="3529" spans="7:14" x14ac:dyDescent="0.35">
      <c r="G3529" s="1"/>
      <c r="N3529" s="1"/>
    </row>
    <row r="3530" spans="7:14" x14ac:dyDescent="0.35">
      <c r="G3530" s="1"/>
      <c r="N3530" s="1"/>
    </row>
    <row r="3531" spans="7:14" x14ac:dyDescent="0.35">
      <c r="G3531" s="1"/>
      <c r="N3531" s="1"/>
    </row>
    <row r="3532" spans="7:14" x14ac:dyDescent="0.35">
      <c r="G3532" s="1"/>
      <c r="N3532" s="1"/>
    </row>
    <row r="3533" spans="7:14" x14ac:dyDescent="0.35">
      <c r="G3533" s="1"/>
      <c r="N3533" s="1"/>
    </row>
    <row r="3534" spans="7:14" x14ac:dyDescent="0.35">
      <c r="G3534" s="1"/>
      <c r="N3534" s="1"/>
    </row>
    <row r="3535" spans="7:14" x14ac:dyDescent="0.35">
      <c r="G3535" s="1"/>
      <c r="N3535" s="1"/>
    </row>
    <row r="3536" spans="7:14" x14ac:dyDescent="0.35">
      <c r="G3536" s="1"/>
      <c r="N3536" s="1"/>
    </row>
    <row r="3537" spans="7:14" x14ac:dyDescent="0.35">
      <c r="G3537" s="1"/>
      <c r="N3537" s="1"/>
    </row>
    <row r="3538" spans="7:14" x14ac:dyDescent="0.35">
      <c r="G3538" s="1"/>
      <c r="N3538" s="1"/>
    </row>
    <row r="3539" spans="7:14" x14ac:dyDescent="0.35">
      <c r="G3539" s="1"/>
      <c r="N3539" s="1"/>
    </row>
    <row r="3540" spans="7:14" x14ac:dyDescent="0.35">
      <c r="G3540" s="1"/>
      <c r="N3540" s="1"/>
    </row>
    <row r="3541" spans="7:14" x14ac:dyDescent="0.35">
      <c r="G3541" s="1"/>
      <c r="N3541" s="1"/>
    </row>
    <row r="3542" spans="7:14" x14ac:dyDescent="0.35">
      <c r="G3542" s="1"/>
      <c r="N3542" s="1"/>
    </row>
    <row r="3543" spans="7:14" x14ac:dyDescent="0.35">
      <c r="G3543" s="1"/>
      <c r="N3543" s="1"/>
    </row>
    <row r="3544" spans="7:14" x14ac:dyDescent="0.35">
      <c r="G3544" s="1"/>
      <c r="N3544" s="1"/>
    </row>
    <row r="3545" spans="7:14" x14ac:dyDescent="0.35">
      <c r="G3545" s="1"/>
      <c r="N3545" s="1"/>
    </row>
    <row r="3546" spans="7:14" x14ac:dyDescent="0.35">
      <c r="G3546" s="1"/>
      <c r="N3546" s="1"/>
    </row>
    <row r="3547" spans="7:14" x14ac:dyDescent="0.35">
      <c r="G3547" s="1"/>
      <c r="N3547" s="1"/>
    </row>
    <row r="3548" spans="7:14" x14ac:dyDescent="0.35">
      <c r="G3548" s="1"/>
      <c r="N3548" s="1"/>
    </row>
    <row r="3549" spans="7:14" x14ac:dyDescent="0.35">
      <c r="G3549" s="1"/>
      <c r="N3549" s="1"/>
    </row>
    <row r="3550" spans="7:14" x14ac:dyDescent="0.35">
      <c r="G3550" s="1"/>
      <c r="N3550" s="1"/>
    </row>
    <row r="3551" spans="7:14" x14ac:dyDescent="0.35">
      <c r="G3551" s="1"/>
      <c r="N3551" s="1"/>
    </row>
    <row r="3552" spans="7:14" x14ac:dyDescent="0.35">
      <c r="G3552" s="1"/>
      <c r="N3552" s="1"/>
    </row>
    <row r="3553" spans="7:14" x14ac:dyDescent="0.35">
      <c r="G3553" s="1"/>
      <c r="N3553" s="1"/>
    </row>
    <row r="3554" spans="7:14" x14ac:dyDescent="0.35">
      <c r="G3554" s="1"/>
      <c r="N3554" s="1"/>
    </row>
    <row r="3555" spans="7:14" x14ac:dyDescent="0.35">
      <c r="G3555" s="1"/>
      <c r="N3555" s="1"/>
    </row>
    <row r="3556" spans="7:14" x14ac:dyDescent="0.35">
      <c r="G3556" s="1"/>
      <c r="N3556" s="1"/>
    </row>
    <row r="3557" spans="7:14" x14ac:dyDescent="0.35">
      <c r="G3557" s="1"/>
      <c r="N3557" s="1"/>
    </row>
    <row r="3558" spans="7:14" x14ac:dyDescent="0.35">
      <c r="G3558" s="1"/>
      <c r="N3558" s="1"/>
    </row>
    <row r="3559" spans="7:14" x14ac:dyDescent="0.35">
      <c r="G3559" s="1"/>
      <c r="N3559" s="1"/>
    </row>
    <row r="3560" spans="7:14" x14ac:dyDescent="0.35">
      <c r="G3560" s="1"/>
      <c r="N3560" s="1"/>
    </row>
    <row r="3561" spans="7:14" x14ac:dyDescent="0.35">
      <c r="G3561" s="1"/>
      <c r="N3561" s="1"/>
    </row>
    <row r="3562" spans="7:14" x14ac:dyDescent="0.35">
      <c r="G3562" s="1"/>
      <c r="N3562" s="1"/>
    </row>
    <row r="3563" spans="7:14" x14ac:dyDescent="0.35">
      <c r="G3563" s="1"/>
      <c r="N3563" s="1"/>
    </row>
    <row r="3564" spans="7:14" x14ac:dyDescent="0.35">
      <c r="G3564" s="1"/>
      <c r="N3564" s="1"/>
    </row>
    <row r="3565" spans="7:14" x14ac:dyDescent="0.35">
      <c r="G3565" s="1"/>
      <c r="N3565" s="1"/>
    </row>
    <row r="3566" spans="7:14" x14ac:dyDescent="0.35">
      <c r="G3566" s="1"/>
      <c r="N3566" s="1"/>
    </row>
    <row r="3567" spans="7:14" x14ac:dyDescent="0.35">
      <c r="G3567" s="1"/>
      <c r="N3567" s="1"/>
    </row>
    <row r="3568" spans="7:14" x14ac:dyDescent="0.35">
      <c r="G3568" s="1"/>
      <c r="N3568" s="1"/>
    </row>
    <row r="3569" spans="7:14" x14ac:dyDescent="0.35">
      <c r="G3569" s="1"/>
      <c r="N3569" s="1"/>
    </row>
    <row r="3570" spans="7:14" x14ac:dyDescent="0.35">
      <c r="G3570" s="1"/>
      <c r="N3570" s="1"/>
    </row>
    <row r="3571" spans="7:14" x14ac:dyDescent="0.35">
      <c r="G3571" s="1"/>
      <c r="N3571" s="1"/>
    </row>
    <row r="3572" spans="7:14" x14ac:dyDescent="0.35">
      <c r="G3572" s="1"/>
      <c r="N3572" s="1"/>
    </row>
    <row r="3573" spans="7:14" x14ac:dyDescent="0.35">
      <c r="G3573" s="1"/>
      <c r="N3573" s="1"/>
    </row>
    <row r="3574" spans="7:14" x14ac:dyDescent="0.35">
      <c r="G3574" s="1"/>
      <c r="N3574" s="1"/>
    </row>
    <row r="3575" spans="7:14" x14ac:dyDescent="0.35">
      <c r="G3575" s="1"/>
      <c r="N3575" s="1"/>
    </row>
    <row r="3576" spans="7:14" x14ac:dyDescent="0.35">
      <c r="G3576" s="1"/>
      <c r="N3576" s="1"/>
    </row>
    <row r="3577" spans="7:14" x14ac:dyDescent="0.35">
      <c r="G3577" s="1"/>
      <c r="N3577" s="1"/>
    </row>
    <row r="3578" spans="7:14" x14ac:dyDescent="0.35">
      <c r="G3578" s="1"/>
      <c r="N3578" s="1"/>
    </row>
    <row r="3579" spans="7:14" x14ac:dyDescent="0.35">
      <c r="G3579" s="1"/>
      <c r="N3579" s="1"/>
    </row>
    <row r="3580" spans="7:14" x14ac:dyDescent="0.35">
      <c r="G3580" s="1"/>
      <c r="N3580" s="1"/>
    </row>
    <row r="3581" spans="7:14" x14ac:dyDescent="0.35">
      <c r="G3581" s="1"/>
      <c r="N3581" s="1"/>
    </row>
    <row r="3582" spans="7:14" x14ac:dyDescent="0.35">
      <c r="G3582" s="1"/>
      <c r="N3582" s="1"/>
    </row>
    <row r="3583" spans="7:14" x14ac:dyDescent="0.35">
      <c r="G3583" s="1"/>
      <c r="N3583" s="1"/>
    </row>
    <row r="3584" spans="7:14" x14ac:dyDescent="0.35">
      <c r="G3584" s="1"/>
      <c r="N3584" s="1"/>
    </row>
    <row r="3585" spans="7:14" x14ac:dyDescent="0.35">
      <c r="G3585" s="1"/>
      <c r="N3585" s="1"/>
    </row>
    <row r="3586" spans="7:14" x14ac:dyDescent="0.35">
      <c r="G3586" s="1"/>
      <c r="N3586" s="1"/>
    </row>
    <row r="3587" spans="7:14" x14ac:dyDescent="0.35">
      <c r="G3587" s="1"/>
      <c r="N3587" s="1"/>
    </row>
    <row r="3588" spans="7:14" x14ac:dyDescent="0.35">
      <c r="G3588" s="1"/>
      <c r="N3588" s="1"/>
    </row>
    <row r="3589" spans="7:14" x14ac:dyDescent="0.35">
      <c r="G3589" s="1"/>
      <c r="N3589" s="1"/>
    </row>
    <row r="3590" spans="7:14" x14ac:dyDescent="0.35">
      <c r="G3590" s="1"/>
      <c r="N3590" s="1"/>
    </row>
    <row r="3591" spans="7:14" x14ac:dyDescent="0.35">
      <c r="G3591" s="1"/>
      <c r="N3591" s="1"/>
    </row>
    <row r="3592" spans="7:14" x14ac:dyDescent="0.35">
      <c r="G3592" s="1"/>
      <c r="N3592" s="1"/>
    </row>
    <row r="3593" spans="7:14" x14ac:dyDescent="0.35">
      <c r="G3593" s="1"/>
      <c r="N3593" s="1"/>
    </row>
    <row r="3594" spans="7:14" x14ac:dyDescent="0.35">
      <c r="G3594" s="1"/>
      <c r="N3594" s="1"/>
    </row>
    <row r="3595" spans="7:14" x14ac:dyDescent="0.35">
      <c r="G3595" s="1"/>
      <c r="N3595" s="1"/>
    </row>
    <row r="3596" spans="7:14" x14ac:dyDescent="0.35">
      <c r="G3596" s="1"/>
      <c r="N3596" s="1"/>
    </row>
    <row r="3597" spans="7:14" x14ac:dyDescent="0.35">
      <c r="G3597" s="1"/>
      <c r="N3597" s="1"/>
    </row>
    <row r="3598" spans="7:14" x14ac:dyDescent="0.35">
      <c r="G3598" s="1"/>
      <c r="N3598" s="1"/>
    </row>
    <row r="3599" spans="7:14" x14ac:dyDescent="0.35">
      <c r="G3599" s="1"/>
      <c r="N3599" s="1"/>
    </row>
    <row r="3600" spans="7:14" x14ac:dyDescent="0.35">
      <c r="G3600" s="1"/>
      <c r="N3600" s="1"/>
    </row>
    <row r="3601" spans="7:14" x14ac:dyDescent="0.35">
      <c r="G3601" s="1"/>
      <c r="N3601" s="1"/>
    </row>
    <row r="3602" spans="7:14" x14ac:dyDescent="0.35">
      <c r="G3602" s="1"/>
      <c r="N3602" s="1"/>
    </row>
    <row r="3603" spans="7:14" x14ac:dyDescent="0.35">
      <c r="G3603" s="1"/>
      <c r="N3603" s="1"/>
    </row>
    <row r="3604" spans="7:14" x14ac:dyDescent="0.35">
      <c r="G3604" s="1"/>
      <c r="N3604" s="1"/>
    </row>
    <row r="3605" spans="7:14" x14ac:dyDescent="0.35">
      <c r="G3605" s="1"/>
      <c r="N3605" s="1"/>
    </row>
    <row r="3606" spans="7:14" x14ac:dyDescent="0.35">
      <c r="G3606" s="1"/>
      <c r="N3606" s="1"/>
    </row>
    <row r="3607" spans="7:14" x14ac:dyDescent="0.35">
      <c r="G3607" s="1"/>
      <c r="N3607" s="1"/>
    </row>
    <row r="3608" spans="7:14" x14ac:dyDescent="0.35">
      <c r="G3608" s="1"/>
      <c r="N3608" s="1"/>
    </row>
    <row r="3609" spans="7:14" x14ac:dyDescent="0.35">
      <c r="G3609" s="1"/>
      <c r="N3609" s="1"/>
    </row>
    <row r="3610" spans="7:14" x14ac:dyDescent="0.35">
      <c r="G3610" s="1"/>
      <c r="N3610" s="1"/>
    </row>
    <row r="3611" spans="7:14" x14ac:dyDescent="0.35">
      <c r="G3611" s="1"/>
      <c r="N3611" s="1"/>
    </row>
    <row r="3612" spans="7:14" x14ac:dyDescent="0.35">
      <c r="G3612" s="1"/>
      <c r="N3612" s="1"/>
    </row>
    <row r="3613" spans="7:14" x14ac:dyDescent="0.35">
      <c r="G3613" s="1"/>
      <c r="N3613" s="1"/>
    </row>
    <row r="3614" spans="7:14" x14ac:dyDescent="0.35">
      <c r="G3614" s="1"/>
      <c r="N3614" s="1"/>
    </row>
    <row r="3615" spans="7:14" x14ac:dyDescent="0.35">
      <c r="G3615" s="1"/>
      <c r="N3615" s="1"/>
    </row>
    <row r="3616" spans="7:14" x14ac:dyDescent="0.35">
      <c r="G3616" s="1"/>
      <c r="N3616" s="1"/>
    </row>
    <row r="3617" spans="7:14" x14ac:dyDescent="0.35">
      <c r="G3617" s="1"/>
      <c r="N3617" s="1"/>
    </row>
    <row r="3618" spans="7:14" x14ac:dyDescent="0.35">
      <c r="G3618" s="1"/>
      <c r="N3618" s="1"/>
    </row>
    <row r="3619" spans="7:14" x14ac:dyDescent="0.35">
      <c r="G3619" s="1"/>
      <c r="N3619" s="1"/>
    </row>
    <row r="3620" spans="7:14" x14ac:dyDescent="0.35">
      <c r="G3620" s="1"/>
      <c r="N3620" s="1"/>
    </row>
    <row r="3621" spans="7:14" x14ac:dyDescent="0.35">
      <c r="G3621" s="1"/>
      <c r="N3621" s="1"/>
    </row>
    <row r="3622" spans="7:14" x14ac:dyDescent="0.35">
      <c r="G3622" s="1"/>
      <c r="N3622" s="1"/>
    </row>
    <row r="3623" spans="7:14" x14ac:dyDescent="0.35">
      <c r="G3623" s="1"/>
      <c r="N3623" s="1"/>
    </row>
    <row r="3624" spans="7:14" x14ac:dyDescent="0.35">
      <c r="G3624" s="1"/>
      <c r="N3624" s="1"/>
    </row>
    <row r="3625" spans="7:14" x14ac:dyDescent="0.35">
      <c r="G3625" s="1"/>
      <c r="N3625" s="1"/>
    </row>
    <row r="3626" spans="7:14" x14ac:dyDescent="0.35">
      <c r="G3626" s="1"/>
      <c r="N3626" s="1"/>
    </row>
    <row r="3627" spans="7:14" x14ac:dyDescent="0.35">
      <c r="G3627" s="1"/>
      <c r="N3627" s="1"/>
    </row>
    <row r="3628" spans="7:14" x14ac:dyDescent="0.35">
      <c r="G3628" s="1"/>
      <c r="N3628" s="1"/>
    </row>
    <row r="3629" spans="7:14" x14ac:dyDescent="0.35">
      <c r="G3629" s="1"/>
      <c r="N3629" s="1"/>
    </row>
    <row r="3630" spans="7:14" x14ac:dyDescent="0.35">
      <c r="G3630" s="1"/>
      <c r="N3630" s="1"/>
    </row>
    <row r="3631" spans="7:14" x14ac:dyDescent="0.35">
      <c r="G3631" s="1"/>
      <c r="N3631" s="1"/>
    </row>
    <row r="3632" spans="7:14" x14ac:dyDescent="0.35">
      <c r="G3632" s="1"/>
      <c r="N3632" s="1"/>
    </row>
    <row r="3633" spans="7:14" x14ac:dyDescent="0.35">
      <c r="G3633" s="1"/>
      <c r="N3633" s="1"/>
    </row>
    <row r="3634" spans="7:14" x14ac:dyDescent="0.35">
      <c r="G3634" s="1"/>
      <c r="N3634" s="1"/>
    </row>
    <row r="3635" spans="7:14" x14ac:dyDescent="0.35">
      <c r="G3635" s="1"/>
      <c r="N3635" s="1"/>
    </row>
    <row r="3636" spans="7:14" x14ac:dyDescent="0.35">
      <c r="G3636" s="1"/>
      <c r="N3636" s="1"/>
    </row>
    <row r="3637" spans="7:14" x14ac:dyDescent="0.35">
      <c r="G3637" s="1"/>
      <c r="N3637" s="1"/>
    </row>
    <row r="3638" spans="7:14" x14ac:dyDescent="0.35">
      <c r="G3638" s="1"/>
      <c r="N3638" s="1"/>
    </row>
    <row r="3639" spans="7:14" x14ac:dyDescent="0.35">
      <c r="G3639" s="1"/>
      <c r="N3639" s="1"/>
    </row>
    <row r="3640" spans="7:14" x14ac:dyDescent="0.35">
      <c r="G3640" s="1"/>
      <c r="N3640" s="1"/>
    </row>
    <row r="3641" spans="7:14" x14ac:dyDescent="0.35">
      <c r="G3641" s="1"/>
      <c r="N3641" s="1"/>
    </row>
    <row r="3642" spans="7:14" x14ac:dyDescent="0.35">
      <c r="G3642" s="1"/>
      <c r="N3642" s="1"/>
    </row>
    <row r="3643" spans="7:14" x14ac:dyDescent="0.35">
      <c r="G3643" s="1"/>
      <c r="N3643" s="1"/>
    </row>
    <row r="3644" spans="7:14" x14ac:dyDescent="0.35">
      <c r="G3644" s="1"/>
      <c r="N3644" s="1"/>
    </row>
    <row r="3645" spans="7:14" x14ac:dyDescent="0.35">
      <c r="G3645" s="1"/>
      <c r="N3645" s="1"/>
    </row>
    <row r="3646" spans="7:14" x14ac:dyDescent="0.35">
      <c r="G3646" s="1"/>
      <c r="N3646" s="1"/>
    </row>
    <row r="3647" spans="7:14" x14ac:dyDescent="0.35">
      <c r="G3647" s="1"/>
      <c r="N3647" s="1"/>
    </row>
    <row r="3648" spans="7:14" x14ac:dyDescent="0.35">
      <c r="G3648" s="1"/>
      <c r="N3648" s="1"/>
    </row>
    <row r="3649" spans="7:14" x14ac:dyDescent="0.35">
      <c r="G3649" s="1"/>
      <c r="N3649" s="1"/>
    </row>
    <row r="3650" spans="7:14" x14ac:dyDescent="0.35">
      <c r="G3650" s="1"/>
      <c r="N3650" s="1"/>
    </row>
    <row r="3651" spans="7:14" x14ac:dyDescent="0.35">
      <c r="G3651" s="1"/>
      <c r="N3651" s="1"/>
    </row>
    <row r="3652" spans="7:14" x14ac:dyDescent="0.35">
      <c r="G3652" s="1"/>
      <c r="N3652" s="1"/>
    </row>
    <row r="3653" spans="7:14" x14ac:dyDescent="0.35">
      <c r="G3653" s="1"/>
      <c r="N3653" s="1"/>
    </row>
    <row r="3654" spans="7:14" x14ac:dyDescent="0.35">
      <c r="G3654" s="1"/>
      <c r="N3654" s="1"/>
    </row>
    <row r="3655" spans="7:14" x14ac:dyDescent="0.35">
      <c r="G3655" s="1"/>
      <c r="N3655" s="1"/>
    </row>
    <row r="3656" spans="7:14" x14ac:dyDescent="0.35">
      <c r="G3656" s="1"/>
      <c r="N3656" s="1"/>
    </row>
    <row r="3657" spans="7:14" x14ac:dyDescent="0.35">
      <c r="G3657" s="1"/>
      <c r="N3657" s="1"/>
    </row>
    <row r="3658" spans="7:14" x14ac:dyDescent="0.35">
      <c r="G3658" s="1"/>
      <c r="N3658" s="1"/>
    </row>
    <row r="3659" spans="7:14" x14ac:dyDescent="0.35">
      <c r="G3659" s="1"/>
      <c r="N3659" s="1"/>
    </row>
    <row r="3660" spans="7:14" x14ac:dyDescent="0.35">
      <c r="G3660" s="1"/>
      <c r="N3660" s="1"/>
    </row>
    <row r="3661" spans="7:14" x14ac:dyDescent="0.35">
      <c r="G3661" s="1"/>
      <c r="N3661" s="1"/>
    </row>
    <row r="3662" spans="7:14" x14ac:dyDescent="0.35">
      <c r="G3662" s="1"/>
      <c r="N3662" s="1"/>
    </row>
    <row r="3663" spans="7:14" x14ac:dyDescent="0.35">
      <c r="G3663" s="1"/>
      <c r="N3663" s="1"/>
    </row>
    <row r="3664" spans="7:14" x14ac:dyDescent="0.35">
      <c r="G3664" s="1"/>
      <c r="N3664" s="1"/>
    </row>
    <row r="3665" spans="7:14" x14ac:dyDescent="0.35">
      <c r="G3665" s="1"/>
      <c r="N3665" s="1"/>
    </row>
    <row r="3666" spans="7:14" x14ac:dyDescent="0.35">
      <c r="G3666" s="1"/>
      <c r="N3666" s="1"/>
    </row>
    <row r="3667" spans="7:14" x14ac:dyDescent="0.35">
      <c r="G3667" s="1"/>
      <c r="N3667" s="1"/>
    </row>
    <row r="3668" spans="7:14" x14ac:dyDescent="0.35">
      <c r="G3668" s="1"/>
      <c r="N3668" s="1"/>
    </row>
    <row r="3669" spans="7:14" x14ac:dyDescent="0.35">
      <c r="G3669" s="1"/>
      <c r="N3669" s="1"/>
    </row>
    <row r="3670" spans="7:14" x14ac:dyDescent="0.35">
      <c r="G3670" s="1"/>
      <c r="N3670" s="1"/>
    </row>
    <row r="3671" spans="7:14" x14ac:dyDescent="0.35">
      <c r="G3671" s="1"/>
      <c r="N3671" s="1"/>
    </row>
    <row r="3672" spans="7:14" x14ac:dyDescent="0.35">
      <c r="G3672" s="1"/>
      <c r="N3672" s="1"/>
    </row>
    <row r="3673" spans="7:14" x14ac:dyDescent="0.35">
      <c r="G3673" s="1"/>
      <c r="N3673" s="1"/>
    </row>
    <row r="3674" spans="7:14" x14ac:dyDescent="0.35">
      <c r="G3674" s="1"/>
      <c r="N3674" s="1"/>
    </row>
    <row r="3675" spans="7:14" x14ac:dyDescent="0.35">
      <c r="G3675" s="1"/>
      <c r="N3675" s="1"/>
    </row>
    <row r="3676" spans="7:14" x14ac:dyDescent="0.35">
      <c r="G3676" s="1"/>
      <c r="N3676" s="1"/>
    </row>
    <row r="3677" spans="7:14" x14ac:dyDescent="0.35">
      <c r="G3677" s="1"/>
      <c r="N3677" s="1"/>
    </row>
    <row r="3678" spans="7:14" x14ac:dyDescent="0.35">
      <c r="G3678" s="1"/>
      <c r="N3678" s="1"/>
    </row>
    <row r="3679" spans="7:14" x14ac:dyDescent="0.35">
      <c r="G3679" s="1"/>
      <c r="N3679" s="1"/>
    </row>
    <row r="3680" spans="7:14" x14ac:dyDescent="0.35">
      <c r="G3680" s="1"/>
      <c r="N3680" s="1"/>
    </row>
    <row r="3681" spans="7:14" x14ac:dyDescent="0.35">
      <c r="G3681" s="1"/>
      <c r="N3681" s="1"/>
    </row>
    <row r="3682" spans="7:14" x14ac:dyDescent="0.35">
      <c r="G3682" s="1"/>
      <c r="N3682" s="1"/>
    </row>
    <row r="3683" spans="7:14" x14ac:dyDescent="0.35">
      <c r="G3683" s="1"/>
      <c r="N3683" s="1"/>
    </row>
    <row r="3684" spans="7:14" x14ac:dyDescent="0.35">
      <c r="G3684" s="1"/>
      <c r="N3684" s="1"/>
    </row>
    <row r="3685" spans="7:14" x14ac:dyDescent="0.35">
      <c r="G3685" s="1"/>
      <c r="N3685" s="1"/>
    </row>
    <row r="3686" spans="7:14" x14ac:dyDescent="0.35">
      <c r="G3686" s="1"/>
      <c r="N3686" s="1"/>
    </row>
    <row r="3687" spans="7:14" x14ac:dyDescent="0.35">
      <c r="G3687" s="1"/>
      <c r="N3687" s="1"/>
    </row>
    <row r="3688" spans="7:14" x14ac:dyDescent="0.35">
      <c r="G3688" s="1"/>
      <c r="N3688" s="1"/>
    </row>
    <row r="3689" spans="7:14" x14ac:dyDescent="0.35">
      <c r="G3689" s="1"/>
      <c r="N3689" s="1"/>
    </row>
    <row r="3690" spans="7:14" x14ac:dyDescent="0.35">
      <c r="G3690" s="1"/>
      <c r="N3690" s="1"/>
    </row>
    <row r="3691" spans="7:14" x14ac:dyDescent="0.35">
      <c r="G3691" s="1"/>
      <c r="N3691" s="1"/>
    </row>
    <row r="3692" spans="7:14" x14ac:dyDescent="0.35">
      <c r="G3692" s="1"/>
      <c r="N3692" s="1"/>
    </row>
    <row r="3693" spans="7:14" x14ac:dyDescent="0.35">
      <c r="G3693" s="1"/>
      <c r="N3693" s="1"/>
    </row>
    <row r="3694" spans="7:14" x14ac:dyDescent="0.35">
      <c r="G3694" s="1"/>
      <c r="N3694" s="1"/>
    </row>
    <row r="3695" spans="7:14" x14ac:dyDescent="0.35">
      <c r="G3695" s="1"/>
      <c r="N3695" s="1"/>
    </row>
    <row r="3696" spans="7:14" x14ac:dyDescent="0.35">
      <c r="G3696" s="1"/>
      <c r="N3696" s="1"/>
    </row>
    <row r="3697" spans="7:14" x14ac:dyDescent="0.35">
      <c r="G3697" s="1"/>
      <c r="N3697" s="1"/>
    </row>
    <row r="3698" spans="7:14" x14ac:dyDescent="0.35">
      <c r="G3698" s="1"/>
      <c r="N3698" s="1"/>
    </row>
    <row r="3699" spans="7:14" x14ac:dyDescent="0.35">
      <c r="G3699" s="1"/>
      <c r="N3699" s="1"/>
    </row>
    <row r="3700" spans="7:14" x14ac:dyDescent="0.35">
      <c r="G3700" s="1"/>
      <c r="N3700" s="1"/>
    </row>
    <row r="3701" spans="7:14" x14ac:dyDescent="0.35">
      <c r="G3701" s="1"/>
      <c r="N3701" s="1"/>
    </row>
    <row r="3702" spans="7:14" x14ac:dyDescent="0.35">
      <c r="G3702" s="1"/>
      <c r="N3702" s="1"/>
    </row>
    <row r="3703" spans="7:14" x14ac:dyDescent="0.35">
      <c r="G3703" s="1"/>
      <c r="N3703" s="1"/>
    </row>
    <row r="3704" spans="7:14" x14ac:dyDescent="0.35">
      <c r="G3704" s="1"/>
      <c r="N3704" s="1"/>
    </row>
    <row r="3705" spans="7:14" x14ac:dyDescent="0.35">
      <c r="G3705" s="1"/>
      <c r="N3705" s="1"/>
    </row>
    <row r="3706" spans="7:14" x14ac:dyDescent="0.35">
      <c r="G3706" s="1"/>
      <c r="N3706" s="1"/>
    </row>
    <row r="3707" spans="7:14" x14ac:dyDescent="0.35">
      <c r="G3707" s="1"/>
      <c r="N3707" s="1"/>
    </row>
    <row r="3708" spans="7:14" x14ac:dyDescent="0.35">
      <c r="G3708" s="1"/>
      <c r="N3708" s="1"/>
    </row>
    <row r="3709" spans="7:14" x14ac:dyDescent="0.35">
      <c r="G3709" s="1"/>
      <c r="N3709" s="1"/>
    </row>
    <row r="3710" spans="7:14" x14ac:dyDescent="0.35">
      <c r="G3710" s="1"/>
      <c r="N3710" s="1"/>
    </row>
    <row r="3711" spans="7:14" x14ac:dyDescent="0.35">
      <c r="G3711" s="1"/>
      <c r="N3711" s="1"/>
    </row>
    <row r="3712" spans="7:14" x14ac:dyDescent="0.35">
      <c r="G3712" s="1"/>
      <c r="N3712" s="1"/>
    </row>
    <row r="3713" spans="7:14" x14ac:dyDescent="0.35">
      <c r="G3713" s="1"/>
      <c r="N3713" s="1"/>
    </row>
    <row r="3714" spans="7:14" x14ac:dyDescent="0.35">
      <c r="G3714" s="1"/>
      <c r="N3714" s="1"/>
    </row>
    <row r="3715" spans="7:14" x14ac:dyDescent="0.35">
      <c r="G3715" s="1"/>
      <c r="N3715" s="1"/>
    </row>
    <row r="3716" spans="7:14" x14ac:dyDescent="0.35">
      <c r="G3716" s="1"/>
      <c r="N3716" s="1"/>
    </row>
    <row r="3717" spans="7:14" x14ac:dyDescent="0.35">
      <c r="G3717" s="1"/>
      <c r="N3717" s="1"/>
    </row>
    <row r="3718" spans="7:14" x14ac:dyDescent="0.35">
      <c r="G3718" s="1"/>
      <c r="N3718" s="1"/>
    </row>
    <row r="3719" spans="7:14" x14ac:dyDescent="0.35">
      <c r="G3719" s="1"/>
      <c r="N3719" s="1"/>
    </row>
    <row r="3720" spans="7:14" x14ac:dyDescent="0.35">
      <c r="G3720" s="1"/>
      <c r="N3720" s="1"/>
    </row>
    <row r="3721" spans="7:14" x14ac:dyDescent="0.35">
      <c r="G3721" s="1"/>
      <c r="N3721" s="1"/>
    </row>
    <row r="3722" spans="7:14" x14ac:dyDescent="0.35">
      <c r="G3722" s="1"/>
      <c r="N3722" s="1"/>
    </row>
    <row r="3723" spans="7:14" x14ac:dyDescent="0.35">
      <c r="G3723" s="1"/>
      <c r="N3723" s="1"/>
    </row>
    <row r="3724" spans="7:14" x14ac:dyDescent="0.35">
      <c r="G3724" s="1"/>
      <c r="N3724" s="1"/>
    </row>
    <row r="3725" spans="7:14" x14ac:dyDescent="0.35">
      <c r="G3725" s="1"/>
      <c r="N3725" s="1"/>
    </row>
    <row r="3726" spans="7:14" x14ac:dyDescent="0.35">
      <c r="G3726" s="1"/>
      <c r="N3726" s="1"/>
    </row>
    <row r="3727" spans="7:14" x14ac:dyDescent="0.35">
      <c r="G3727" s="1"/>
      <c r="N3727" s="1"/>
    </row>
    <row r="3728" spans="7:14" x14ac:dyDescent="0.35">
      <c r="G3728" s="1"/>
      <c r="N3728" s="1"/>
    </row>
    <row r="3729" spans="7:14" x14ac:dyDescent="0.35">
      <c r="G3729" s="1"/>
      <c r="N3729" s="1"/>
    </row>
    <row r="3730" spans="7:14" x14ac:dyDescent="0.35">
      <c r="G3730" s="1"/>
      <c r="N3730" s="1"/>
    </row>
    <row r="3731" spans="7:14" x14ac:dyDescent="0.35">
      <c r="G3731" s="1"/>
      <c r="N3731" s="1"/>
    </row>
    <row r="3732" spans="7:14" x14ac:dyDescent="0.35">
      <c r="G3732" s="1"/>
      <c r="N3732" s="1"/>
    </row>
    <row r="3733" spans="7:14" x14ac:dyDescent="0.35">
      <c r="G3733" s="1"/>
      <c r="N3733" s="1"/>
    </row>
    <row r="3734" spans="7:14" x14ac:dyDescent="0.35">
      <c r="G3734" s="1"/>
      <c r="N3734" s="1"/>
    </row>
    <row r="3735" spans="7:14" x14ac:dyDescent="0.35">
      <c r="G3735" s="1"/>
      <c r="N3735" s="1"/>
    </row>
    <row r="3736" spans="7:14" x14ac:dyDescent="0.35">
      <c r="G3736" s="1"/>
      <c r="N3736" s="1"/>
    </row>
    <row r="3737" spans="7:14" x14ac:dyDescent="0.35">
      <c r="G3737" s="1"/>
      <c r="N3737" s="1"/>
    </row>
    <row r="3738" spans="7:14" x14ac:dyDescent="0.35">
      <c r="G3738" s="1"/>
      <c r="N3738" s="1"/>
    </row>
    <row r="3739" spans="7:14" x14ac:dyDescent="0.35">
      <c r="G3739" s="1"/>
      <c r="N3739" s="1"/>
    </row>
    <row r="3740" spans="7:14" x14ac:dyDescent="0.35">
      <c r="G3740" s="1"/>
      <c r="N3740" s="1"/>
    </row>
    <row r="3741" spans="7:14" x14ac:dyDescent="0.35">
      <c r="G3741" s="1"/>
      <c r="N3741" s="1"/>
    </row>
    <row r="3742" spans="7:14" x14ac:dyDescent="0.35">
      <c r="G3742" s="1"/>
      <c r="N3742" s="1"/>
    </row>
    <row r="3743" spans="7:14" x14ac:dyDescent="0.35">
      <c r="G3743" s="1"/>
      <c r="N3743" s="1"/>
    </row>
    <row r="3744" spans="7:14" x14ac:dyDescent="0.35">
      <c r="G3744" s="1"/>
      <c r="N3744" s="1"/>
    </row>
    <row r="3745" spans="7:14" x14ac:dyDescent="0.35">
      <c r="G3745" s="1"/>
      <c r="N3745" s="1"/>
    </row>
    <row r="3746" spans="7:14" x14ac:dyDescent="0.35">
      <c r="G3746" s="1"/>
      <c r="N3746" s="1"/>
    </row>
    <row r="3747" spans="7:14" x14ac:dyDescent="0.35">
      <c r="G3747" s="1"/>
      <c r="N3747" s="1"/>
    </row>
    <row r="3748" spans="7:14" x14ac:dyDescent="0.35">
      <c r="G3748" s="1"/>
      <c r="N3748" s="1"/>
    </row>
    <row r="3749" spans="7:14" x14ac:dyDescent="0.35">
      <c r="G3749" s="1"/>
      <c r="N3749" s="1"/>
    </row>
    <row r="3750" spans="7:14" x14ac:dyDescent="0.35">
      <c r="G3750" s="1"/>
      <c r="N3750" s="1"/>
    </row>
    <row r="3751" spans="7:14" x14ac:dyDescent="0.35">
      <c r="G3751" s="1"/>
      <c r="N3751" s="1"/>
    </row>
    <row r="3752" spans="7:14" x14ac:dyDescent="0.35">
      <c r="G3752" s="1"/>
      <c r="N3752" s="1"/>
    </row>
    <row r="3753" spans="7:14" x14ac:dyDescent="0.35">
      <c r="G3753" s="1"/>
      <c r="N3753" s="1"/>
    </row>
    <row r="3754" spans="7:14" x14ac:dyDescent="0.35">
      <c r="G3754" s="1"/>
      <c r="N3754" s="1"/>
    </row>
    <row r="3755" spans="7:14" x14ac:dyDescent="0.35">
      <c r="G3755" s="1"/>
      <c r="N3755" s="1"/>
    </row>
    <row r="3756" spans="7:14" x14ac:dyDescent="0.35">
      <c r="G3756" s="1"/>
      <c r="N3756" s="1"/>
    </row>
    <row r="3757" spans="7:14" x14ac:dyDescent="0.35">
      <c r="G3757" s="1"/>
      <c r="N3757" s="1"/>
    </row>
    <row r="3758" spans="7:14" x14ac:dyDescent="0.35">
      <c r="G3758" s="1"/>
      <c r="N3758" s="1"/>
    </row>
    <row r="3759" spans="7:14" x14ac:dyDescent="0.35">
      <c r="G3759" s="1"/>
      <c r="N3759" s="1"/>
    </row>
    <row r="3760" spans="7:14" x14ac:dyDescent="0.35">
      <c r="G3760" s="1"/>
      <c r="N3760" s="1"/>
    </row>
    <row r="3761" spans="7:14" x14ac:dyDescent="0.35">
      <c r="G3761" s="1"/>
      <c r="N3761" s="1"/>
    </row>
    <row r="3762" spans="7:14" x14ac:dyDescent="0.35">
      <c r="G3762" s="1"/>
      <c r="N3762" s="1"/>
    </row>
    <row r="3763" spans="7:14" x14ac:dyDescent="0.35">
      <c r="G3763" s="1"/>
      <c r="N3763" s="1"/>
    </row>
    <row r="3764" spans="7:14" x14ac:dyDescent="0.35">
      <c r="G3764" s="1"/>
      <c r="N3764" s="1"/>
    </row>
    <row r="3765" spans="7:14" x14ac:dyDescent="0.35">
      <c r="G3765" s="1"/>
      <c r="N3765" s="1"/>
    </row>
    <row r="3766" spans="7:14" x14ac:dyDescent="0.35">
      <c r="G3766" s="1"/>
      <c r="N3766" s="1"/>
    </row>
    <row r="3767" spans="7:14" x14ac:dyDescent="0.35">
      <c r="G3767" s="1"/>
      <c r="N3767" s="1"/>
    </row>
    <row r="3768" spans="7:14" x14ac:dyDescent="0.35">
      <c r="G3768" s="1"/>
      <c r="N3768" s="1"/>
    </row>
    <row r="3769" spans="7:14" x14ac:dyDescent="0.35">
      <c r="G3769" s="1"/>
      <c r="N3769" s="1"/>
    </row>
    <row r="3770" spans="7:14" x14ac:dyDescent="0.35">
      <c r="G3770" s="1"/>
      <c r="N3770" s="1"/>
    </row>
    <row r="3771" spans="7:14" x14ac:dyDescent="0.35">
      <c r="G3771" s="1"/>
      <c r="N3771" s="1"/>
    </row>
    <row r="3772" spans="7:14" x14ac:dyDescent="0.35">
      <c r="G3772" s="1"/>
      <c r="N3772" s="1"/>
    </row>
    <row r="3773" spans="7:14" x14ac:dyDescent="0.35">
      <c r="G3773" s="1"/>
      <c r="N3773" s="1"/>
    </row>
    <row r="3774" spans="7:14" x14ac:dyDescent="0.35">
      <c r="G3774" s="1"/>
      <c r="N3774" s="1"/>
    </row>
    <row r="3775" spans="7:14" x14ac:dyDescent="0.35">
      <c r="G3775" s="1"/>
      <c r="N3775" s="1"/>
    </row>
    <row r="3776" spans="7:14" x14ac:dyDescent="0.35">
      <c r="G3776" s="1"/>
      <c r="N3776" s="1"/>
    </row>
    <row r="3777" spans="7:14" x14ac:dyDescent="0.35">
      <c r="G3777" s="1"/>
      <c r="N3777" s="1"/>
    </row>
    <row r="3778" spans="7:14" x14ac:dyDescent="0.35">
      <c r="G3778" s="1"/>
      <c r="N3778" s="1"/>
    </row>
    <row r="3779" spans="7:14" x14ac:dyDescent="0.35">
      <c r="G3779" s="1"/>
      <c r="N3779" s="1"/>
    </row>
    <row r="3780" spans="7:14" x14ac:dyDescent="0.35">
      <c r="G3780" s="1"/>
      <c r="N3780" s="1"/>
    </row>
    <row r="3781" spans="7:14" x14ac:dyDescent="0.35">
      <c r="G3781" s="1"/>
      <c r="N3781" s="1"/>
    </row>
    <row r="3782" spans="7:14" x14ac:dyDescent="0.35">
      <c r="G3782" s="1"/>
      <c r="N3782" s="1"/>
    </row>
    <row r="3783" spans="7:14" x14ac:dyDescent="0.35">
      <c r="G3783" s="1"/>
      <c r="N3783" s="1"/>
    </row>
    <row r="3784" spans="7:14" x14ac:dyDescent="0.35">
      <c r="G3784" s="1"/>
      <c r="N3784" s="1"/>
    </row>
    <row r="3785" spans="7:14" x14ac:dyDescent="0.35">
      <c r="G3785" s="1"/>
      <c r="N3785" s="1"/>
    </row>
    <row r="3786" spans="7:14" x14ac:dyDescent="0.35">
      <c r="G3786" s="1"/>
      <c r="N3786" s="1"/>
    </row>
    <row r="3787" spans="7:14" x14ac:dyDescent="0.35">
      <c r="G3787" s="1"/>
      <c r="N3787" s="1"/>
    </row>
    <row r="3788" spans="7:14" x14ac:dyDescent="0.35">
      <c r="G3788" s="1"/>
      <c r="N3788" s="1"/>
    </row>
    <row r="3789" spans="7:14" x14ac:dyDescent="0.35">
      <c r="G3789" s="1"/>
      <c r="N3789" s="1"/>
    </row>
    <row r="3790" spans="7:14" x14ac:dyDescent="0.35">
      <c r="G3790" s="1"/>
      <c r="N3790" s="1"/>
    </row>
    <row r="3791" spans="7:14" x14ac:dyDescent="0.35">
      <c r="G3791" s="1"/>
      <c r="N3791" s="1"/>
    </row>
    <row r="3792" spans="7:14" x14ac:dyDescent="0.35">
      <c r="G3792" s="1"/>
      <c r="N3792" s="1"/>
    </row>
    <row r="3793" spans="7:14" x14ac:dyDescent="0.35">
      <c r="G3793" s="1"/>
      <c r="N3793" s="1"/>
    </row>
    <row r="3794" spans="7:14" x14ac:dyDescent="0.35">
      <c r="G3794" s="1"/>
      <c r="N3794" s="1"/>
    </row>
    <row r="3795" spans="7:14" x14ac:dyDescent="0.35">
      <c r="G3795" s="1"/>
      <c r="N3795" s="1"/>
    </row>
    <row r="3796" spans="7:14" x14ac:dyDescent="0.35">
      <c r="G3796" s="1"/>
      <c r="N3796" s="1"/>
    </row>
    <row r="3797" spans="7:14" x14ac:dyDescent="0.35">
      <c r="G3797" s="1"/>
      <c r="N3797" s="1"/>
    </row>
    <row r="3798" spans="7:14" x14ac:dyDescent="0.35">
      <c r="G3798" s="1"/>
      <c r="N3798" s="1"/>
    </row>
    <row r="3799" spans="7:14" x14ac:dyDescent="0.35">
      <c r="G3799" s="1"/>
      <c r="N3799" s="1"/>
    </row>
    <row r="3800" spans="7:14" x14ac:dyDescent="0.35">
      <c r="G3800" s="1"/>
      <c r="N3800" s="1"/>
    </row>
    <row r="3801" spans="7:14" x14ac:dyDescent="0.35">
      <c r="G3801" s="1"/>
      <c r="N3801" s="1"/>
    </row>
    <row r="3802" spans="7:14" x14ac:dyDescent="0.35">
      <c r="G3802" s="1"/>
      <c r="N3802" s="1"/>
    </row>
    <row r="3803" spans="7:14" x14ac:dyDescent="0.35">
      <c r="G3803" s="1"/>
      <c r="N3803" s="1"/>
    </row>
    <row r="3804" spans="7:14" x14ac:dyDescent="0.35">
      <c r="G3804" s="1"/>
      <c r="N3804" s="1"/>
    </row>
    <row r="3805" spans="7:14" x14ac:dyDescent="0.35">
      <c r="G3805" s="1"/>
      <c r="N3805" s="1"/>
    </row>
    <row r="3806" spans="7:14" x14ac:dyDescent="0.35">
      <c r="G3806" s="1"/>
      <c r="N3806" s="1"/>
    </row>
    <row r="3807" spans="7:14" x14ac:dyDescent="0.35">
      <c r="G3807" s="1"/>
      <c r="N3807" s="1"/>
    </row>
    <row r="3808" spans="7:14" x14ac:dyDescent="0.35">
      <c r="G3808" s="1"/>
      <c r="N3808" s="1"/>
    </row>
    <row r="3809" spans="7:14" x14ac:dyDescent="0.35">
      <c r="G3809" s="1"/>
      <c r="N3809" s="1"/>
    </row>
    <row r="3810" spans="7:14" x14ac:dyDescent="0.35">
      <c r="G3810" s="1"/>
      <c r="N3810" s="1"/>
    </row>
    <row r="3811" spans="7:14" x14ac:dyDescent="0.35">
      <c r="G3811" s="1"/>
      <c r="N3811" s="1"/>
    </row>
    <row r="3812" spans="7:14" x14ac:dyDescent="0.35">
      <c r="G3812" s="1"/>
      <c r="N3812" s="1"/>
    </row>
    <row r="3813" spans="7:14" x14ac:dyDescent="0.35">
      <c r="G3813" s="1"/>
      <c r="N3813" s="1"/>
    </row>
    <row r="3814" spans="7:14" x14ac:dyDescent="0.35">
      <c r="G3814" s="1"/>
      <c r="N3814" s="1"/>
    </row>
    <row r="3815" spans="7:14" x14ac:dyDescent="0.35">
      <c r="G3815" s="1"/>
      <c r="N3815" s="1"/>
    </row>
    <row r="3816" spans="7:14" x14ac:dyDescent="0.35">
      <c r="G3816" s="1"/>
      <c r="N3816" s="1"/>
    </row>
    <row r="3817" spans="7:14" x14ac:dyDescent="0.35">
      <c r="G3817" s="1"/>
      <c r="N3817" s="1"/>
    </row>
    <row r="3818" spans="7:14" x14ac:dyDescent="0.35">
      <c r="G3818" s="1"/>
      <c r="N3818" s="1"/>
    </row>
    <row r="3819" spans="7:14" x14ac:dyDescent="0.35">
      <c r="G3819" s="1"/>
      <c r="N3819" s="1"/>
    </row>
    <row r="3820" spans="7:14" x14ac:dyDescent="0.35">
      <c r="G3820" s="1"/>
      <c r="N3820" s="1"/>
    </row>
    <row r="3821" spans="7:14" x14ac:dyDescent="0.35">
      <c r="G3821" s="1"/>
      <c r="N3821" s="1"/>
    </row>
    <row r="3822" spans="7:14" x14ac:dyDescent="0.35">
      <c r="G3822" s="1"/>
      <c r="N3822" s="1"/>
    </row>
    <row r="3823" spans="7:14" x14ac:dyDescent="0.35">
      <c r="G3823" s="1"/>
      <c r="N3823" s="1"/>
    </row>
    <row r="3824" spans="7:14" x14ac:dyDescent="0.35">
      <c r="G3824" s="1"/>
      <c r="N3824" s="1"/>
    </row>
    <row r="3825" spans="7:14" x14ac:dyDescent="0.35">
      <c r="G3825" s="1"/>
      <c r="N3825" s="1"/>
    </row>
    <row r="3826" spans="7:14" x14ac:dyDescent="0.35">
      <c r="G3826" s="1"/>
      <c r="N3826" s="1"/>
    </row>
    <row r="3827" spans="7:14" x14ac:dyDescent="0.35">
      <c r="G3827" s="1"/>
      <c r="N3827" s="1"/>
    </row>
    <row r="3828" spans="7:14" x14ac:dyDescent="0.35">
      <c r="G3828" s="1"/>
      <c r="N3828" s="1"/>
    </row>
    <row r="3829" spans="7:14" x14ac:dyDescent="0.35">
      <c r="G3829" s="1"/>
      <c r="N3829" s="1"/>
    </row>
    <row r="3830" spans="7:14" x14ac:dyDescent="0.35">
      <c r="G3830" s="1"/>
      <c r="N3830" s="1"/>
    </row>
    <row r="3831" spans="7:14" x14ac:dyDescent="0.35">
      <c r="G3831" s="1"/>
      <c r="N3831" s="1"/>
    </row>
    <row r="3832" spans="7:14" x14ac:dyDescent="0.35">
      <c r="G3832" s="1"/>
      <c r="N3832" s="1"/>
    </row>
    <row r="3833" spans="7:14" x14ac:dyDescent="0.35">
      <c r="G3833" s="1"/>
      <c r="N3833" s="1"/>
    </row>
    <row r="3834" spans="7:14" x14ac:dyDescent="0.35">
      <c r="G3834" s="1"/>
      <c r="N3834" s="1"/>
    </row>
    <row r="3835" spans="7:14" x14ac:dyDescent="0.35">
      <c r="G3835" s="1"/>
      <c r="N3835" s="1"/>
    </row>
    <row r="3836" spans="7:14" x14ac:dyDescent="0.35">
      <c r="G3836" s="1"/>
      <c r="N3836" s="1"/>
    </row>
    <row r="3837" spans="7:14" x14ac:dyDescent="0.35">
      <c r="G3837" s="1"/>
      <c r="N3837" s="1"/>
    </row>
    <row r="3838" spans="7:14" x14ac:dyDescent="0.35">
      <c r="G3838" s="1"/>
      <c r="N3838" s="1"/>
    </row>
    <row r="3839" spans="7:14" x14ac:dyDescent="0.35">
      <c r="G3839" s="1"/>
      <c r="N3839" s="1"/>
    </row>
    <row r="3840" spans="7:14" x14ac:dyDescent="0.35">
      <c r="G3840" s="1"/>
      <c r="N3840" s="1"/>
    </row>
    <row r="3841" spans="7:14" x14ac:dyDescent="0.35">
      <c r="G3841" s="1"/>
      <c r="N3841" s="1"/>
    </row>
    <row r="3842" spans="7:14" x14ac:dyDescent="0.35">
      <c r="G3842" s="1"/>
      <c r="N3842" s="1"/>
    </row>
    <row r="3843" spans="7:14" x14ac:dyDescent="0.35">
      <c r="G3843" s="1"/>
      <c r="N3843" s="1"/>
    </row>
    <row r="3844" spans="7:14" x14ac:dyDescent="0.35">
      <c r="G3844" s="1"/>
      <c r="N3844" s="1"/>
    </row>
    <row r="3845" spans="7:14" x14ac:dyDescent="0.35">
      <c r="G3845" s="1"/>
      <c r="N3845" s="1"/>
    </row>
    <row r="3846" spans="7:14" x14ac:dyDescent="0.35">
      <c r="G3846" s="1"/>
      <c r="N3846" s="1"/>
    </row>
    <row r="3847" spans="7:14" x14ac:dyDescent="0.35">
      <c r="G3847" s="1"/>
      <c r="N3847" s="1"/>
    </row>
    <row r="3848" spans="7:14" x14ac:dyDescent="0.35">
      <c r="G3848" s="1"/>
      <c r="N3848" s="1"/>
    </row>
    <row r="3849" spans="7:14" x14ac:dyDescent="0.35">
      <c r="G3849" s="1"/>
      <c r="N3849" s="1"/>
    </row>
    <row r="3850" spans="7:14" x14ac:dyDescent="0.35">
      <c r="G3850" s="1"/>
      <c r="N3850" s="1"/>
    </row>
    <row r="3851" spans="7:14" x14ac:dyDescent="0.35">
      <c r="G3851" s="1"/>
      <c r="N3851" s="1"/>
    </row>
    <row r="3852" spans="7:14" x14ac:dyDescent="0.35">
      <c r="G3852" s="1"/>
      <c r="N3852" s="1"/>
    </row>
    <row r="3853" spans="7:14" x14ac:dyDescent="0.35">
      <c r="G3853" s="1"/>
      <c r="N3853" s="1"/>
    </row>
    <row r="3854" spans="7:14" x14ac:dyDescent="0.35">
      <c r="G3854" s="1"/>
      <c r="N3854" s="1"/>
    </row>
    <row r="3855" spans="7:14" x14ac:dyDescent="0.35">
      <c r="G3855" s="1"/>
      <c r="N3855" s="1"/>
    </row>
    <row r="3856" spans="7:14" x14ac:dyDescent="0.35">
      <c r="G3856" s="1"/>
      <c r="N3856" s="1"/>
    </row>
    <row r="3857" spans="7:14" x14ac:dyDescent="0.35">
      <c r="G3857" s="1"/>
      <c r="N3857" s="1"/>
    </row>
    <row r="3858" spans="7:14" x14ac:dyDescent="0.35">
      <c r="G3858" s="1"/>
      <c r="N3858" s="1"/>
    </row>
    <row r="3859" spans="7:14" x14ac:dyDescent="0.35">
      <c r="G3859" s="1"/>
      <c r="N3859" s="1"/>
    </row>
    <row r="3860" spans="7:14" x14ac:dyDescent="0.35">
      <c r="G3860" s="1"/>
      <c r="N3860" s="1"/>
    </row>
    <row r="3861" spans="7:14" x14ac:dyDescent="0.35">
      <c r="G3861" s="1"/>
      <c r="N3861" s="1"/>
    </row>
    <row r="3862" spans="7:14" x14ac:dyDescent="0.35">
      <c r="G3862" s="1"/>
      <c r="N3862" s="1"/>
    </row>
    <row r="3863" spans="7:14" x14ac:dyDescent="0.35">
      <c r="G3863" s="1"/>
      <c r="N3863" s="1"/>
    </row>
    <row r="3864" spans="7:14" x14ac:dyDescent="0.35">
      <c r="G3864" s="1"/>
      <c r="N3864" s="1"/>
    </row>
    <row r="3865" spans="7:14" x14ac:dyDescent="0.35">
      <c r="G3865" s="1"/>
      <c r="N3865" s="1"/>
    </row>
    <row r="3866" spans="7:14" x14ac:dyDescent="0.35">
      <c r="G3866" s="1"/>
      <c r="N3866" s="1"/>
    </row>
    <row r="3867" spans="7:14" x14ac:dyDescent="0.35">
      <c r="G3867" s="1"/>
      <c r="N3867" s="1"/>
    </row>
    <row r="3868" spans="7:14" x14ac:dyDescent="0.35">
      <c r="G3868" s="1"/>
      <c r="N3868" s="1"/>
    </row>
    <row r="3869" spans="7:14" x14ac:dyDescent="0.35">
      <c r="G3869" s="1"/>
      <c r="N3869" s="1"/>
    </row>
    <row r="3870" spans="7:14" x14ac:dyDescent="0.35">
      <c r="G3870" s="1"/>
      <c r="N3870" s="1"/>
    </row>
    <row r="3871" spans="7:14" x14ac:dyDescent="0.35">
      <c r="G3871" s="1"/>
      <c r="N3871" s="1"/>
    </row>
    <row r="3872" spans="7:14" x14ac:dyDescent="0.35">
      <c r="G3872" s="1"/>
      <c r="N3872" s="1"/>
    </row>
    <row r="3873" spans="7:14" x14ac:dyDescent="0.35">
      <c r="G3873" s="1"/>
      <c r="N3873" s="1"/>
    </row>
    <row r="3874" spans="7:14" x14ac:dyDescent="0.35">
      <c r="G3874" s="1"/>
      <c r="N3874" s="1"/>
    </row>
    <row r="3875" spans="7:14" x14ac:dyDescent="0.35">
      <c r="G3875" s="1"/>
      <c r="N3875" s="1"/>
    </row>
    <row r="3876" spans="7:14" x14ac:dyDescent="0.35">
      <c r="G3876" s="1"/>
      <c r="N3876" s="1"/>
    </row>
    <row r="3877" spans="7:14" x14ac:dyDescent="0.35">
      <c r="G3877" s="1"/>
      <c r="N3877" s="1"/>
    </row>
    <row r="3878" spans="7:14" x14ac:dyDescent="0.35">
      <c r="G3878" s="1"/>
      <c r="N3878" s="1"/>
    </row>
    <row r="3879" spans="7:14" x14ac:dyDescent="0.35">
      <c r="G3879" s="1"/>
      <c r="N3879" s="1"/>
    </row>
    <row r="3880" spans="7:14" x14ac:dyDescent="0.35">
      <c r="G3880" s="1"/>
      <c r="N3880" s="1"/>
    </row>
    <row r="3881" spans="7:14" x14ac:dyDescent="0.35">
      <c r="G3881" s="1"/>
      <c r="N3881" s="1"/>
    </row>
    <row r="3882" spans="7:14" x14ac:dyDescent="0.35">
      <c r="G3882" s="1"/>
      <c r="N3882" s="1"/>
    </row>
    <row r="3883" spans="7:14" x14ac:dyDescent="0.35">
      <c r="G3883" s="1"/>
      <c r="N3883" s="1"/>
    </row>
    <row r="3884" spans="7:14" x14ac:dyDescent="0.35">
      <c r="G3884" s="1"/>
      <c r="N3884" s="1"/>
    </row>
    <row r="3885" spans="7:14" x14ac:dyDescent="0.35">
      <c r="G3885" s="1"/>
      <c r="N3885" s="1"/>
    </row>
    <row r="3886" spans="7:14" x14ac:dyDescent="0.35">
      <c r="G3886" s="1"/>
      <c r="N3886" s="1"/>
    </row>
    <row r="3887" spans="7:14" x14ac:dyDescent="0.35">
      <c r="G3887" s="1"/>
      <c r="N3887" s="1"/>
    </row>
    <row r="3888" spans="7:14" x14ac:dyDescent="0.35">
      <c r="G3888" s="1"/>
      <c r="N3888" s="1"/>
    </row>
    <row r="3889" spans="7:14" x14ac:dyDescent="0.35">
      <c r="G3889" s="1"/>
      <c r="N3889" s="1"/>
    </row>
    <row r="3890" spans="7:14" x14ac:dyDescent="0.35">
      <c r="G3890" s="1"/>
      <c r="N3890" s="1"/>
    </row>
    <row r="3891" spans="7:14" x14ac:dyDescent="0.35">
      <c r="G3891" s="1"/>
      <c r="N3891" s="1"/>
    </row>
    <row r="3892" spans="7:14" x14ac:dyDescent="0.35">
      <c r="G3892" s="1"/>
      <c r="N3892" s="1"/>
    </row>
    <row r="3893" spans="7:14" x14ac:dyDescent="0.35">
      <c r="G3893" s="1"/>
      <c r="N3893" s="1"/>
    </row>
    <row r="3894" spans="7:14" x14ac:dyDescent="0.35">
      <c r="G3894" s="1"/>
      <c r="N3894" s="1"/>
    </row>
    <row r="3895" spans="7:14" x14ac:dyDescent="0.35">
      <c r="G3895" s="1"/>
      <c r="N3895" s="1"/>
    </row>
    <row r="3896" spans="7:14" x14ac:dyDescent="0.35">
      <c r="G3896" s="1"/>
      <c r="N3896" s="1"/>
    </row>
    <row r="3897" spans="7:14" x14ac:dyDescent="0.35">
      <c r="G3897" s="1"/>
      <c r="N3897" s="1"/>
    </row>
    <row r="3898" spans="7:14" x14ac:dyDescent="0.35">
      <c r="G3898" s="1"/>
      <c r="N3898" s="1"/>
    </row>
    <row r="3899" spans="7:14" x14ac:dyDescent="0.35">
      <c r="G3899" s="1"/>
      <c r="N3899" s="1"/>
    </row>
    <row r="3900" spans="7:14" x14ac:dyDescent="0.35">
      <c r="G3900" s="1"/>
      <c r="N3900" s="1"/>
    </row>
    <row r="3901" spans="7:14" x14ac:dyDescent="0.35">
      <c r="G3901" s="1"/>
      <c r="N3901" s="1"/>
    </row>
    <row r="3902" spans="7:14" x14ac:dyDescent="0.35">
      <c r="G3902" s="1"/>
      <c r="N3902" s="1"/>
    </row>
    <row r="3903" spans="7:14" x14ac:dyDescent="0.35">
      <c r="G3903" s="1"/>
      <c r="N3903" s="1"/>
    </row>
    <row r="3904" spans="7:14" x14ac:dyDescent="0.35">
      <c r="G3904" s="1"/>
      <c r="N3904" s="1"/>
    </row>
    <row r="3905" spans="7:14" x14ac:dyDescent="0.35">
      <c r="G3905" s="1"/>
      <c r="N3905" s="1"/>
    </row>
    <row r="3906" spans="7:14" x14ac:dyDescent="0.35">
      <c r="G3906" s="1"/>
      <c r="N3906" s="1"/>
    </row>
    <row r="3907" spans="7:14" x14ac:dyDescent="0.35">
      <c r="G3907" s="1"/>
      <c r="N3907" s="1"/>
    </row>
    <row r="3908" spans="7:14" x14ac:dyDescent="0.35">
      <c r="G3908" s="1"/>
      <c r="N3908" s="1"/>
    </row>
    <row r="3909" spans="7:14" x14ac:dyDescent="0.35">
      <c r="G3909" s="1"/>
      <c r="N3909" s="1"/>
    </row>
    <row r="3910" spans="7:14" x14ac:dyDescent="0.35">
      <c r="G3910" s="1"/>
      <c r="N3910" s="1"/>
    </row>
    <row r="3911" spans="7:14" x14ac:dyDescent="0.35">
      <c r="G3911" s="1"/>
      <c r="N3911" s="1"/>
    </row>
    <row r="3912" spans="7:14" x14ac:dyDescent="0.35">
      <c r="G3912" s="1"/>
      <c r="N3912" s="1"/>
    </row>
    <row r="3913" spans="7:14" x14ac:dyDescent="0.35">
      <c r="G3913" s="1"/>
      <c r="N3913" s="1"/>
    </row>
    <row r="3914" spans="7:14" x14ac:dyDescent="0.35">
      <c r="G3914" s="1"/>
      <c r="N3914" s="1"/>
    </row>
    <row r="3915" spans="7:14" x14ac:dyDescent="0.35">
      <c r="G3915" s="1"/>
      <c r="N3915" s="1"/>
    </row>
    <row r="3916" spans="7:14" x14ac:dyDescent="0.35">
      <c r="G3916" s="1"/>
      <c r="N3916" s="1"/>
    </row>
    <row r="3917" spans="7:14" x14ac:dyDescent="0.35">
      <c r="G3917" s="1"/>
      <c r="N3917" s="1"/>
    </row>
    <row r="3918" spans="7:14" x14ac:dyDescent="0.35">
      <c r="G3918" s="1"/>
      <c r="N3918" s="1"/>
    </row>
    <row r="3919" spans="7:14" x14ac:dyDescent="0.35">
      <c r="G3919" s="1"/>
      <c r="N3919" s="1"/>
    </row>
    <row r="3920" spans="7:14" x14ac:dyDescent="0.35">
      <c r="G3920" s="1"/>
      <c r="N3920" s="1"/>
    </row>
    <row r="3921" spans="7:14" x14ac:dyDescent="0.35">
      <c r="G3921" s="1"/>
      <c r="N3921" s="1"/>
    </row>
    <row r="3922" spans="7:14" x14ac:dyDescent="0.35">
      <c r="G3922" s="1"/>
      <c r="N3922" s="1"/>
    </row>
    <row r="3923" spans="7:14" x14ac:dyDescent="0.35">
      <c r="G3923" s="1"/>
      <c r="N3923" s="1"/>
    </row>
    <row r="3924" spans="7:14" x14ac:dyDescent="0.35">
      <c r="G3924" s="1"/>
      <c r="N3924" s="1"/>
    </row>
    <row r="3925" spans="7:14" x14ac:dyDescent="0.35">
      <c r="G3925" s="1"/>
      <c r="N3925" s="1"/>
    </row>
    <row r="3926" spans="7:14" x14ac:dyDescent="0.35">
      <c r="G3926" s="1"/>
      <c r="N3926" s="1"/>
    </row>
    <row r="3927" spans="7:14" x14ac:dyDescent="0.35">
      <c r="G3927" s="1"/>
      <c r="N3927" s="1"/>
    </row>
    <row r="3928" spans="7:14" x14ac:dyDescent="0.35">
      <c r="G3928" s="1"/>
      <c r="N3928" s="1"/>
    </row>
    <row r="3929" spans="7:14" x14ac:dyDescent="0.35">
      <c r="G3929" s="1"/>
      <c r="N3929" s="1"/>
    </row>
    <row r="3930" spans="7:14" x14ac:dyDescent="0.35">
      <c r="G3930" s="1"/>
      <c r="N3930" s="1"/>
    </row>
    <row r="3931" spans="7:14" x14ac:dyDescent="0.35">
      <c r="G3931" s="1"/>
      <c r="N3931" s="1"/>
    </row>
    <row r="3932" spans="7:14" x14ac:dyDescent="0.35">
      <c r="G3932" s="1"/>
      <c r="N3932" s="1"/>
    </row>
    <row r="3933" spans="7:14" x14ac:dyDescent="0.35">
      <c r="G3933" s="1"/>
      <c r="N3933" s="1"/>
    </row>
    <row r="3934" spans="7:14" x14ac:dyDescent="0.35">
      <c r="G3934" s="1"/>
      <c r="N3934" s="1"/>
    </row>
    <row r="3935" spans="7:14" x14ac:dyDescent="0.35">
      <c r="G3935" s="1"/>
      <c r="N3935" s="1"/>
    </row>
    <row r="3936" spans="7:14" x14ac:dyDescent="0.35">
      <c r="G3936" s="1"/>
      <c r="N3936" s="1"/>
    </row>
    <row r="3937" spans="7:14" x14ac:dyDescent="0.35">
      <c r="G3937" s="1"/>
      <c r="N3937" s="1"/>
    </row>
    <row r="3938" spans="7:14" x14ac:dyDescent="0.35">
      <c r="G3938" s="1"/>
      <c r="N3938" s="1"/>
    </row>
    <row r="3939" spans="7:14" x14ac:dyDescent="0.35">
      <c r="G3939" s="1"/>
      <c r="N3939" s="1"/>
    </row>
    <row r="3940" spans="7:14" x14ac:dyDescent="0.35">
      <c r="G3940" s="1"/>
      <c r="N3940" s="1"/>
    </row>
    <row r="3941" spans="7:14" x14ac:dyDescent="0.35">
      <c r="G3941" s="1"/>
      <c r="N3941" s="1"/>
    </row>
    <row r="3942" spans="7:14" x14ac:dyDescent="0.35">
      <c r="G3942" s="1"/>
      <c r="N3942" s="1"/>
    </row>
    <row r="3943" spans="7:14" x14ac:dyDescent="0.35">
      <c r="G3943" s="1"/>
      <c r="N3943" s="1"/>
    </row>
    <row r="3944" spans="7:14" x14ac:dyDescent="0.35">
      <c r="G3944" s="1"/>
      <c r="N3944" s="1"/>
    </row>
    <row r="3945" spans="7:14" x14ac:dyDescent="0.35">
      <c r="G3945" s="1"/>
      <c r="N3945" s="1"/>
    </row>
    <row r="3946" spans="7:14" x14ac:dyDescent="0.35">
      <c r="G3946" s="1"/>
      <c r="N3946" s="1"/>
    </row>
    <row r="3947" spans="7:14" x14ac:dyDescent="0.35">
      <c r="G3947" s="1"/>
      <c r="N3947" s="1"/>
    </row>
    <row r="3948" spans="7:14" x14ac:dyDescent="0.35">
      <c r="G3948" s="1"/>
      <c r="N3948" s="1"/>
    </row>
    <row r="3949" spans="7:14" x14ac:dyDescent="0.35">
      <c r="G3949" s="1"/>
      <c r="N3949" s="1"/>
    </row>
    <row r="3950" spans="7:14" x14ac:dyDescent="0.35">
      <c r="G3950" s="1"/>
      <c r="N3950" s="1"/>
    </row>
    <row r="3951" spans="7:14" x14ac:dyDescent="0.35">
      <c r="G3951" s="1"/>
      <c r="N3951" s="1"/>
    </row>
    <row r="3952" spans="7:14" x14ac:dyDescent="0.35">
      <c r="G3952" s="1"/>
      <c r="N3952" s="1"/>
    </row>
    <row r="3953" spans="7:14" x14ac:dyDescent="0.35">
      <c r="G3953" s="1"/>
      <c r="N3953" s="1"/>
    </row>
    <row r="3954" spans="7:14" x14ac:dyDescent="0.35">
      <c r="G3954" s="1"/>
      <c r="N3954" s="1"/>
    </row>
    <row r="3955" spans="7:14" x14ac:dyDescent="0.35">
      <c r="G3955" s="1"/>
      <c r="N3955" s="1"/>
    </row>
    <row r="3956" spans="7:14" x14ac:dyDescent="0.35">
      <c r="G3956" s="1"/>
      <c r="N3956" s="1"/>
    </row>
    <row r="3957" spans="7:14" x14ac:dyDescent="0.35">
      <c r="G3957" s="1"/>
      <c r="N3957" s="1"/>
    </row>
    <row r="3958" spans="7:14" x14ac:dyDescent="0.35">
      <c r="G3958" s="1"/>
      <c r="N3958" s="1"/>
    </row>
    <row r="3959" spans="7:14" x14ac:dyDescent="0.35">
      <c r="G3959" s="1"/>
      <c r="N3959" s="1"/>
    </row>
    <row r="3960" spans="7:14" x14ac:dyDescent="0.35">
      <c r="G3960" s="1"/>
      <c r="N3960" s="1"/>
    </row>
    <row r="3961" spans="7:14" x14ac:dyDescent="0.35">
      <c r="G3961" s="1"/>
      <c r="N3961" s="1"/>
    </row>
    <row r="3962" spans="7:14" x14ac:dyDescent="0.35">
      <c r="G3962" s="1"/>
      <c r="N3962" s="1"/>
    </row>
    <row r="3963" spans="7:14" x14ac:dyDescent="0.35">
      <c r="G3963" s="1"/>
      <c r="N3963" s="1"/>
    </row>
    <row r="3964" spans="7:14" x14ac:dyDescent="0.35">
      <c r="G3964" s="1"/>
      <c r="N3964" s="1"/>
    </row>
    <row r="3965" spans="7:14" x14ac:dyDescent="0.35">
      <c r="G3965" s="1"/>
      <c r="N3965" s="1"/>
    </row>
    <row r="3966" spans="7:14" x14ac:dyDescent="0.35">
      <c r="G3966" s="1"/>
      <c r="N3966" s="1"/>
    </row>
    <row r="3967" spans="7:14" x14ac:dyDescent="0.35">
      <c r="G3967" s="1"/>
      <c r="N3967" s="1"/>
    </row>
    <row r="3968" spans="7:14" x14ac:dyDescent="0.35">
      <c r="G3968" s="1"/>
      <c r="N3968" s="1"/>
    </row>
    <row r="3969" spans="7:14" x14ac:dyDescent="0.35">
      <c r="G3969" s="1"/>
      <c r="N3969" s="1"/>
    </row>
    <row r="3970" spans="7:14" x14ac:dyDescent="0.35">
      <c r="G3970" s="1"/>
      <c r="N3970" s="1"/>
    </row>
    <row r="3971" spans="7:14" x14ac:dyDescent="0.35">
      <c r="G3971" s="1"/>
      <c r="N3971" s="1"/>
    </row>
    <row r="3972" spans="7:14" x14ac:dyDescent="0.35">
      <c r="G3972" s="1"/>
      <c r="N3972" s="1"/>
    </row>
    <row r="3973" spans="7:14" x14ac:dyDescent="0.35">
      <c r="G3973" s="1"/>
      <c r="N3973" s="1"/>
    </row>
    <row r="3974" spans="7:14" x14ac:dyDescent="0.35">
      <c r="G3974" s="1"/>
      <c r="N3974" s="1"/>
    </row>
    <row r="3975" spans="7:14" x14ac:dyDescent="0.35">
      <c r="G3975" s="1"/>
      <c r="N3975" s="1"/>
    </row>
    <row r="3976" spans="7:14" x14ac:dyDescent="0.35">
      <c r="G3976" s="1"/>
      <c r="N3976" s="1"/>
    </row>
    <row r="3977" spans="7:14" x14ac:dyDescent="0.35">
      <c r="G3977" s="1"/>
      <c r="N3977" s="1"/>
    </row>
    <row r="3978" spans="7:14" x14ac:dyDescent="0.35">
      <c r="G3978" s="1"/>
      <c r="N3978" s="1"/>
    </row>
    <row r="3979" spans="7:14" x14ac:dyDescent="0.35">
      <c r="G3979" s="1"/>
      <c r="N3979" s="1"/>
    </row>
    <row r="3980" spans="7:14" x14ac:dyDescent="0.35">
      <c r="G3980" s="1"/>
      <c r="N3980" s="1"/>
    </row>
    <row r="3981" spans="7:14" x14ac:dyDescent="0.35">
      <c r="G3981" s="1"/>
      <c r="N3981" s="1"/>
    </row>
    <row r="3982" spans="7:14" x14ac:dyDescent="0.35">
      <c r="G3982" s="1"/>
      <c r="N3982" s="1"/>
    </row>
    <row r="3983" spans="7:14" x14ac:dyDescent="0.35">
      <c r="G3983" s="1"/>
      <c r="N3983" s="1"/>
    </row>
    <row r="3984" spans="7:14" x14ac:dyDescent="0.35">
      <c r="G3984" s="1"/>
      <c r="N3984" s="1"/>
    </row>
    <row r="3985" spans="7:14" x14ac:dyDescent="0.35">
      <c r="G3985" s="1"/>
      <c r="N3985" s="1"/>
    </row>
    <row r="3986" spans="7:14" x14ac:dyDescent="0.35">
      <c r="G3986" s="1"/>
      <c r="N3986" s="1"/>
    </row>
    <row r="3987" spans="7:14" x14ac:dyDescent="0.35">
      <c r="G3987" s="1"/>
      <c r="N3987" s="1"/>
    </row>
    <row r="3988" spans="7:14" x14ac:dyDescent="0.35">
      <c r="G3988" s="1"/>
      <c r="N3988" s="1"/>
    </row>
    <row r="3989" spans="7:14" x14ac:dyDescent="0.35">
      <c r="G3989" s="1"/>
      <c r="N3989" s="1"/>
    </row>
    <row r="3990" spans="7:14" x14ac:dyDescent="0.35">
      <c r="G3990" s="1"/>
      <c r="N3990" s="1"/>
    </row>
    <row r="3991" spans="7:14" x14ac:dyDescent="0.35">
      <c r="G3991" s="1"/>
      <c r="N3991" s="1"/>
    </row>
    <row r="3992" spans="7:14" x14ac:dyDescent="0.35">
      <c r="G3992" s="1"/>
      <c r="N3992" s="1"/>
    </row>
    <row r="3993" spans="7:14" x14ac:dyDescent="0.35">
      <c r="G3993" s="1"/>
      <c r="N3993" s="1"/>
    </row>
    <row r="3994" spans="7:14" x14ac:dyDescent="0.35">
      <c r="G3994" s="1"/>
      <c r="N3994" s="1"/>
    </row>
    <row r="3995" spans="7:14" x14ac:dyDescent="0.35">
      <c r="G3995" s="1"/>
      <c r="N3995" s="1"/>
    </row>
    <row r="3996" spans="7:14" x14ac:dyDescent="0.35">
      <c r="G3996" s="1"/>
      <c r="N3996" s="1"/>
    </row>
    <row r="3997" spans="7:14" x14ac:dyDescent="0.35">
      <c r="G3997" s="1"/>
      <c r="N3997" s="1"/>
    </row>
    <row r="3998" spans="7:14" x14ac:dyDescent="0.35">
      <c r="G3998" s="1"/>
      <c r="N3998" s="1"/>
    </row>
    <row r="3999" spans="7:14" x14ac:dyDescent="0.35">
      <c r="G3999" s="1"/>
      <c r="N3999" s="1"/>
    </row>
    <row r="4000" spans="7:14" x14ac:dyDescent="0.35">
      <c r="G4000" s="1"/>
      <c r="N4000" s="1"/>
    </row>
    <row r="4001" spans="7:14" x14ac:dyDescent="0.35">
      <c r="G4001" s="1"/>
      <c r="N4001" s="1"/>
    </row>
    <row r="4002" spans="7:14" x14ac:dyDescent="0.35">
      <c r="G4002" s="1"/>
      <c r="N4002" s="1"/>
    </row>
    <row r="4003" spans="7:14" x14ac:dyDescent="0.35">
      <c r="G4003" s="1"/>
      <c r="N4003" s="1"/>
    </row>
    <row r="4004" spans="7:14" x14ac:dyDescent="0.35">
      <c r="G4004" s="1"/>
      <c r="N4004" s="1"/>
    </row>
    <row r="4005" spans="7:14" x14ac:dyDescent="0.35">
      <c r="G4005" s="1"/>
      <c r="N4005" s="1"/>
    </row>
    <row r="4006" spans="7:14" x14ac:dyDescent="0.35">
      <c r="G4006" s="1"/>
      <c r="N4006" s="1"/>
    </row>
    <row r="4007" spans="7:14" x14ac:dyDescent="0.35">
      <c r="G4007" s="1"/>
      <c r="N4007" s="1"/>
    </row>
    <row r="4008" spans="7:14" x14ac:dyDescent="0.35">
      <c r="G4008" s="1"/>
      <c r="N4008" s="1"/>
    </row>
    <row r="4009" spans="7:14" x14ac:dyDescent="0.35">
      <c r="G4009" s="1"/>
      <c r="N4009" s="1"/>
    </row>
    <row r="4010" spans="7:14" x14ac:dyDescent="0.35">
      <c r="G4010" s="1"/>
      <c r="N4010" s="1"/>
    </row>
    <row r="4011" spans="7:14" x14ac:dyDescent="0.35">
      <c r="G4011" s="1"/>
      <c r="N4011" s="1"/>
    </row>
    <row r="4012" spans="7:14" x14ac:dyDescent="0.35">
      <c r="G4012" s="1"/>
      <c r="N4012" s="1"/>
    </row>
    <row r="4013" spans="7:14" x14ac:dyDescent="0.35">
      <c r="G4013" s="1"/>
      <c r="N4013" s="1"/>
    </row>
    <row r="4014" spans="7:14" x14ac:dyDescent="0.35">
      <c r="G4014" s="1"/>
      <c r="N4014" s="1"/>
    </row>
    <row r="4015" spans="7:14" x14ac:dyDescent="0.35">
      <c r="G4015" s="1"/>
      <c r="N4015" s="1"/>
    </row>
    <row r="4016" spans="7:14" x14ac:dyDescent="0.35">
      <c r="G4016" s="1"/>
      <c r="N4016" s="1"/>
    </row>
    <row r="4017" spans="7:14" x14ac:dyDescent="0.35">
      <c r="G4017" s="1"/>
      <c r="N4017" s="1"/>
    </row>
    <row r="4018" spans="7:14" x14ac:dyDescent="0.35">
      <c r="G4018" s="1"/>
      <c r="N4018" s="1"/>
    </row>
    <row r="4019" spans="7:14" x14ac:dyDescent="0.35">
      <c r="G4019" s="1"/>
      <c r="N4019" s="1"/>
    </row>
    <row r="4020" spans="7:14" x14ac:dyDescent="0.35">
      <c r="G4020" s="1"/>
      <c r="N4020" s="1"/>
    </row>
    <row r="4021" spans="7:14" x14ac:dyDescent="0.35">
      <c r="G4021" s="1"/>
      <c r="N4021" s="1"/>
    </row>
    <row r="4022" spans="7:14" x14ac:dyDescent="0.35">
      <c r="G4022" s="1"/>
      <c r="N4022" s="1"/>
    </row>
    <row r="4023" spans="7:14" x14ac:dyDescent="0.35">
      <c r="G4023" s="1"/>
      <c r="N4023" s="1"/>
    </row>
    <row r="4024" spans="7:14" x14ac:dyDescent="0.35">
      <c r="G4024" s="1"/>
      <c r="N4024" s="1"/>
    </row>
    <row r="4025" spans="7:14" x14ac:dyDescent="0.35">
      <c r="G4025" s="1"/>
      <c r="N4025" s="1"/>
    </row>
    <row r="4026" spans="7:14" x14ac:dyDescent="0.35">
      <c r="G4026" s="1"/>
      <c r="N4026" s="1"/>
    </row>
    <row r="4027" spans="7:14" x14ac:dyDescent="0.35">
      <c r="G4027" s="1"/>
      <c r="N4027" s="1"/>
    </row>
    <row r="4028" spans="7:14" x14ac:dyDescent="0.35">
      <c r="G4028" s="1"/>
      <c r="N4028" s="1"/>
    </row>
    <row r="4029" spans="7:14" x14ac:dyDescent="0.35">
      <c r="G4029" s="1"/>
      <c r="N4029" s="1"/>
    </row>
    <row r="4030" spans="7:14" x14ac:dyDescent="0.35">
      <c r="G4030" s="1"/>
      <c r="N4030" s="1"/>
    </row>
    <row r="4031" spans="7:14" x14ac:dyDescent="0.35">
      <c r="G4031" s="1"/>
      <c r="N4031" s="1"/>
    </row>
    <row r="4032" spans="7:14" x14ac:dyDescent="0.35">
      <c r="G4032" s="1"/>
      <c r="N4032" s="1"/>
    </row>
    <row r="4033" spans="7:14" x14ac:dyDescent="0.35">
      <c r="G4033" s="1"/>
      <c r="N4033" s="1"/>
    </row>
    <row r="4034" spans="7:14" x14ac:dyDescent="0.35">
      <c r="G4034" s="1"/>
      <c r="N4034" s="1"/>
    </row>
    <row r="4035" spans="7:14" x14ac:dyDescent="0.35">
      <c r="G4035" s="1"/>
      <c r="N4035" s="1"/>
    </row>
    <row r="4036" spans="7:14" x14ac:dyDescent="0.35">
      <c r="G4036" s="1"/>
      <c r="N4036" s="1"/>
    </row>
    <row r="4037" spans="7:14" x14ac:dyDescent="0.35">
      <c r="G4037" s="1"/>
      <c r="N4037" s="1"/>
    </row>
    <row r="4038" spans="7:14" x14ac:dyDescent="0.35">
      <c r="G4038" s="1"/>
      <c r="N4038" s="1"/>
    </row>
    <row r="4039" spans="7:14" x14ac:dyDescent="0.35">
      <c r="G4039" s="1"/>
      <c r="N4039" s="1"/>
    </row>
    <row r="4040" spans="7:14" x14ac:dyDescent="0.35">
      <c r="G4040" s="1"/>
      <c r="N4040" s="1"/>
    </row>
    <row r="4041" spans="7:14" x14ac:dyDescent="0.35">
      <c r="G4041" s="1"/>
      <c r="N4041" s="1"/>
    </row>
    <row r="4042" spans="7:14" x14ac:dyDescent="0.35">
      <c r="G4042" s="1"/>
      <c r="N4042" s="1"/>
    </row>
    <row r="4043" spans="7:14" x14ac:dyDescent="0.35">
      <c r="G4043" s="1"/>
      <c r="N4043" s="1"/>
    </row>
    <row r="4044" spans="7:14" x14ac:dyDescent="0.35">
      <c r="G4044" s="1"/>
      <c r="N4044" s="1"/>
    </row>
    <row r="4045" spans="7:14" x14ac:dyDescent="0.35">
      <c r="G4045" s="1"/>
      <c r="N4045" s="1"/>
    </row>
    <row r="4046" spans="7:14" x14ac:dyDescent="0.35">
      <c r="G4046" s="1"/>
      <c r="N4046" s="1"/>
    </row>
    <row r="4047" spans="7:14" x14ac:dyDescent="0.35">
      <c r="G4047" s="1"/>
      <c r="N4047" s="1"/>
    </row>
    <row r="4048" spans="7:14" x14ac:dyDescent="0.35">
      <c r="G4048" s="1"/>
      <c r="N4048" s="1"/>
    </row>
    <row r="4049" spans="7:14" x14ac:dyDescent="0.35">
      <c r="G4049" s="1"/>
      <c r="N4049" s="1"/>
    </row>
    <row r="4050" spans="7:14" x14ac:dyDescent="0.35">
      <c r="G4050" s="1"/>
      <c r="N4050" s="1"/>
    </row>
    <row r="4051" spans="7:14" x14ac:dyDescent="0.35">
      <c r="G4051" s="1"/>
      <c r="N4051" s="1"/>
    </row>
    <row r="4052" spans="7:14" x14ac:dyDescent="0.35">
      <c r="G4052" s="1"/>
      <c r="N4052" s="1"/>
    </row>
    <row r="4053" spans="7:14" x14ac:dyDescent="0.35">
      <c r="G4053" s="1"/>
      <c r="N4053" s="1"/>
    </row>
    <row r="4054" spans="7:14" x14ac:dyDescent="0.35">
      <c r="G4054" s="1"/>
      <c r="N4054" s="1"/>
    </row>
    <row r="4055" spans="7:14" x14ac:dyDescent="0.35">
      <c r="G4055" s="1"/>
      <c r="N4055" s="1"/>
    </row>
    <row r="4056" spans="7:14" x14ac:dyDescent="0.35">
      <c r="G4056" s="1"/>
      <c r="N4056" s="1"/>
    </row>
    <row r="4057" spans="7:14" x14ac:dyDescent="0.35">
      <c r="G4057" s="1"/>
      <c r="N4057" s="1"/>
    </row>
    <row r="4058" spans="7:14" x14ac:dyDescent="0.35">
      <c r="G4058" s="1"/>
      <c r="N4058" s="1"/>
    </row>
    <row r="4059" spans="7:14" x14ac:dyDescent="0.35">
      <c r="G4059" s="1"/>
      <c r="N4059" s="1"/>
    </row>
    <row r="4060" spans="7:14" x14ac:dyDescent="0.35">
      <c r="G4060" s="1"/>
      <c r="N4060" s="1"/>
    </row>
    <row r="4061" spans="7:14" x14ac:dyDescent="0.35">
      <c r="G4061" s="1"/>
      <c r="N4061" s="1"/>
    </row>
    <row r="4062" spans="7:14" x14ac:dyDescent="0.35">
      <c r="G4062" s="1"/>
      <c r="N4062" s="1"/>
    </row>
    <row r="4063" spans="7:14" x14ac:dyDescent="0.35">
      <c r="G4063" s="1"/>
      <c r="N4063" s="1"/>
    </row>
    <row r="4064" spans="7:14" x14ac:dyDescent="0.35">
      <c r="G4064" s="1"/>
      <c r="N4064" s="1"/>
    </row>
    <row r="4065" spans="7:14" x14ac:dyDescent="0.35">
      <c r="G4065" s="1"/>
      <c r="N4065" s="1"/>
    </row>
    <row r="4066" spans="7:14" x14ac:dyDescent="0.35">
      <c r="G4066" s="1"/>
      <c r="N4066" s="1"/>
    </row>
    <row r="4067" spans="7:14" x14ac:dyDescent="0.35">
      <c r="G4067" s="1"/>
      <c r="N4067" s="1"/>
    </row>
    <row r="4068" spans="7:14" x14ac:dyDescent="0.35">
      <c r="G4068" s="1"/>
      <c r="N4068" s="1"/>
    </row>
    <row r="4069" spans="7:14" x14ac:dyDescent="0.35">
      <c r="G4069" s="1"/>
      <c r="N4069" s="1"/>
    </row>
    <row r="4070" spans="7:14" x14ac:dyDescent="0.35">
      <c r="G4070" s="1"/>
      <c r="N4070" s="1"/>
    </row>
    <row r="4071" spans="7:14" x14ac:dyDescent="0.35">
      <c r="G4071" s="1"/>
      <c r="N4071" s="1"/>
    </row>
    <row r="4072" spans="7:14" x14ac:dyDescent="0.35">
      <c r="G4072" s="1"/>
      <c r="N4072" s="1"/>
    </row>
    <row r="4073" spans="7:14" x14ac:dyDescent="0.35">
      <c r="G4073" s="1"/>
      <c r="N4073" s="1"/>
    </row>
    <row r="4074" spans="7:14" x14ac:dyDescent="0.35">
      <c r="G4074" s="1"/>
      <c r="N4074" s="1"/>
    </row>
    <row r="4075" spans="7:14" x14ac:dyDescent="0.35">
      <c r="G4075" s="1"/>
      <c r="N4075" s="1"/>
    </row>
    <row r="4076" spans="7:14" x14ac:dyDescent="0.35">
      <c r="G4076" s="1"/>
      <c r="N4076" s="1"/>
    </row>
    <row r="4077" spans="7:14" x14ac:dyDescent="0.35">
      <c r="G4077" s="1"/>
      <c r="N4077" s="1"/>
    </row>
    <row r="4078" spans="7:14" x14ac:dyDescent="0.35">
      <c r="G4078" s="1"/>
      <c r="N4078" s="1"/>
    </row>
    <row r="4079" spans="7:14" x14ac:dyDescent="0.35">
      <c r="G4079" s="1"/>
      <c r="N4079" s="1"/>
    </row>
    <row r="4080" spans="7:14" x14ac:dyDescent="0.35">
      <c r="G4080" s="1"/>
      <c r="N4080" s="1"/>
    </row>
    <row r="4081" spans="7:14" x14ac:dyDescent="0.35">
      <c r="G4081" s="1"/>
      <c r="N4081" s="1"/>
    </row>
    <row r="4082" spans="7:14" x14ac:dyDescent="0.35">
      <c r="G4082" s="1"/>
      <c r="N4082" s="1"/>
    </row>
    <row r="4083" spans="7:14" x14ac:dyDescent="0.35">
      <c r="G4083" s="1"/>
      <c r="N4083" s="1"/>
    </row>
    <row r="4084" spans="7:14" x14ac:dyDescent="0.35">
      <c r="G4084" s="1"/>
      <c r="N4084" s="1"/>
    </row>
    <row r="4085" spans="7:14" x14ac:dyDescent="0.35">
      <c r="G4085" s="1"/>
      <c r="N4085" s="1"/>
    </row>
    <row r="4086" spans="7:14" x14ac:dyDescent="0.35">
      <c r="G4086" s="1"/>
      <c r="N4086" s="1"/>
    </row>
    <row r="4087" spans="7:14" x14ac:dyDescent="0.35">
      <c r="G4087" s="1"/>
      <c r="N4087" s="1"/>
    </row>
    <row r="4088" spans="7:14" x14ac:dyDescent="0.35">
      <c r="G4088" s="1"/>
      <c r="N4088" s="1"/>
    </row>
    <row r="4089" spans="7:14" x14ac:dyDescent="0.35">
      <c r="G4089" s="1"/>
      <c r="N4089" s="1"/>
    </row>
    <row r="4090" spans="7:14" x14ac:dyDescent="0.35">
      <c r="G4090" s="1"/>
      <c r="N4090" s="1"/>
    </row>
    <row r="4091" spans="7:14" x14ac:dyDescent="0.35">
      <c r="G4091" s="1"/>
      <c r="N4091" s="1"/>
    </row>
    <row r="4092" spans="7:14" x14ac:dyDescent="0.35">
      <c r="G4092" s="1"/>
      <c r="N4092" s="1"/>
    </row>
    <row r="4093" spans="7:14" x14ac:dyDescent="0.35">
      <c r="G4093" s="1"/>
      <c r="N4093" s="1"/>
    </row>
    <row r="4094" spans="7:14" x14ac:dyDescent="0.35">
      <c r="G4094" s="1"/>
      <c r="N4094" s="1"/>
    </row>
    <row r="4095" spans="7:14" x14ac:dyDescent="0.35">
      <c r="G4095" s="1"/>
      <c r="N4095" s="1"/>
    </row>
    <row r="4096" spans="7:14" x14ac:dyDescent="0.35">
      <c r="G4096" s="1"/>
      <c r="N4096" s="1"/>
    </row>
    <row r="4097" spans="7:14" x14ac:dyDescent="0.35">
      <c r="G4097" s="1"/>
      <c r="N4097" s="1"/>
    </row>
    <row r="4098" spans="7:14" x14ac:dyDescent="0.35">
      <c r="G4098" s="1"/>
      <c r="N4098" s="1"/>
    </row>
    <row r="4099" spans="7:14" x14ac:dyDescent="0.35">
      <c r="G4099" s="1"/>
      <c r="N4099" s="1"/>
    </row>
    <row r="4100" spans="7:14" x14ac:dyDescent="0.35">
      <c r="G4100" s="1"/>
      <c r="N4100" s="1"/>
    </row>
    <row r="4101" spans="7:14" x14ac:dyDescent="0.35">
      <c r="G4101" s="1"/>
      <c r="N4101" s="1"/>
    </row>
    <row r="4102" spans="7:14" x14ac:dyDescent="0.35">
      <c r="G4102" s="1"/>
      <c r="N4102" s="1"/>
    </row>
    <row r="4103" spans="7:14" x14ac:dyDescent="0.35">
      <c r="G4103" s="1"/>
      <c r="N4103" s="1"/>
    </row>
    <row r="4104" spans="7:14" x14ac:dyDescent="0.35">
      <c r="G4104" s="1"/>
      <c r="N4104" s="1"/>
    </row>
    <row r="4105" spans="7:14" x14ac:dyDescent="0.35">
      <c r="G4105" s="1"/>
      <c r="N4105" s="1"/>
    </row>
    <row r="4106" spans="7:14" x14ac:dyDescent="0.35">
      <c r="G4106" s="1"/>
      <c r="N4106" s="1"/>
    </row>
    <row r="4107" spans="7:14" x14ac:dyDescent="0.35">
      <c r="G4107" s="1"/>
      <c r="N4107" s="1"/>
    </row>
    <row r="4108" spans="7:14" x14ac:dyDescent="0.35">
      <c r="G4108" s="1"/>
      <c r="N4108" s="1"/>
    </row>
    <row r="4109" spans="7:14" x14ac:dyDescent="0.35">
      <c r="G4109" s="1"/>
      <c r="N4109" s="1"/>
    </row>
    <row r="4110" spans="7:14" x14ac:dyDescent="0.35">
      <c r="G4110" s="1"/>
      <c r="N4110" s="1"/>
    </row>
    <row r="4111" spans="7:14" x14ac:dyDescent="0.35">
      <c r="G4111" s="1"/>
      <c r="N4111" s="1"/>
    </row>
    <row r="4112" spans="7:14" x14ac:dyDescent="0.35">
      <c r="G4112" s="1"/>
      <c r="N4112" s="1"/>
    </row>
    <row r="4113" spans="7:14" x14ac:dyDescent="0.35">
      <c r="G4113" s="1"/>
      <c r="N4113" s="1"/>
    </row>
    <row r="4114" spans="7:14" x14ac:dyDescent="0.35">
      <c r="G4114" s="1"/>
      <c r="N4114" s="1"/>
    </row>
    <row r="4115" spans="7:14" x14ac:dyDescent="0.35">
      <c r="G4115" s="1"/>
      <c r="N4115" s="1"/>
    </row>
    <row r="4116" spans="7:14" x14ac:dyDescent="0.35">
      <c r="G4116" s="1"/>
      <c r="N4116" s="1"/>
    </row>
    <row r="4117" spans="7:14" x14ac:dyDescent="0.35">
      <c r="G4117" s="1"/>
      <c r="N4117" s="1"/>
    </row>
    <row r="4118" spans="7:14" x14ac:dyDescent="0.35">
      <c r="G4118" s="1"/>
      <c r="N4118" s="1"/>
    </row>
    <row r="4119" spans="7:14" x14ac:dyDescent="0.35">
      <c r="G4119" s="1"/>
      <c r="N4119" s="1"/>
    </row>
    <row r="4120" spans="7:14" x14ac:dyDescent="0.35">
      <c r="G4120" s="1"/>
      <c r="N4120" s="1"/>
    </row>
    <row r="4121" spans="7:14" x14ac:dyDescent="0.35">
      <c r="G4121" s="1"/>
      <c r="N4121" s="1"/>
    </row>
    <row r="4122" spans="7:14" x14ac:dyDescent="0.35">
      <c r="G4122" s="1"/>
      <c r="N4122" s="1"/>
    </row>
    <row r="4123" spans="7:14" x14ac:dyDescent="0.35">
      <c r="G4123" s="1"/>
      <c r="N4123" s="1"/>
    </row>
    <row r="4124" spans="7:14" x14ac:dyDescent="0.35">
      <c r="G4124" s="1"/>
      <c r="N4124" s="1"/>
    </row>
    <row r="4125" spans="7:14" x14ac:dyDescent="0.35">
      <c r="G4125" s="1"/>
      <c r="N4125" s="1"/>
    </row>
    <row r="4126" spans="7:14" x14ac:dyDescent="0.35">
      <c r="G4126" s="1"/>
      <c r="N4126" s="1"/>
    </row>
    <row r="4127" spans="7:14" x14ac:dyDescent="0.35">
      <c r="G4127" s="1"/>
      <c r="N4127" s="1"/>
    </row>
    <row r="4128" spans="7:14" x14ac:dyDescent="0.35">
      <c r="G4128" s="1"/>
      <c r="N4128" s="1"/>
    </row>
    <row r="4129" spans="7:14" x14ac:dyDescent="0.35">
      <c r="G4129" s="1"/>
      <c r="N4129" s="1"/>
    </row>
    <row r="4130" spans="7:14" x14ac:dyDescent="0.35">
      <c r="G4130" s="1"/>
      <c r="N4130" s="1"/>
    </row>
    <row r="4131" spans="7:14" x14ac:dyDescent="0.35">
      <c r="G4131" s="1"/>
      <c r="N4131" s="1"/>
    </row>
    <row r="4132" spans="7:14" x14ac:dyDescent="0.35">
      <c r="G4132" s="1"/>
      <c r="N4132" s="1"/>
    </row>
    <row r="4133" spans="7:14" x14ac:dyDescent="0.35">
      <c r="G4133" s="1"/>
      <c r="N4133" s="1"/>
    </row>
    <row r="4134" spans="7:14" x14ac:dyDescent="0.35">
      <c r="G4134" s="1"/>
      <c r="N4134" s="1"/>
    </row>
    <row r="4135" spans="7:14" x14ac:dyDescent="0.35">
      <c r="G4135" s="1"/>
      <c r="N4135" s="1"/>
    </row>
    <row r="4136" spans="7:14" x14ac:dyDescent="0.35">
      <c r="G4136" s="1"/>
      <c r="N4136" s="1"/>
    </row>
    <row r="4137" spans="7:14" x14ac:dyDescent="0.35">
      <c r="G4137" s="1"/>
      <c r="N4137" s="1"/>
    </row>
    <row r="4138" spans="7:14" x14ac:dyDescent="0.35">
      <c r="G4138" s="1"/>
      <c r="N4138" s="1"/>
    </row>
    <row r="4139" spans="7:14" x14ac:dyDescent="0.35">
      <c r="G4139" s="1"/>
      <c r="N4139" s="1"/>
    </row>
    <row r="4140" spans="7:14" x14ac:dyDescent="0.35">
      <c r="G4140" s="1"/>
      <c r="N4140" s="1"/>
    </row>
    <row r="4141" spans="7:14" x14ac:dyDescent="0.35">
      <c r="G4141" s="1"/>
      <c r="N4141" s="1"/>
    </row>
    <row r="4142" spans="7:14" x14ac:dyDescent="0.35">
      <c r="G4142" s="1"/>
      <c r="N4142" s="1"/>
    </row>
    <row r="4143" spans="7:14" x14ac:dyDescent="0.35">
      <c r="G4143" s="1"/>
      <c r="N4143" s="1"/>
    </row>
    <row r="4144" spans="7:14" x14ac:dyDescent="0.35">
      <c r="G4144" s="1"/>
      <c r="N4144" s="1"/>
    </row>
    <row r="4145" spans="7:14" x14ac:dyDescent="0.35">
      <c r="G4145" s="1"/>
      <c r="N4145" s="1"/>
    </row>
    <row r="4146" spans="7:14" x14ac:dyDescent="0.35">
      <c r="G4146" s="1"/>
      <c r="N4146" s="1"/>
    </row>
    <row r="4147" spans="7:14" x14ac:dyDescent="0.35">
      <c r="G4147" s="1"/>
      <c r="N4147" s="1"/>
    </row>
    <row r="4148" spans="7:14" x14ac:dyDescent="0.35">
      <c r="G4148" s="1"/>
      <c r="N4148" s="1"/>
    </row>
    <row r="4149" spans="7:14" x14ac:dyDescent="0.35">
      <c r="G4149" s="1"/>
      <c r="N4149" s="1"/>
    </row>
    <row r="4150" spans="7:14" x14ac:dyDescent="0.35">
      <c r="G4150" s="1"/>
      <c r="N4150" s="1"/>
    </row>
    <row r="4151" spans="7:14" x14ac:dyDescent="0.35">
      <c r="G4151" s="1"/>
      <c r="N4151" s="1"/>
    </row>
    <row r="4152" spans="7:14" x14ac:dyDescent="0.35">
      <c r="G4152" s="1"/>
      <c r="N4152" s="1"/>
    </row>
    <row r="4153" spans="7:14" x14ac:dyDescent="0.35">
      <c r="G4153" s="1"/>
      <c r="N4153" s="1"/>
    </row>
    <row r="4154" spans="7:14" x14ac:dyDescent="0.35">
      <c r="G4154" s="1"/>
      <c r="N4154" s="1"/>
    </row>
    <row r="4155" spans="7:14" x14ac:dyDescent="0.35">
      <c r="G4155" s="1"/>
      <c r="N4155" s="1"/>
    </row>
    <row r="4156" spans="7:14" x14ac:dyDescent="0.35">
      <c r="G4156" s="1"/>
      <c r="N4156" s="1"/>
    </row>
    <row r="4157" spans="7:14" x14ac:dyDescent="0.35">
      <c r="G4157" s="1"/>
      <c r="N4157" s="1"/>
    </row>
    <row r="4158" spans="7:14" x14ac:dyDescent="0.35">
      <c r="G4158" s="1"/>
      <c r="N4158" s="1"/>
    </row>
    <row r="4159" spans="7:14" x14ac:dyDescent="0.35">
      <c r="G4159" s="1"/>
      <c r="N4159" s="1"/>
    </row>
    <row r="4160" spans="7:14" x14ac:dyDescent="0.35">
      <c r="G4160" s="1"/>
      <c r="N4160" s="1"/>
    </row>
    <row r="4161" spans="7:14" x14ac:dyDescent="0.35">
      <c r="G4161" s="1"/>
      <c r="N4161" s="1"/>
    </row>
    <row r="4162" spans="7:14" x14ac:dyDescent="0.35">
      <c r="G4162" s="1"/>
      <c r="N4162" s="1"/>
    </row>
    <row r="4163" spans="7:14" x14ac:dyDescent="0.35">
      <c r="G4163" s="1"/>
      <c r="N4163" s="1"/>
    </row>
    <row r="4164" spans="7:14" x14ac:dyDescent="0.35">
      <c r="G4164" s="1"/>
      <c r="N4164" s="1"/>
    </row>
    <row r="4165" spans="7:14" x14ac:dyDescent="0.35">
      <c r="G4165" s="1"/>
      <c r="N4165" s="1"/>
    </row>
    <row r="4166" spans="7:14" x14ac:dyDescent="0.35">
      <c r="G4166" s="1"/>
      <c r="N4166" s="1"/>
    </row>
    <row r="4167" spans="7:14" x14ac:dyDescent="0.35">
      <c r="G4167" s="1"/>
      <c r="N4167" s="1"/>
    </row>
    <row r="4168" spans="7:14" x14ac:dyDescent="0.35">
      <c r="G4168" s="1"/>
      <c r="N4168" s="1"/>
    </row>
    <row r="4169" spans="7:14" x14ac:dyDescent="0.35">
      <c r="G4169" s="1"/>
      <c r="N4169" s="1"/>
    </row>
    <row r="4170" spans="7:14" x14ac:dyDescent="0.35">
      <c r="G4170" s="1"/>
      <c r="N4170" s="1"/>
    </row>
    <row r="4171" spans="7:14" x14ac:dyDescent="0.35">
      <c r="G4171" s="1"/>
      <c r="N4171" s="1"/>
    </row>
    <row r="4172" spans="7:14" x14ac:dyDescent="0.35">
      <c r="G4172" s="1"/>
      <c r="N4172" s="1"/>
    </row>
    <row r="4173" spans="7:14" x14ac:dyDescent="0.35">
      <c r="G4173" s="1"/>
      <c r="N4173" s="1"/>
    </row>
    <row r="4174" spans="7:14" x14ac:dyDescent="0.35">
      <c r="G4174" s="1"/>
      <c r="N4174" s="1"/>
    </row>
    <row r="4175" spans="7:14" x14ac:dyDescent="0.35">
      <c r="G4175" s="1"/>
      <c r="N4175" s="1"/>
    </row>
    <row r="4176" spans="7:14" x14ac:dyDescent="0.35">
      <c r="G4176" s="1"/>
      <c r="N4176" s="1"/>
    </row>
    <row r="4177" spans="7:14" x14ac:dyDescent="0.35">
      <c r="G4177" s="1"/>
      <c r="N4177" s="1"/>
    </row>
    <row r="4178" spans="7:14" x14ac:dyDescent="0.35">
      <c r="G4178" s="1"/>
      <c r="N4178" s="1"/>
    </row>
    <row r="4179" spans="7:14" x14ac:dyDescent="0.35">
      <c r="G4179" s="1"/>
      <c r="N4179" s="1"/>
    </row>
    <row r="4180" spans="7:14" x14ac:dyDescent="0.35">
      <c r="G4180" s="1"/>
      <c r="N4180" s="1"/>
    </row>
    <row r="4181" spans="7:14" x14ac:dyDescent="0.35">
      <c r="G4181" s="1"/>
      <c r="N4181" s="1"/>
    </row>
    <row r="4182" spans="7:14" x14ac:dyDescent="0.35">
      <c r="G4182" s="1"/>
      <c r="N4182" s="1"/>
    </row>
    <row r="4183" spans="7:14" x14ac:dyDescent="0.35">
      <c r="G4183" s="1"/>
      <c r="N4183" s="1"/>
    </row>
    <row r="4184" spans="7:14" x14ac:dyDescent="0.35">
      <c r="G4184" s="1"/>
      <c r="N4184" s="1"/>
    </row>
    <row r="4185" spans="7:14" x14ac:dyDescent="0.35">
      <c r="G4185" s="1"/>
      <c r="N4185" s="1"/>
    </row>
    <row r="4186" spans="7:14" x14ac:dyDescent="0.35">
      <c r="G4186" s="1"/>
      <c r="N4186" s="1"/>
    </row>
    <row r="4187" spans="7:14" x14ac:dyDescent="0.35">
      <c r="G4187" s="1"/>
      <c r="N4187" s="1"/>
    </row>
    <row r="4188" spans="7:14" x14ac:dyDescent="0.35">
      <c r="G4188" s="1"/>
      <c r="N4188" s="1"/>
    </row>
    <row r="4189" spans="7:14" x14ac:dyDescent="0.35">
      <c r="G4189" s="1"/>
      <c r="N4189" s="1"/>
    </row>
    <row r="4190" spans="7:14" x14ac:dyDescent="0.35">
      <c r="G4190" s="1"/>
      <c r="N4190" s="1"/>
    </row>
    <row r="4191" spans="7:14" x14ac:dyDescent="0.35">
      <c r="G4191" s="1"/>
      <c r="N4191" s="1"/>
    </row>
    <row r="4192" spans="7:14" x14ac:dyDescent="0.35">
      <c r="G4192" s="1"/>
      <c r="N4192" s="1"/>
    </row>
    <row r="4193" spans="7:14" x14ac:dyDescent="0.35">
      <c r="G4193" s="1"/>
      <c r="N4193" s="1"/>
    </row>
    <row r="4194" spans="7:14" x14ac:dyDescent="0.35">
      <c r="G4194" s="1"/>
      <c r="N4194" s="1"/>
    </row>
    <row r="4195" spans="7:14" x14ac:dyDescent="0.35">
      <c r="G4195" s="1"/>
      <c r="N4195" s="1"/>
    </row>
    <row r="4196" spans="7:14" x14ac:dyDescent="0.35">
      <c r="G4196" s="1"/>
      <c r="N4196" s="1"/>
    </row>
    <row r="4197" spans="7:14" x14ac:dyDescent="0.35">
      <c r="G4197" s="1"/>
      <c r="N4197" s="1"/>
    </row>
    <row r="4198" spans="7:14" x14ac:dyDescent="0.35">
      <c r="G4198" s="1"/>
      <c r="N4198" s="1"/>
    </row>
    <row r="4199" spans="7:14" x14ac:dyDescent="0.35">
      <c r="G4199" s="1"/>
      <c r="N4199" s="1"/>
    </row>
    <row r="4200" spans="7:14" x14ac:dyDescent="0.35">
      <c r="G4200" s="1"/>
      <c r="N4200" s="1"/>
    </row>
    <row r="4201" spans="7:14" x14ac:dyDescent="0.35">
      <c r="G4201" s="1"/>
      <c r="N4201" s="1"/>
    </row>
    <row r="4202" spans="7:14" x14ac:dyDescent="0.35">
      <c r="G4202" s="1"/>
      <c r="N4202" s="1"/>
    </row>
    <row r="4203" spans="7:14" x14ac:dyDescent="0.35">
      <c r="G4203" s="1"/>
      <c r="N4203" s="1"/>
    </row>
    <row r="4204" spans="7:14" x14ac:dyDescent="0.35">
      <c r="G4204" s="1"/>
      <c r="N4204" s="1"/>
    </row>
    <row r="4205" spans="7:14" x14ac:dyDescent="0.35">
      <c r="G4205" s="1"/>
      <c r="N4205" s="1"/>
    </row>
    <row r="4206" spans="7:14" x14ac:dyDescent="0.35">
      <c r="G4206" s="1"/>
      <c r="N4206" s="1"/>
    </row>
    <row r="4207" spans="7:14" x14ac:dyDescent="0.35">
      <c r="G4207" s="1"/>
      <c r="N4207" s="1"/>
    </row>
    <row r="4208" spans="7:14" x14ac:dyDescent="0.35">
      <c r="G4208" s="1"/>
      <c r="N4208" s="1"/>
    </row>
    <row r="4209" spans="7:14" x14ac:dyDescent="0.35">
      <c r="G4209" s="1"/>
      <c r="N4209" s="1"/>
    </row>
    <row r="4210" spans="7:14" x14ac:dyDescent="0.35">
      <c r="G4210" s="1"/>
      <c r="N4210" s="1"/>
    </row>
    <row r="4211" spans="7:14" x14ac:dyDescent="0.35">
      <c r="G4211" s="1"/>
      <c r="N4211" s="1"/>
    </row>
    <row r="4212" spans="7:14" x14ac:dyDescent="0.35">
      <c r="G4212" s="1"/>
      <c r="N4212" s="1"/>
    </row>
    <row r="4213" spans="7:14" x14ac:dyDescent="0.35">
      <c r="G4213" s="1"/>
      <c r="N4213" s="1"/>
    </row>
    <row r="4214" spans="7:14" x14ac:dyDescent="0.35">
      <c r="G4214" s="1"/>
      <c r="N4214" s="1"/>
    </row>
    <row r="4215" spans="7:14" x14ac:dyDescent="0.35">
      <c r="G4215" s="1"/>
      <c r="N4215" s="1"/>
    </row>
    <row r="4216" spans="7:14" x14ac:dyDescent="0.35">
      <c r="G4216" s="1"/>
      <c r="N4216" s="1"/>
    </row>
    <row r="4217" spans="7:14" x14ac:dyDescent="0.35">
      <c r="G4217" s="1"/>
      <c r="N4217" s="1"/>
    </row>
    <row r="4218" spans="7:14" x14ac:dyDescent="0.35">
      <c r="G4218" s="1"/>
      <c r="N4218" s="1"/>
    </row>
    <row r="4219" spans="7:14" x14ac:dyDescent="0.35">
      <c r="G4219" s="1"/>
      <c r="N4219" s="1"/>
    </row>
    <row r="4220" spans="7:14" x14ac:dyDescent="0.35">
      <c r="G4220" s="1"/>
      <c r="N4220" s="1"/>
    </row>
    <row r="4221" spans="7:14" x14ac:dyDescent="0.35">
      <c r="G4221" s="1"/>
      <c r="N4221" s="1"/>
    </row>
    <row r="4222" spans="7:14" x14ac:dyDescent="0.35">
      <c r="G4222" s="1"/>
      <c r="N4222" s="1"/>
    </row>
    <row r="4223" spans="7:14" x14ac:dyDescent="0.35">
      <c r="G4223" s="1"/>
      <c r="N4223" s="1"/>
    </row>
    <row r="4224" spans="7:14" x14ac:dyDescent="0.35">
      <c r="G4224" s="1"/>
      <c r="N4224" s="1"/>
    </row>
    <row r="4225" spans="7:14" x14ac:dyDescent="0.35">
      <c r="G4225" s="1"/>
      <c r="N4225" s="1"/>
    </row>
    <row r="4226" spans="7:14" x14ac:dyDescent="0.35">
      <c r="G4226" s="1"/>
      <c r="N4226" s="1"/>
    </row>
    <row r="4227" spans="7:14" x14ac:dyDescent="0.35">
      <c r="G4227" s="1"/>
      <c r="N4227" s="1"/>
    </row>
    <row r="4228" spans="7:14" x14ac:dyDescent="0.35">
      <c r="G4228" s="1"/>
      <c r="N4228" s="1"/>
    </row>
    <row r="4229" spans="7:14" x14ac:dyDescent="0.35">
      <c r="G4229" s="1"/>
      <c r="N4229" s="1"/>
    </row>
    <row r="4230" spans="7:14" x14ac:dyDescent="0.35">
      <c r="G4230" s="1"/>
      <c r="N4230" s="1"/>
    </row>
    <row r="4231" spans="7:14" x14ac:dyDescent="0.35">
      <c r="G4231" s="1"/>
      <c r="N4231" s="1"/>
    </row>
    <row r="4232" spans="7:14" x14ac:dyDescent="0.35">
      <c r="G4232" s="1"/>
      <c r="N4232" s="1"/>
    </row>
    <row r="4233" spans="7:14" x14ac:dyDescent="0.35">
      <c r="G4233" s="1"/>
      <c r="N4233" s="1"/>
    </row>
    <row r="4234" spans="7:14" x14ac:dyDescent="0.35">
      <c r="G4234" s="1"/>
      <c r="N4234" s="1"/>
    </row>
    <row r="4235" spans="7:14" x14ac:dyDescent="0.35">
      <c r="G4235" s="1"/>
      <c r="N4235" s="1"/>
    </row>
    <row r="4236" spans="7:14" x14ac:dyDescent="0.35">
      <c r="G4236" s="1"/>
      <c r="N4236" s="1"/>
    </row>
    <row r="4237" spans="7:14" x14ac:dyDescent="0.35">
      <c r="G4237" s="1"/>
      <c r="N4237" s="1"/>
    </row>
    <row r="4238" spans="7:14" x14ac:dyDescent="0.35">
      <c r="G4238" s="1"/>
      <c r="N4238" s="1"/>
    </row>
    <row r="4239" spans="7:14" x14ac:dyDescent="0.35">
      <c r="G4239" s="1"/>
      <c r="N4239" s="1"/>
    </row>
    <row r="4240" spans="7:14" x14ac:dyDescent="0.35">
      <c r="G4240" s="1"/>
      <c r="N4240" s="1"/>
    </row>
    <row r="4241" spans="7:14" x14ac:dyDescent="0.35">
      <c r="G4241" s="1"/>
      <c r="N4241" s="1"/>
    </row>
    <row r="4242" spans="7:14" x14ac:dyDescent="0.35">
      <c r="G4242" s="1"/>
      <c r="N4242" s="1"/>
    </row>
    <row r="4243" spans="7:14" x14ac:dyDescent="0.35">
      <c r="G4243" s="1"/>
      <c r="N4243" s="1"/>
    </row>
    <row r="4244" spans="7:14" x14ac:dyDescent="0.35">
      <c r="G4244" s="1"/>
      <c r="N4244" s="1"/>
    </row>
    <row r="4245" spans="7:14" x14ac:dyDescent="0.35">
      <c r="G4245" s="1"/>
      <c r="N4245" s="1"/>
    </row>
    <row r="4246" spans="7:14" x14ac:dyDescent="0.35">
      <c r="G4246" s="1"/>
      <c r="N4246" s="1"/>
    </row>
    <row r="4247" spans="7:14" x14ac:dyDescent="0.35">
      <c r="G4247" s="1"/>
      <c r="N4247" s="1"/>
    </row>
    <row r="4248" spans="7:14" x14ac:dyDescent="0.35">
      <c r="G4248" s="1"/>
      <c r="N4248" s="1"/>
    </row>
    <row r="4249" spans="7:14" x14ac:dyDescent="0.35">
      <c r="G4249" s="1"/>
      <c r="N4249" s="1"/>
    </row>
    <row r="4250" spans="7:14" x14ac:dyDescent="0.35">
      <c r="G4250" s="1"/>
      <c r="N4250" s="1"/>
    </row>
    <row r="4251" spans="7:14" x14ac:dyDescent="0.35">
      <c r="G4251" s="1"/>
      <c r="N4251" s="1"/>
    </row>
    <row r="4252" spans="7:14" x14ac:dyDescent="0.35">
      <c r="G4252" s="1"/>
      <c r="N4252" s="1"/>
    </row>
    <row r="4253" spans="7:14" x14ac:dyDescent="0.35">
      <c r="G4253" s="1"/>
      <c r="N4253" s="1"/>
    </row>
    <row r="4254" spans="7:14" x14ac:dyDescent="0.35">
      <c r="G4254" s="1"/>
      <c r="N4254" s="1"/>
    </row>
    <row r="4255" spans="7:14" x14ac:dyDescent="0.35">
      <c r="G4255" s="1"/>
      <c r="N4255" s="1"/>
    </row>
    <row r="4256" spans="7:14" x14ac:dyDescent="0.35">
      <c r="G4256" s="1"/>
      <c r="N4256" s="1"/>
    </row>
    <row r="4257" spans="7:14" x14ac:dyDescent="0.35">
      <c r="G4257" s="1"/>
      <c r="N4257" s="1"/>
    </row>
    <row r="4258" spans="7:14" x14ac:dyDescent="0.35">
      <c r="G4258" s="1"/>
      <c r="N4258" s="1"/>
    </row>
    <row r="4259" spans="7:14" x14ac:dyDescent="0.35">
      <c r="G4259" s="1"/>
      <c r="N4259" s="1"/>
    </row>
    <row r="4260" spans="7:14" x14ac:dyDescent="0.35">
      <c r="G4260" s="1"/>
      <c r="N4260" s="1"/>
    </row>
    <row r="4261" spans="7:14" x14ac:dyDescent="0.35">
      <c r="G4261" s="1"/>
      <c r="N4261" s="1"/>
    </row>
    <row r="4262" spans="7:14" x14ac:dyDescent="0.35">
      <c r="G4262" s="1"/>
      <c r="N4262" s="1"/>
    </row>
    <row r="4263" spans="7:14" x14ac:dyDescent="0.35">
      <c r="G4263" s="1"/>
      <c r="N4263" s="1"/>
    </row>
    <row r="4264" spans="7:14" x14ac:dyDescent="0.35">
      <c r="G4264" s="1"/>
      <c r="N4264" s="1"/>
    </row>
    <row r="4265" spans="7:14" x14ac:dyDescent="0.35">
      <c r="G4265" s="1"/>
      <c r="N4265" s="1"/>
    </row>
    <row r="4266" spans="7:14" x14ac:dyDescent="0.35">
      <c r="G4266" s="1"/>
      <c r="N4266" s="1"/>
    </row>
    <row r="4267" spans="7:14" x14ac:dyDescent="0.35">
      <c r="G4267" s="1"/>
      <c r="N4267" s="1"/>
    </row>
    <row r="4268" spans="7:14" x14ac:dyDescent="0.35">
      <c r="G4268" s="1"/>
      <c r="N4268" s="1"/>
    </row>
    <row r="4269" spans="7:14" x14ac:dyDescent="0.35">
      <c r="G4269" s="1"/>
      <c r="N4269" s="1"/>
    </row>
    <row r="4270" spans="7:14" x14ac:dyDescent="0.35">
      <c r="G4270" s="1"/>
      <c r="N4270" s="1"/>
    </row>
    <row r="4271" spans="7:14" x14ac:dyDescent="0.35">
      <c r="G4271" s="1"/>
      <c r="N4271" s="1"/>
    </row>
    <row r="4272" spans="7:14" x14ac:dyDescent="0.35">
      <c r="G4272" s="1"/>
      <c r="N4272" s="1"/>
    </row>
    <row r="4273" spans="7:14" x14ac:dyDescent="0.35">
      <c r="G4273" s="1"/>
      <c r="N4273" s="1"/>
    </row>
    <row r="4274" spans="7:14" x14ac:dyDescent="0.35">
      <c r="G4274" s="1"/>
      <c r="N4274" s="1"/>
    </row>
    <row r="4275" spans="7:14" x14ac:dyDescent="0.35">
      <c r="G4275" s="1"/>
      <c r="N4275" s="1"/>
    </row>
    <row r="4276" spans="7:14" x14ac:dyDescent="0.35">
      <c r="G4276" s="1"/>
      <c r="N4276" s="1"/>
    </row>
    <row r="4277" spans="7:14" x14ac:dyDescent="0.35">
      <c r="G4277" s="1"/>
      <c r="N4277" s="1"/>
    </row>
    <row r="4278" spans="7:14" x14ac:dyDescent="0.35">
      <c r="G4278" s="1"/>
      <c r="N4278" s="1"/>
    </row>
    <row r="4279" spans="7:14" x14ac:dyDescent="0.35">
      <c r="G4279" s="1"/>
      <c r="N4279" s="1"/>
    </row>
    <row r="4280" spans="7:14" x14ac:dyDescent="0.35">
      <c r="G4280" s="1"/>
      <c r="N4280" s="1"/>
    </row>
    <row r="4281" spans="7:14" x14ac:dyDescent="0.35">
      <c r="G4281" s="1"/>
      <c r="N4281" s="1"/>
    </row>
    <row r="4282" spans="7:14" x14ac:dyDescent="0.35">
      <c r="G4282" s="1"/>
      <c r="N4282" s="1"/>
    </row>
    <row r="4283" spans="7:14" x14ac:dyDescent="0.35">
      <c r="G4283" s="1"/>
      <c r="N4283" s="1"/>
    </row>
    <row r="4284" spans="7:14" x14ac:dyDescent="0.35">
      <c r="G4284" s="1"/>
      <c r="N4284" s="1"/>
    </row>
    <row r="4285" spans="7:14" x14ac:dyDescent="0.35">
      <c r="G4285" s="1"/>
      <c r="N4285" s="1"/>
    </row>
    <row r="4286" spans="7:14" x14ac:dyDescent="0.35">
      <c r="G4286" s="1"/>
      <c r="N4286" s="1"/>
    </row>
    <row r="4287" spans="7:14" x14ac:dyDescent="0.35">
      <c r="G4287" s="1"/>
      <c r="N4287" s="1"/>
    </row>
    <row r="4288" spans="7:14" x14ac:dyDescent="0.35">
      <c r="G4288" s="1"/>
      <c r="N4288" s="1"/>
    </row>
    <row r="4289" spans="7:14" x14ac:dyDescent="0.35">
      <c r="G4289" s="1"/>
      <c r="N4289" s="1"/>
    </row>
    <row r="4290" spans="7:14" x14ac:dyDescent="0.35">
      <c r="G4290" s="1"/>
      <c r="N4290" s="1"/>
    </row>
    <row r="4291" spans="7:14" x14ac:dyDescent="0.35">
      <c r="G4291" s="1"/>
      <c r="N4291" s="1"/>
    </row>
    <row r="4292" spans="7:14" x14ac:dyDescent="0.35">
      <c r="G4292" s="1"/>
      <c r="N4292" s="1"/>
    </row>
    <row r="4293" spans="7:14" x14ac:dyDescent="0.35">
      <c r="G4293" s="1"/>
      <c r="N4293" s="1"/>
    </row>
    <row r="4294" spans="7:14" x14ac:dyDescent="0.35">
      <c r="G4294" s="1"/>
      <c r="N4294" s="1"/>
    </row>
    <row r="4295" spans="7:14" x14ac:dyDescent="0.35">
      <c r="G4295" s="1"/>
      <c r="N4295" s="1"/>
    </row>
    <row r="4296" spans="7:14" x14ac:dyDescent="0.35">
      <c r="G4296" s="1"/>
      <c r="N4296" s="1"/>
    </row>
    <row r="4297" spans="7:14" x14ac:dyDescent="0.35">
      <c r="G4297" s="1"/>
      <c r="N4297" s="1"/>
    </row>
    <row r="4298" spans="7:14" x14ac:dyDescent="0.35">
      <c r="G4298" s="1"/>
      <c r="N4298" s="1"/>
    </row>
    <row r="4299" spans="7:14" x14ac:dyDescent="0.35">
      <c r="G4299" s="1"/>
      <c r="N4299" s="1"/>
    </row>
    <row r="4300" spans="7:14" x14ac:dyDescent="0.35">
      <c r="G4300" s="1"/>
      <c r="N4300" s="1"/>
    </row>
    <row r="4301" spans="7:14" x14ac:dyDescent="0.35">
      <c r="G4301" s="1"/>
      <c r="N4301" s="1"/>
    </row>
    <row r="4302" spans="7:14" x14ac:dyDescent="0.35">
      <c r="G4302" s="1"/>
      <c r="N4302" s="1"/>
    </row>
    <row r="4303" spans="7:14" x14ac:dyDescent="0.35">
      <c r="G4303" s="1"/>
      <c r="N4303" s="1"/>
    </row>
    <row r="4304" spans="7:14" x14ac:dyDescent="0.35">
      <c r="G4304" s="1"/>
      <c r="N4304" s="1"/>
    </row>
    <row r="4305" spans="7:14" x14ac:dyDescent="0.35">
      <c r="G4305" s="1"/>
      <c r="N4305" s="1"/>
    </row>
    <row r="4306" spans="7:14" x14ac:dyDescent="0.35">
      <c r="G4306" s="1"/>
      <c r="N4306" s="1"/>
    </row>
    <row r="4307" spans="7:14" x14ac:dyDescent="0.35">
      <c r="G4307" s="1"/>
      <c r="N4307" s="1"/>
    </row>
    <row r="4308" spans="7:14" x14ac:dyDescent="0.35">
      <c r="G4308" s="1"/>
      <c r="N4308" s="1"/>
    </row>
    <row r="4309" spans="7:14" x14ac:dyDescent="0.35">
      <c r="G4309" s="1"/>
      <c r="N4309" s="1"/>
    </row>
    <row r="4310" spans="7:14" x14ac:dyDescent="0.35">
      <c r="G4310" s="1"/>
      <c r="N4310" s="1"/>
    </row>
    <row r="4311" spans="7:14" x14ac:dyDescent="0.35">
      <c r="G4311" s="1"/>
      <c r="N4311" s="1"/>
    </row>
    <row r="4312" spans="7:14" x14ac:dyDescent="0.35">
      <c r="G4312" s="1"/>
      <c r="N4312" s="1"/>
    </row>
    <row r="4313" spans="7:14" x14ac:dyDescent="0.35">
      <c r="G4313" s="1"/>
      <c r="N4313" s="1"/>
    </row>
    <row r="4314" spans="7:14" x14ac:dyDescent="0.35">
      <c r="G4314" s="1"/>
      <c r="N4314" s="1"/>
    </row>
    <row r="4315" spans="7:14" x14ac:dyDescent="0.35">
      <c r="G4315" s="1"/>
      <c r="N4315" s="1"/>
    </row>
    <row r="4316" spans="7:14" x14ac:dyDescent="0.35">
      <c r="G4316" s="1"/>
      <c r="N4316" s="1"/>
    </row>
    <row r="4317" spans="7:14" x14ac:dyDescent="0.35">
      <c r="G4317" s="1"/>
      <c r="N4317" s="1"/>
    </row>
    <row r="4318" spans="7:14" x14ac:dyDescent="0.35">
      <c r="G4318" s="1"/>
      <c r="N4318" s="1"/>
    </row>
    <row r="4319" spans="7:14" x14ac:dyDescent="0.35">
      <c r="G4319" s="1"/>
      <c r="N4319" s="1"/>
    </row>
    <row r="4320" spans="7:14" x14ac:dyDescent="0.35">
      <c r="G4320" s="1"/>
      <c r="N4320" s="1"/>
    </row>
    <row r="4321" spans="7:14" x14ac:dyDescent="0.35">
      <c r="G4321" s="1"/>
      <c r="N4321" s="1"/>
    </row>
    <row r="4322" spans="7:14" x14ac:dyDescent="0.35">
      <c r="G4322" s="1"/>
      <c r="N4322" s="1"/>
    </row>
    <row r="4323" spans="7:14" x14ac:dyDescent="0.35">
      <c r="G4323" s="1"/>
      <c r="N4323" s="1"/>
    </row>
    <row r="4324" spans="7:14" x14ac:dyDescent="0.35">
      <c r="G4324" s="1"/>
      <c r="N4324" s="1"/>
    </row>
    <row r="4325" spans="7:14" x14ac:dyDescent="0.35">
      <c r="G4325" s="1"/>
      <c r="N4325" s="1"/>
    </row>
    <row r="4326" spans="7:14" x14ac:dyDescent="0.35">
      <c r="G4326" s="1"/>
      <c r="N4326" s="1"/>
    </row>
    <row r="4327" spans="7:14" x14ac:dyDescent="0.35">
      <c r="G4327" s="1"/>
      <c r="N4327" s="1"/>
    </row>
    <row r="4328" spans="7:14" x14ac:dyDescent="0.35">
      <c r="G4328" s="1"/>
      <c r="N4328" s="1"/>
    </row>
    <row r="4329" spans="7:14" x14ac:dyDescent="0.35">
      <c r="G4329" s="1"/>
      <c r="N4329" s="1"/>
    </row>
    <row r="4330" spans="7:14" x14ac:dyDescent="0.35">
      <c r="G4330" s="1"/>
      <c r="N4330" s="1"/>
    </row>
    <row r="4331" spans="7:14" x14ac:dyDescent="0.35">
      <c r="G4331" s="1"/>
      <c r="N4331" s="1"/>
    </row>
    <row r="4332" spans="7:14" x14ac:dyDescent="0.35">
      <c r="G4332" s="1"/>
      <c r="N4332" s="1"/>
    </row>
    <row r="4333" spans="7:14" x14ac:dyDescent="0.35">
      <c r="G4333" s="1"/>
      <c r="N4333" s="1"/>
    </row>
    <row r="4334" spans="7:14" x14ac:dyDescent="0.35">
      <c r="G4334" s="1"/>
      <c r="N4334" s="1"/>
    </row>
    <row r="4335" spans="7:14" x14ac:dyDescent="0.35">
      <c r="G4335" s="1"/>
      <c r="N4335" s="1"/>
    </row>
    <row r="4336" spans="7:14" x14ac:dyDescent="0.35">
      <c r="G4336" s="1"/>
      <c r="N4336" s="1"/>
    </row>
    <row r="4337" spans="7:14" x14ac:dyDescent="0.35">
      <c r="G4337" s="1"/>
      <c r="N4337" s="1"/>
    </row>
    <row r="4338" spans="7:14" x14ac:dyDescent="0.35">
      <c r="G4338" s="1"/>
      <c r="N4338" s="1"/>
    </row>
    <row r="4339" spans="7:14" x14ac:dyDescent="0.35">
      <c r="G4339" s="1"/>
      <c r="N4339" s="1"/>
    </row>
    <row r="4340" spans="7:14" x14ac:dyDescent="0.35">
      <c r="G4340" s="1"/>
      <c r="N4340" s="1"/>
    </row>
    <row r="4341" spans="7:14" x14ac:dyDescent="0.35">
      <c r="G4341" s="1"/>
      <c r="N4341" s="1"/>
    </row>
    <row r="4342" spans="7:14" x14ac:dyDescent="0.35">
      <c r="G4342" s="1"/>
      <c r="N4342" s="1"/>
    </row>
    <row r="4343" spans="7:14" x14ac:dyDescent="0.35">
      <c r="G4343" s="1"/>
      <c r="N4343" s="1"/>
    </row>
    <row r="4344" spans="7:14" x14ac:dyDescent="0.35">
      <c r="G4344" s="1"/>
      <c r="N4344" s="1"/>
    </row>
    <row r="4345" spans="7:14" x14ac:dyDescent="0.35">
      <c r="G4345" s="1"/>
      <c r="N4345" s="1"/>
    </row>
    <row r="4346" spans="7:14" x14ac:dyDescent="0.35">
      <c r="G4346" s="1"/>
      <c r="N4346" s="1"/>
    </row>
    <row r="4347" spans="7:14" x14ac:dyDescent="0.35">
      <c r="G4347" s="1"/>
      <c r="N4347" s="1"/>
    </row>
    <row r="4348" spans="7:14" x14ac:dyDescent="0.35">
      <c r="G4348" s="1"/>
      <c r="N4348" s="1"/>
    </row>
    <row r="4349" spans="7:14" x14ac:dyDescent="0.35">
      <c r="G4349" s="1"/>
      <c r="N4349" s="1"/>
    </row>
    <row r="4350" spans="7:14" x14ac:dyDescent="0.35">
      <c r="G4350" s="1"/>
      <c r="N4350" s="1"/>
    </row>
    <row r="4351" spans="7:14" x14ac:dyDescent="0.35">
      <c r="G4351" s="1"/>
      <c r="N4351" s="1"/>
    </row>
    <row r="4352" spans="7:14" x14ac:dyDescent="0.35">
      <c r="G4352" s="1"/>
      <c r="N4352" s="1"/>
    </row>
    <row r="4353" spans="7:14" x14ac:dyDescent="0.35">
      <c r="G4353" s="1"/>
      <c r="N4353" s="1"/>
    </row>
    <row r="4354" spans="7:14" x14ac:dyDescent="0.35">
      <c r="G4354" s="1"/>
      <c r="N4354" s="1"/>
    </row>
    <row r="4355" spans="7:14" x14ac:dyDescent="0.35">
      <c r="G4355" s="1"/>
      <c r="N4355" s="1"/>
    </row>
    <row r="4356" spans="7:14" x14ac:dyDescent="0.35">
      <c r="G4356" s="1"/>
      <c r="N4356" s="1"/>
    </row>
    <row r="4357" spans="7:14" x14ac:dyDescent="0.35">
      <c r="G4357" s="1"/>
      <c r="N4357" s="1"/>
    </row>
    <row r="4358" spans="7:14" x14ac:dyDescent="0.35">
      <c r="G4358" s="1"/>
      <c r="N4358" s="1"/>
    </row>
    <row r="4359" spans="7:14" x14ac:dyDescent="0.35">
      <c r="G4359" s="1"/>
      <c r="N4359" s="1"/>
    </row>
    <row r="4360" spans="7:14" x14ac:dyDescent="0.35">
      <c r="G4360" s="1"/>
      <c r="N4360" s="1"/>
    </row>
    <row r="4361" spans="7:14" x14ac:dyDescent="0.35">
      <c r="G4361" s="1"/>
      <c r="N4361" s="1"/>
    </row>
    <row r="4362" spans="7:14" x14ac:dyDescent="0.35">
      <c r="G4362" s="1"/>
      <c r="N4362" s="1"/>
    </row>
    <row r="4363" spans="7:14" x14ac:dyDescent="0.35">
      <c r="G4363" s="1"/>
      <c r="N4363" s="1"/>
    </row>
    <row r="4364" spans="7:14" x14ac:dyDescent="0.35">
      <c r="G4364" s="1"/>
      <c r="N4364" s="1"/>
    </row>
    <row r="4365" spans="7:14" x14ac:dyDescent="0.35">
      <c r="G4365" s="1"/>
      <c r="N4365" s="1"/>
    </row>
    <row r="4366" spans="7:14" x14ac:dyDescent="0.35">
      <c r="G4366" s="1"/>
      <c r="N4366" s="1"/>
    </row>
    <row r="4367" spans="7:14" x14ac:dyDescent="0.35">
      <c r="G4367" s="1"/>
      <c r="N4367" s="1"/>
    </row>
    <row r="4368" spans="7:14" x14ac:dyDescent="0.35">
      <c r="G4368" s="1"/>
      <c r="N4368" s="1"/>
    </row>
    <row r="4369" spans="7:14" x14ac:dyDescent="0.35">
      <c r="G4369" s="1"/>
      <c r="N4369" s="1"/>
    </row>
    <row r="4370" spans="7:14" x14ac:dyDescent="0.35">
      <c r="G4370" s="1"/>
      <c r="N4370" s="1"/>
    </row>
    <row r="4371" spans="7:14" x14ac:dyDescent="0.35">
      <c r="G4371" s="1"/>
      <c r="N4371" s="1"/>
    </row>
    <row r="4372" spans="7:14" x14ac:dyDescent="0.35">
      <c r="G4372" s="1"/>
      <c r="N4372" s="1"/>
    </row>
    <row r="4373" spans="7:14" x14ac:dyDescent="0.35">
      <c r="G4373" s="1"/>
      <c r="N4373" s="1"/>
    </row>
    <row r="4374" spans="7:14" x14ac:dyDescent="0.35">
      <c r="G4374" s="1"/>
      <c r="N4374" s="1"/>
    </row>
    <row r="4375" spans="7:14" x14ac:dyDescent="0.35">
      <c r="G4375" s="1"/>
      <c r="N4375" s="1"/>
    </row>
    <row r="4376" spans="7:14" x14ac:dyDescent="0.35">
      <c r="G4376" s="1"/>
      <c r="N4376" s="1"/>
    </row>
    <row r="4377" spans="7:14" x14ac:dyDescent="0.35">
      <c r="G4377" s="1"/>
      <c r="N4377" s="1"/>
    </row>
    <row r="4378" spans="7:14" x14ac:dyDescent="0.35">
      <c r="G4378" s="1"/>
      <c r="N4378" s="1"/>
    </row>
    <row r="4379" spans="7:14" x14ac:dyDescent="0.35">
      <c r="G4379" s="1"/>
      <c r="N4379" s="1"/>
    </row>
    <row r="4380" spans="7:14" x14ac:dyDescent="0.35">
      <c r="G4380" s="1"/>
      <c r="N4380" s="1"/>
    </row>
    <row r="4381" spans="7:14" x14ac:dyDescent="0.35">
      <c r="G4381" s="1"/>
      <c r="N4381" s="1"/>
    </row>
    <row r="4382" spans="7:14" x14ac:dyDescent="0.35">
      <c r="G4382" s="1"/>
      <c r="N4382" s="1"/>
    </row>
    <row r="4383" spans="7:14" x14ac:dyDescent="0.35">
      <c r="G4383" s="1"/>
      <c r="N4383" s="1"/>
    </row>
    <row r="4384" spans="7:14" x14ac:dyDescent="0.35">
      <c r="G4384" s="1"/>
      <c r="N4384" s="1"/>
    </row>
    <row r="4385" spans="7:14" x14ac:dyDescent="0.35">
      <c r="G4385" s="1"/>
      <c r="N4385" s="1"/>
    </row>
    <row r="4386" spans="7:14" x14ac:dyDescent="0.35">
      <c r="G4386" s="1"/>
      <c r="N4386" s="1"/>
    </row>
    <row r="4387" spans="7:14" x14ac:dyDescent="0.35">
      <c r="G4387" s="1"/>
      <c r="N4387" s="1"/>
    </row>
    <row r="4388" spans="7:14" x14ac:dyDescent="0.35">
      <c r="G4388" s="1"/>
      <c r="N4388" s="1"/>
    </row>
    <row r="4389" spans="7:14" x14ac:dyDescent="0.35">
      <c r="G4389" s="1"/>
      <c r="N4389" s="1"/>
    </row>
    <row r="4390" spans="7:14" x14ac:dyDescent="0.35">
      <c r="G4390" s="1"/>
      <c r="N4390" s="1"/>
    </row>
    <row r="4391" spans="7:14" x14ac:dyDescent="0.35">
      <c r="G4391" s="1"/>
      <c r="N4391" s="1"/>
    </row>
    <row r="4392" spans="7:14" x14ac:dyDescent="0.35">
      <c r="G4392" s="1"/>
      <c r="N4392" s="1"/>
    </row>
    <row r="4393" spans="7:14" x14ac:dyDescent="0.35">
      <c r="G4393" s="1"/>
      <c r="N4393" s="1"/>
    </row>
    <row r="4394" spans="7:14" x14ac:dyDescent="0.35">
      <c r="G4394" s="1"/>
      <c r="N4394" s="1"/>
    </row>
    <row r="4395" spans="7:14" x14ac:dyDescent="0.35">
      <c r="G4395" s="1"/>
      <c r="N4395" s="1"/>
    </row>
    <row r="4396" spans="7:14" x14ac:dyDescent="0.35">
      <c r="G4396" s="1"/>
      <c r="N4396" s="1"/>
    </row>
    <row r="4397" spans="7:14" x14ac:dyDescent="0.35">
      <c r="G4397" s="1"/>
      <c r="N4397" s="1"/>
    </row>
    <row r="4398" spans="7:14" x14ac:dyDescent="0.35">
      <c r="G4398" s="1"/>
      <c r="N4398" s="1"/>
    </row>
    <row r="4399" spans="7:14" x14ac:dyDescent="0.35">
      <c r="G4399" s="1"/>
      <c r="N4399" s="1"/>
    </row>
    <row r="4400" spans="7:14" x14ac:dyDescent="0.35">
      <c r="G4400" s="1"/>
      <c r="N4400" s="1"/>
    </row>
    <row r="4401" spans="7:14" x14ac:dyDescent="0.35">
      <c r="G4401" s="1"/>
      <c r="N4401" s="1"/>
    </row>
    <row r="4402" spans="7:14" x14ac:dyDescent="0.35">
      <c r="G4402" s="1"/>
      <c r="N4402" s="1"/>
    </row>
    <row r="4403" spans="7:14" x14ac:dyDescent="0.35">
      <c r="G4403" s="1"/>
      <c r="N4403" s="1"/>
    </row>
    <row r="4404" spans="7:14" x14ac:dyDescent="0.35">
      <c r="G4404" s="1"/>
      <c r="N4404" s="1"/>
    </row>
    <row r="4405" spans="7:14" x14ac:dyDescent="0.35">
      <c r="G4405" s="1"/>
      <c r="N4405" s="1"/>
    </row>
    <row r="4406" spans="7:14" x14ac:dyDescent="0.35">
      <c r="G4406" s="1"/>
      <c r="N4406" s="1"/>
    </row>
    <row r="4407" spans="7:14" x14ac:dyDescent="0.35">
      <c r="G4407" s="1"/>
      <c r="N4407" s="1"/>
    </row>
    <row r="4408" spans="7:14" x14ac:dyDescent="0.35">
      <c r="G4408" s="1"/>
      <c r="N4408" s="1"/>
    </row>
    <row r="4409" spans="7:14" x14ac:dyDescent="0.35">
      <c r="G4409" s="1"/>
      <c r="N4409" s="1"/>
    </row>
    <row r="4410" spans="7:14" x14ac:dyDescent="0.35">
      <c r="G4410" s="1"/>
      <c r="N4410" s="1"/>
    </row>
    <row r="4411" spans="7:14" x14ac:dyDescent="0.35">
      <c r="G4411" s="1"/>
      <c r="N4411" s="1"/>
    </row>
    <row r="4412" spans="7:14" x14ac:dyDescent="0.35">
      <c r="G4412" s="1"/>
      <c r="N4412" s="1"/>
    </row>
    <row r="4413" spans="7:14" x14ac:dyDescent="0.35">
      <c r="G4413" s="1"/>
      <c r="N4413" s="1"/>
    </row>
    <row r="4414" spans="7:14" x14ac:dyDescent="0.35">
      <c r="G4414" s="1"/>
      <c r="N4414" s="1"/>
    </row>
    <row r="4415" spans="7:14" x14ac:dyDescent="0.35">
      <c r="G4415" s="1"/>
      <c r="N4415" s="1"/>
    </row>
    <row r="4416" spans="7:14" x14ac:dyDescent="0.35">
      <c r="G4416" s="1"/>
      <c r="N4416" s="1"/>
    </row>
    <row r="4417" spans="7:14" x14ac:dyDescent="0.35">
      <c r="G4417" s="1"/>
      <c r="N4417" s="1"/>
    </row>
    <row r="4418" spans="7:14" x14ac:dyDescent="0.35">
      <c r="G4418" s="1"/>
      <c r="N4418" s="1"/>
    </row>
    <row r="4419" spans="7:14" x14ac:dyDescent="0.35">
      <c r="G4419" s="1"/>
      <c r="N4419" s="1"/>
    </row>
    <row r="4420" spans="7:14" x14ac:dyDescent="0.35">
      <c r="G4420" s="1"/>
      <c r="N4420" s="1"/>
    </row>
    <row r="4421" spans="7:14" x14ac:dyDescent="0.35">
      <c r="G4421" s="1"/>
      <c r="N4421" s="1"/>
    </row>
    <row r="4422" spans="7:14" x14ac:dyDescent="0.35">
      <c r="G4422" s="1"/>
      <c r="N4422" s="1"/>
    </row>
    <row r="4423" spans="7:14" x14ac:dyDescent="0.35">
      <c r="G4423" s="1"/>
      <c r="N4423" s="1"/>
    </row>
    <row r="4424" spans="7:14" x14ac:dyDescent="0.35">
      <c r="G4424" s="1"/>
      <c r="N4424" s="1"/>
    </row>
    <row r="4425" spans="7:14" x14ac:dyDescent="0.35">
      <c r="G4425" s="1"/>
      <c r="N4425" s="1"/>
    </row>
    <row r="4426" spans="7:14" x14ac:dyDescent="0.35">
      <c r="G4426" s="1"/>
      <c r="N4426" s="1"/>
    </row>
    <row r="4427" spans="7:14" x14ac:dyDescent="0.35">
      <c r="G4427" s="1"/>
      <c r="N4427" s="1"/>
    </row>
    <row r="4428" spans="7:14" x14ac:dyDescent="0.35">
      <c r="G4428" s="1"/>
      <c r="N4428" s="1"/>
    </row>
    <row r="4429" spans="7:14" x14ac:dyDescent="0.35">
      <c r="G4429" s="1"/>
      <c r="N4429" s="1"/>
    </row>
    <row r="4430" spans="7:14" x14ac:dyDescent="0.35">
      <c r="G4430" s="1"/>
      <c r="N4430" s="1"/>
    </row>
    <row r="4431" spans="7:14" x14ac:dyDescent="0.35">
      <c r="G4431" s="1"/>
      <c r="N4431" s="1"/>
    </row>
    <row r="4432" spans="7:14" x14ac:dyDescent="0.35">
      <c r="G4432" s="1"/>
      <c r="N4432" s="1"/>
    </row>
    <row r="4433" spans="7:14" x14ac:dyDescent="0.35">
      <c r="G4433" s="1"/>
      <c r="N4433" s="1"/>
    </row>
    <row r="4434" spans="7:14" x14ac:dyDescent="0.35">
      <c r="G4434" s="1"/>
      <c r="N4434" s="1"/>
    </row>
    <row r="4435" spans="7:14" x14ac:dyDescent="0.35">
      <c r="G4435" s="1"/>
      <c r="N4435" s="1"/>
    </row>
    <row r="4436" spans="7:14" x14ac:dyDescent="0.35">
      <c r="G4436" s="1"/>
      <c r="N4436" s="1"/>
    </row>
    <row r="4437" spans="7:14" x14ac:dyDescent="0.35">
      <c r="G4437" s="1"/>
      <c r="N4437" s="1"/>
    </row>
    <row r="4438" spans="7:14" x14ac:dyDescent="0.35">
      <c r="G4438" s="1"/>
      <c r="N4438" s="1"/>
    </row>
    <row r="4439" spans="7:14" x14ac:dyDescent="0.35">
      <c r="G4439" s="1"/>
      <c r="N4439" s="1"/>
    </row>
    <row r="4440" spans="7:14" x14ac:dyDescent="0.35">
      <c r="G4440" s="1"/>
      <c r="N4440" s="1"/>
    </row>
    <row r="4441" spans="7:14" x14ac:dyDescent="0.35">
      <c r="G4441" s="1"/>
      <c r="N4441" s="1"/>
    </row>
    <row r="4442" spans="7:14" x14ac:dyDescent="0.35">
      <c r="G4442" s="1"/>
      <c r="N4442" s="1"/>
    </row>
    <row r="4443" spans="7:14" x14ac:dyDescent="0.35">
      <c r="G4443" s="1"/>
      <c r="N4443" s="1"/>
    </row>
    <row r="4444" spans="7:14" x14ac:dyDescent="0.35">
      <c r="G4444" s="1"/>
      <c r="N4444" s="1"/>
    </row>
    <row r="4445" spans="7:14" x14ac:dyDescent="0.35">
      <c r="G4445" s="1"/>
      <c r="N4445" s="1"/>
    </row>
    <row r="4446" spans="7:14" x14ac:dyDescent="0.35">
      <c r="G4446" s="1"/>
      <c r="N4446" s="1"/>
    </row>
    <row r="4447" spans="7:14" x14ac:dyDescent="0.35">
      <c r="G4447" s="1"/>
      <c r="N4447" s="1"/>
    </row>
    <row r="4448" spans="7:14" x14ac:dyDescent="0.35">
      <c r="G4448" s="1"/>
      <c r="N4448" s="1"/>
    </row>
    <row r="4449" spans="7:14" x14ac:dyDescent="0.35">
      <c r="G4449" s="1"/>
      <c r="N4449" s="1"/>
    </row>
    <row r="4450" spans="7:14" x14ac:dyDescent="0.35">
      <c r="G4450" s="1"/>
      <c r="N4450" s="1"/>
    </row>
    <row r="4451" spans="7:14" x14ac:dyDescent="0.35">
      <c r="G4451" s="1"/>
      <c r="N4451" s="1"/>
    </row>
    <row r="4452" spans="7:14" x14ac:dyDescent="0.35">
      <c r="G4452" s="1"/>
      <c r="N4452" s="1"/>
    </row>
    <row r="4453" spans="7:14" x14ac:dyDescent="0.35">
      <c r="G4453" s="1"/>
      <c r="N4453" s="1"/>
    </row>
    <row r="4454" spans="7:14" x14ac:dyDescent="0.35">
      <c r="G4454" s="1"/>
      <c r="N4454" s="1"/>
    </row>
    <row r="4455" spans="7:14" x14ac:dyDescent="0.35">
      <c r="G4455" s="1"/>
      <c r="N4455" s="1"/>
    </row>
    <row r="4456" spans="7:14" x14ac:dyDescent="0.35">
      <c r="G4456" s="1"/>
      <c r="N4456" s="1"/>
    </row>
    <row r="4457" spans="7:14" x14ac:dyDescent="0.35">
      <c r="G4457" s="1"/>
      <c r="N4457" s="1"/>
    </row>
    <row r="4458" spans="7:14" x14ac:dyDescent="0.35">
      <c r="G4458" s="1"/>
      <c r="N4458" s="1"/>
    </row>
    <row r="4459" spans="7:14" x14ac:dyDescent="0.35">
      <c r="G4459" s="1"/>
      <c r="N4459" s="1"/>
    </row>
    <row r="4460" spans="7:14" x14ac:dyDescent="0.35">
      <c r="G4460" s="1"/>
      <c r="N4460" s="1"/>
    </row>
    <row r="4461" spans="7:14" x14ac:dyDescent="0.35">
      <c r="G4461" s="1"/>
      <c r="N4461" s="1"/>
    </row>
    <row r="4462" spans="7:14" x14ac:dyDescent="0.35">
      <c r="G4462" s="1"/>
      <c r="N4462" s="1"/>
    </row>
    <row r="4463" spans="7:14" x14ac:dyDescent="0.35">
      <c r="G4463" s="1"/>
      <c r="N4463" s="1"/>
    </row>
    <row r="4464" spans="7:14" x14ac:dyDescent="0.35">
      <c r="G4464" s="1"/>
      <c r="N4464" s="1"/>
    </row>
    <row r="4465" spans="7:14" x14ac:dyDescent="0.35">
      <c r="G4465" s="1"/>
      <c r="N4465" s="1"/>
    </row>
    <row r="4466" spans="7:14" x14ac:dyDescent="0.35">
      <c r="G4466" s="1"/>
      <c r="N4466" s="1"/>
    </row>
    <row r="4467" spans="7:14" x14ac:dyDescent="0.35">
      <c r="G4467" s="1"/>
      <c r="N4467" s="1"/>
    </row>
    <row r="4468" spans="7:14" x14ac:dyDescent="0.35">
      <c r="G4468" s="1"/>
      <c r="N4468" s="1"/>
    </row>
    <row r="4469" spans="7:14" x14ac:dyDescent="0.35">
      <c r="G4469" s="1"/>
      <c r="N4469" s="1"/>
    </row>
    <row r="4470" spans="7:14" x14ac:dyDescent="0.35">
      <c r="G4470" s="1"/>
      <c r="N4470" s="1"/>
    </row>
    <row r="4471" spans="7:14" x14ac:dyDescent="0.35">
      <c r="G4471" s="1"/>
      <c r="N4471" s="1"/>
    </row>
    <row r="4472" spans="7:14" x14ac:dyDescent="0.35">
      <c r="G4472" s="1"/>
      <c r="N4472" s="1"/>
    </row>
    <row r="4473" spans="7:14" x14ac:dyDescent="0.35">
      <c r="G4473" s="1"/>
      <c r="N4473" s="1"/>
    </row>
    <row r="4474" spans="7:14" x14ac:dyDescent="0.35">
      <c r="G4474" s="1"/>
      <c r="N4474" s="1"/>
    </row>
    <row r="4475" spans="7:14" x14ac:dyDescent="0.35">
      <c r="G4475" s="1"/>
      <c r="N4475" s="1"/>
    </row>
    <row r="4476" spans="7:14" x14ac:dyDescent="0.35">
      <c r="G4476" s="1"/>
      <c r="N4476" s="1"/>
    </row>
    <row r="4477" spans="7:14" x14ac:dyDescent="0.35">
      <c r="G4477" s="1"/>
      <c r="N4477" s="1"/>
    </row>
    <row r="4478" spans="7:14" x14ac:dyDescent="0.35">
      <c r="G4478" s="1"/>
      <c r="N4478" s="1"/>
    </row>
    <row r="4479" spans="7:14" x14ac:dyDescent="0.35">
      <c r="G4479" s="1"/>
      <c r="N4479" s="1"/>
    </row>
    <row r="4480" spans="7:14" x14ac:dyDescent="0.35">
      <c r="G4480" s="1"/>
      <c r="N4480" s="1"/>
    </row>
    <row r="4481" spans="7:14" x14ac:dyDescent="0.35">
      <c r="G4481" s="1"/>
      <c r="N4481" s="1"/>
    </row>
    <row r="4482" spans="7:14" x14ac:dyDescent="0.35">
      <c r="G4482" s="1"/>
      <c r="N4482" s="1"/>
    </row>
    <row r="4483" spans="7:14" x14ac:dyDescent="0.35">
      <c r="G4483" s="1"/>
      <c r="N4483" s="1"/>
    </row>
    <row r="4484" spans="7:14" x14ac:dyDescent="0.35">
      <c r="G4484" s="1"/>
      <c r="N4484" s="1"/>
    </row>
    <row r="4485" spans="7:14" x14ac:dyDescent="0.35">
      <c r="G4485" s="1"/>
      <c r="N4485" s="1"/>
    </row>
    <row r="4486" spans="7:14" x14ac:dyDescent="0.35">
      <c r="G4486" s="1"/>
      <c r="N4486" s="1"/>
    </row>
    <row r="4487" spans="7:14" x14ac:dyDescent="0.35">
      <c r="G4487" s="1"/>
      <c r="N4487" s="1"/>
    </row>
    <row r="4488" spans="7:14" x14ac:dyDescent="0.35">
      <c r="G4488" s="1"/>
      <c r="N4488" s="1"/>
    </row>
    <row r="4489" spans="7:14" x14ac:dyDescent="0.35">
      <c r="G4489" s="1"/>
      <c r="N4489" s="1"/>
    </row>
    <row r="4490" spans="7:14" x14ac:dyDescent="0.35">
      <c r="G4490" s="1"/>
      <c r="N4490" s="1"/>
    </row>
    <row r="4491" spans="7:14" x14ac:dyDescent="0.35">
      <c r="G4491" s="1"/>
      <c r="N4491" s="1"/>
    </row>
    <row r="4492" spans="7:14" x14ac:dyDescent="0.35">
      <c r="G4492" s="1"/>
      <c r="N4492" s="1"/>
    </row>
    <row r="4493" spans="7:14" x14ac:dyDescent="0.35">
      <c r="G4493" s="1"/>
      <c r="N4493" s="1"/>
    </row>
    <row r="4494" spans="7:14" x14ac:dyDescent="0.35">
      <c r="G4494" s="1"/>
      <c r="N4494" s="1"/>
    </row>
    <row r="4495" spans="7:14" x14ac:dyDescent="0.35">
      <c r="G4495" s="1"/>
      <c r="N4495" s="1"/>
    </row>
    <row r="4496" spans="7:14" x14ac:dyDescent="0.35">
      <c r="G4496" s="1"/>
      <c r="N4496" s="1"/>
    </row>
    <row r="4497" spans="7:14" x14ac:dyDescent="0.35">
      <c r="G4497" s="1"/>
      <c r="N4497" s="1"/>
    </row>
    <row r="4498" spans="7:14" x14ac:dyDescent="0.35">
      <c r="G4498" s="1"/>
      <c r="N4498" s="1"/>
    </row>
    <row r="4499" spans="7:14" x14ac:dyDescent="0.35">
      <c r="G4499" s="1"/>
      <c r="N4499" s="1"/>
    </row>
    <row r="4500" spans="7:14" x14ac:dyDescent="0.35">
      <c r="G4500" s="1"/>
      <c r="N4500" s="1"/>
    </row>
    <row r="4501" spans="7:14" x14ac:dyDescent="0.35">
      <c r="G4501" s="1"/>
      <c r="N4501" s="1"/>
    </row>
    <row r="4502" spans="7:14" x14ac:dyDescent="0.35">
      <c r="G4502" s="1"/>
      <c r="N4502" s="1"/>
    </row>
    <row r="4503" spans="7:14" x14ac:dyDescent="0.35">
      <c r="G4503" s="1"/>
      <c r="N4503" s="1"/>
    </row>
    <row r="4504" spans="7:14" x14ac:dyDescent="0.35">
      <c r="G4504" s="1"/>
      <c r="N4504" s="1"/>
    </row>
    <row r="4505" spans="7:14" x14ac:dyDescent="0.35">
      <c r="G4505" s="1"/>
      <c r="N4505" s="1"/>
    </row>
    <row r="4506" spans="7:14" x14ac:dyDescent="0.35">
      <c r="G4506" s="1"/>
      <c r="N4506" s="1"/>
    </row>
    <row r="4507" spans="7:14" x14ac:dyDescent="0.35">
      <c r="G4507" s="1"/>
      <c r="N4507" s="1"/>
    </row>
    <row r="4508" spans="7:14" x14ac:dyDescent="0.35">
      <c r="G4508" s="1"/>
      <c r="N4508" s="1"/>
    </row>
    <row r="4509" spans="7:14" x14ac:dyDescent="0.35">
      <c r="G4509" s="1"/>
      <c r="N4509" s="1"/>
    </row>
    <row r="4510" spans="7:14" x14ac:dyDescent="0.35">
      <c r="G4510" s="1"/>
      <c r="N4510" s="1"/>
    </row>
    <row r="4511" spans="7:14" x14ac:dyDescent="0.35">
      <c r="G4511" s="1"/>
      <c r="N4511" s="1"/>
    </row>
    <row r="4512" spans="7:14" x14ac:dyDescent="0.35">
      <c r="G4512" s="1"/>
      <c r="N4512" s="1"/>
    </row>
    <row r="4513" spans="7:14" x14ac:dyDescent="0.35">
      <c r="G4513" s="1"/>
      <c r="N4513" s="1"/>
    </row>
    <row r="4514" spans="7:14" x14ac:dyDescent="0.35">
      <c r="G4514" s="1"/>
      <c r="N4514" s="1"/>
    </row>
    <row r="4515" spans="7:14" x14ac:dyDescent="0.35">
      <c r="G4515" s="1"/>
      <c r="N4515" s="1"/>
    </row>
    <row r="4516" spans="7:14" x14ac:dyDescent="0.35">
      <c r="G4516" s="1"/>
      <c r="N4516" s="1"/>
    </row>
    <row r="4517" spans="7:14" x14ac:dyDescent="0.35">
      <c r="G4517" s="1"/>
      <c r="N4517" s="1"/>
    </row>
    <row r="4518" spans="7:14" x14ac:dyDescent="0.35">
      <c r="G4518" s="1"/>
      <c r="N4518" s="1"/>
    </row>
    <row r="4519" spans="7:14" x14ac:dyDescent="0.35">
      <c r="G4519" s="1"/>
      <c r="N4519" s="1"/>
    </row>
    <row r="4520" spans="7:14" x14ac:dyDescent="0.35">
      <c r="G4520" s="1"/>
      <c r="N4520" s="1"/>
    </row>
    <row r="4521" spans="7:14" x14ac:dyDescent="0.35">
      <c r="G4521" s="1"/>
      <c r="N4521" s="1"/>
    </row>
    <row r="4522" spans="7:14" x14ac:dyDescent="0.35">
      <c r="G4522" s="1"/>
      <c r="N4522" s="1"/>
    </row>
    <row r="4523" spans="7:14" x14ac:dyDescent="0.35">
      <c r="G4523" s="1"/>
      <c r="N4523" s="1"/>
    </row>
    <row r="4524" spans="7:14" x14ac:dyDescent="0.35">
      <c r="G4524" s="1"/>
      <c r="N4524" s="1"/>
    </row>
    <row r="4525" spans="7:14" x14ac:dyDescent="0.35">
      <c r="G4525" s="1"/>
      <c r="N4525" s="1"/>
    </row>
    <row r="4526" spans="7:14" x14ac:dyDescent="0.35">
      <c r="G4526" s="1"/>
      <c r="N4526" s="1"/>
    </row>
    <row r="4527" spans="7:14" x14ac:dyDescent="0.35">
      <c r="G4527" s="1"/>
      <c r="N4527" s="1"/>
    </row>
    <row r="4528" spans="7:14" x14ac:dyDescent="0.35">
      <c r="G4528" s="1"/>
      <c r="N4528" s="1"/>
    </row>
    <row r="4529" spans="7:14" x14ac:dyDescent="0.35">
      <c r="G4529" s="1"/>
      <c r="N4529" s="1"/>
    </row>
    <row r="4530" spans="7:14" x14ac:dyDescent="0.35">
      <c r="G4530" s="1"/>
      <c r="N4530" s="1"/>
    </row>
    <row r="4531" spans="7:14" x14ac:dyDescent="0.35">
      <c r="G4531" s="1"/>
      <c r="N4531" s="1"/>
    </row>
    <row r="4532" spans="7:14" x14ac:dyDescent="0.35">
      <c r="G4532" s="1"/>
      <c r="N4532" s="1"/>
    </row>
    <row r="4533" spans="7:14" x14ac:dyDescent="0.35">
      <c r="G4533" s="1"/>
      <c r="N4533" s="1"/>
    </row>
    <row r="4534" spans="7:14" x14ac:dyDescent="0.35">
      <c r="G4534" s="1"/>
      <c r="N4534" s="1"/>
    </row>
    <row r="4535" spans="7:14" x14ac:dyDescent="0.35">
      <c r="G4535" s="1"/>
      <c r="N4535" s="1"/>
    </row>
    <row r="4536" spans="7:14" x14ac:dyDescent="0.35">
      <c r="G4536" s="1"/>
      <c r="N4536" s="1"/>
    </row>
    <row r="4537" spans="7:14" x14ac:dyDescent="0.35">
      <c r="G4537" s="1"/>
      <c r="N4537" s="1"/>
    </row>
    <row r="4538" spans="7:14" x14ac:dyDescent="0.35">
      <c r="G4538" s="1"/>
      <c r="N4538" s="1"/>
    </row>
    <row r="4539" spans="7:14" x14ac:dyDescent="0.35">
      <c r="G4539" s="1"/>
      <c r="N4539" s="1"/>
    </row>
    <row r="4540" spans="7:14" x14ac:dyDescent="0.35">
      <c r="G4540" s="1"/>
      <c r="N4540" s="1"/>
    </row>
    <row r="4541" spans="7:14" x14ac:dyDescent="0.35">
      <c r="G4541" s="1"/>
      <c r="N4541" s="1"/>
    </row>
    <row r="4542" spans="7:14" x14ac:dyDescent="0.35">
      <c r="G4542" s="1"/>
      <c r="N4542" s="1"/>
    </row>
    <row r="4543" spans="7:14" x14ac:dyDescent="0.35">
      <c r="G4543" s="1"/>
      <c r="N4543" s="1"/>
    </row>
    <row r="4544" spans="7:14" x14ac:dyDescent="0.35">
      <c r="G4544" s="1"/>
      <c r="N4544" s="1"/>
    </row>
    <row r="4545" spans="7:14" x14ac:dyDescent="0.35">
      <c r="G4545" s="1"/>
      <c r="N4545" s="1"/>
    </row>
    <row r="4546" spans="7:14" x14ac:dyDescent="0.35">
      <c r="G4546" s="1"/>
      <c r="N4546" s="1"/>
    </row>
    <row r="4547" spans="7:14" x14ac:dyDescent="0.35">
      <c r="G4547" s="1"/>
      <c r="N4547" s="1"/>
    </row>
    <row r="4548" spans="7:14" x14ac:dyDescent="0.35">
      <c r="G4548" s="1"/>
      <c r="N4548" s="1"/>
    </row>
    <row r="4549" spans="7:14" x14ac:dyDescent="0.35">
      <c r="G4549" s="1"/>
      <c r="N4549" s="1"/>
    </row>
    <row r="4550" spans="7:14" x14ac:dyDescent="0.35">
      <c r="G4550" s="1"/>
      <c r="N4550" s="1"/>
    </row>
    <row r="4551" spans="7:14" x14ac:dyDescent="0.35">
      <c r="G4551" s="1"/>
      <c r="N4551" s="1"/>
    </row>
    <row r="4552" spans="7:14" x14ac:dyDescent="0.35">
      <c r="G4552" s="1"/>
      <c r="N4552" s="1"/>
    </row>
    <row r="4553" spans="7:14" x14ac:dyDescent="0.35">
      <c r="G4553" s="1"/>
      <c r="N4553" s="1"/>
    </row>
    <row r="4554" spans="7:14" x14ac:dyDescent="0.35">
      <c r="G4554" s="1"/>
      <c r="N4554" s="1"/>
    </row>
    <row r="4555" spans="7:14" x14ac:dyDescent="0.35">
      <c r="G4555" s="1"/>
      <c r="N4555" s="1"/>
    </row>
    <row r="4556" spans="7:14" x14ac:dyDescent="0.35">
      <c r="G4556" s="1"/>
      <c r="N4556" s="1"/>
    </row>
    <row r="4557" spans="7:14" x14ac:dyDescent="0.35">
      <c r="G4557" s="1"/>
      <c r="N4557" s="1"/>
    </row>
    <row r="4558" spans="7:14" x14ac:dyDescent="0.35">
      <c r="G4558" s="1"/>
      <c r="N4558" s="1"/>
    </row>
    <row r="4559" spans="7:14" x14ac:dyDescent="0.35">
      <c r="G4559" s="1"/>
      <c r="N4559" s="1"/>
    </row>
    <row r="4560" spans="7:14" x14ac:dyDescent="0.35">
      <c r="G4560" s="1"/>
      <c r="N4560" s="1"/>
    </row>
    <row r="4561" spans="7:14" x14ac:dyDescent="0.35">
      <c r="G4561" s="1"/>
      <c r="N4561" s="1"/>
    </row>
    <row r="4562" spans="7:14" x14ac:dyDescent="0.35">
      <c r="G4562" s="1"/>
      <c r="N4562" s="1"/>
    </row>
    <row r="4563" spans="7:14" x14ac:dyDescent="0.35">
      <c r="G4563" s="1"/>
      <c r="N4563" s="1"/>
    </row>
    <row r="4564" spans="7:14" x14ac:dyDescent="0.35">
      <c r="G4564" s="1"/>
      <c r="N4564" s="1"/>
    </row>
    <row r="4565" spans="7:14" x14ac:dyDescent="0.35">
      <c r="G4565" s="1"/>
      <c r="N4565" s="1"/>
    </row>
    <row r="4566" spans="7:14" x14ac:dyDescent="0.35">
      <c r="G4566" s="1"/>
      <c r="N4566" s="1"/>
    </row>
    <row r="4567" spans="7:14" x14ac:dyDescent="0.35">
      <c r="G4567" s="1"/>
      <c r="N4567" s="1"/>
    </row>
    <row r="4568" spans="7:14" x14ac:dyDescent="0.35">
      <c r="G4568" s="1"/>
      <c r="N4568" s="1"/>
    </row>
    <row r="4569" spans="7:14" x14ac:dyDescent="0.35">
      <c r="G4569" s="1"/>
      <c r="N4569" s="1"/>
    </row>
    <row r="4570" spans="7:14" x14ac:dyDescent="0.35">
      <c r="G4570" s="1"/>
      <c r="N4570" s="1"/>
    </row>
    <row r="4571" spans="7:14" x14ac:dyDescent="0.35">
      <c r="G4571" s="1"/>
      <c r="N4571" s="1"/>
    </row>
    <row r="4572" spans="7:14" x14ac:dyDescent="0.35">
      <c r="G4572" s="1"/>
      <c r="N4572" s="1"/>
    </row>
    <row r="4573" spans="7:14" x14ac:dyDescent="0.35">
      <c r="G4573" s="1"/>
      <c r="N4573" s="1"/>
    </row>
    <row r="4574" spans="7:14" x14ac:dyDescent="0.35">
      <c r="G4574" s="1"/>
      <c r="N4574" s="1"/>
    </row>
    <row r="4575" spans="7:14" x14ac:dyDescent="0.35">
      <c r="G4575" s="1"/>
      <c r="N4575" s="1"/>
    </row>
    <row r="4576" spans="7:14" x14ac:dyDescent="0.35">
      <c r="G4576" s="1"/>
      <c r="N4576" s="1"/>
    </row>
    <row r="4577" spans="7:14" x14ac:dyDescent="0.35">
      <c r="G4577" s="1"/>
      <c r="N4577" s="1"/>
    </row>
    <row r="4578" spans="7:14" x14ac:dyDescent="0.35">
      <c r="G4578" s="1"/>
      <c r="N4578" s="1"/>
    </row>
    <row r="4579" spans="7:14" x14ac:dyDescent="0.35">
      <c r="G4579" s="1"/>
      <c r="N4579" s="1"/>
    </row>
    <row r="4580" spans="7:14" x14ac:dyDescent="0.35">
      <c r="G4580" s="1"/>
      <c r="N4580" s="1"/>
    </row>
    <row r="4581" spans="7:14" x14ac:dyDescent="0.35">
      <c r="G4581" s="1"/>
      <c r="N4581" s="1"/>
    </row>
    <row r="4582" spans="7:14" x14ac:dyDescent="0.35">
      <c r="G4582" s="1"/>
      <c r="N4582" s="1"/>
    </row>
    <row r="4583" spans="7:14" x14ac:dyDescent="0.35">
      <c r="G4583" s="1"/>
      <c r="N4583" s="1"/>
    </row>
    <row r="4584" spans="7:14" x14ac:dyDescent="0.35">
      <c r="G4584" s="1"/>
      <c r="N4584" s="1"/>
    </row>
    <row r="4585" spans="7:14" x14ac:dyDescent="0.35">
      <c r="G4585" s="1"/>
      <c r="N4585" s="1"/>
    </row>
    <row r="4586" spans="7:14" x14ac:dyDescent="0.35">
      <c r="G4586" s="1"/>
      <c r="N4586" s="1"/>
    </row>
    <row r="4587" spans="7:14" x14ac:dyDescent="0.35">
      <c r="G4587" s="1"/>
      <c r="N4587" s="1"/>
    </row>
    <row r="4588" spans="7:14" x14ac:dyDescent="0.35">
      <c r="G4588" s="1"/>
      <c r="N4588" s="1"/>
    </row>
    <row r="4589" spans="7:14" x14ac:dyDescent="0.35">
      <c r="G4589" s="1"/>
      <c r="N4589" s="1"/>
    </row>
    <row r="4590" spans="7:14" x14ac:dyDescent="0.35">
      <c r="G4590" s="1"/>
      <c r="N4590" s="1"/>
    </row>
    <row r="4591" spans="7:14" x14ac:dyDescent="0.35">
      <c r="G4591" s="1"/>
      <c r="N4591" s="1"/>
    </row>
    <row r="4592" spans="7:14" x14ac:dyDescent="0.35">
      <c r="G4592" s="1"/>
      <c r="N4592" s="1"/>
    </row>
    <row r="4593" spans="7:14" x14ac:dyDescent="0.35">
      <c r="G4593" s="1"/>
      <c r="N4593" s="1"/>
    </row>
    <row r="4594" spans="7:14" x14ac:dyDescent="0.35">
      <c r="G4594" s="1"/>
      <c r="N4594" s="1"/>
    </row>
    <row r="4595" spans="7:14" x14ac:dyDescent="0.35">
      <c r="G4595" s="1"/>
      <c r="N4595" s="1"/>
    </row>
    <row r="4596" spans="7:14" x14ac:dyDescent="0.35">
      <c r="G4596" s="1"/>
      <c r="N4596" s="1"/>
    </row>
    <row r="4597" spans="7:14" x14ac:dyDescent="0.35">
      <c r="G4597" s="1"/>
      <c r="N4597" s="1"/>
    </row>
    <row r="4598" spans="7:14" x14ac:dyDescent="0.35">
      <c r="G4598" s="1"/>
      <c r="N4598" s="1"/>
    </row>
    <row r="4599" spans="7:14" x14ac:dyDescent="0.35">
      <c r="G4599" s="1"/>
      <c r="N4599" s="1"/>
    </row>
    <row r="4600" spans="7:14" x14ac:dyDescent="0.35">
      <c r="G4600" s="1"/>
      <c r="N4600" s="1"/>
    </row>
    <row r="4601" spans="7:14" x14ac:dyDescent="0.35">
      <c r="G4601" s="1"/>
      <c r="N4601" s="1"/>
    </row>
    <row r="4602" spans="7:14" x14ac:dyDescent="0.35">
      <c r="G4602" s="1"/>
      <c r="N4602" s="1"/>
    </row>
    <row r="4603" spans="7:14" x14ac:dyDescent="0.35">
      <c r="G4603" s="1"/>
      <c r="N4603" s="1"/>
    </row>
    <row r="4604" spans="7:14" x14ac:dyDescent="0.35">
      <c r="G4604" s="1"/>
      <c r="N4604" s="1"/>
    </row>
    <row r="4605" spans="7:14" x14ac:dyDescent="0.35">
      <c r="G4605" s="1"/>
      <c r="N4605" s="1"/>
    </row>
    <row r="4606" spans="7:14" x14ac:dyDescent="0.35">
      <c r="G4606" s="1"/>
      <c r="N4606" s="1"/>
    </row>
    <row r="4607" spans="7:14" x14ac:dyDescent="0.35">
      <c r="G4607" s="1"/>
      <c r="N4607" s="1"/>
    </row>
    <row r="4608" spans="7:14" x14ac:dyDescent="0.35">
      <c r="G4608" s="1"/>
      <c r="N4608" s="1"/>
    </row>
    <row r="4609" spans="7:14" x14ac:dyDescent="0.35">
      <c r="G4609" s="1"/>
      <c r="N4609" s="1"/>
    </row>
    <row r="4610" spans="7:14" x14ac:dyDescent="0.35">
      <c r="G4610" s="1"/>
      <c r="N4610" s="1"/>
    </row>
    <row r="4611" spans="7:14" x14ac:dyDescent="0.35">
      <c r="G4611" s="1"/>
      <c r="N4611" s="1"/>
    </row>
    <row r="4612" spans="7:14" x14ac:dyDescent="0.35">
      <c r="G4612" s="1"/>
      <c r="N4612" s="1"/>
    </row>
    <row r="4613" spans="7:14" x14ac:dyDescent="0.35">
      <c r="G4613" s="1"/>
      <c r="N4613" s="1"/>
    </row>
    <row r="4614" spans="7:14" x14ac:dyDescent="0.35">
      <c r="G4614" s="1"/>
      <c r="N4614" s="1"/>
    </row>
    <row r="4615" spans="7:14" x14ac:dyDescent="0.35">
      <c r="G4615" s="1"/>
      <c r="N4615" s="1"/>
    </row>
    <row r="4616" spans="7:14" x14ac:dyDescent="0.35">
      <c r="G4616" s="1"/>
      <c r="N4616" s="1"/>
    </row>
    <row r="4617" spans="7:14" x14ac:dyDescent="0.35">
      <c r="G4617" s="1"/>
      <c r="N4617" s="1"/>
    </row>
    <row r="4618" spans="7:14" x14ac:dyDescent="0.35">
      <c r="G4618" s="1"/>
      <c r="N4618" s="1"/>
    </row>
    <row r="4619" spans="7:14" x14ac:dyDescent="0.35">
      <c r="G4619" s="1"/>
      <c r="N4619" s="1"/>
    </row>
    <row r="4620" spans="7:14" x14ac:dyDescent="0.35">
      <c r="G4620" s="1"/>
      <c r="N4620" s="1"/>
    </row>
    <row r="4621" spans="7:14" x14ac:dyDescent="0.35">
      <c r="G4621" s="1"/>
      <c r="N4621" s="1"/>
    </row>
    <row r="4622" spans="7:14" x14ac:dyDescent="0.35">
      <c r="G4622" s="1"/>
      <c r="N4622" s="1"/>
    </row>
    <row r="4623" spans="7:14" x14ac:dyDescent="0.35">
      <c r="G4623" s="1"/>
      <c r="N4623" s="1"/>
    </row>
    <row r="4624" spans="7:14" x14ac:dyDescent="0.35">
      <c r="G4624" s="1"/>
      <c r="N4624" s="1"/>
    </row>
    <row r="4625" spans="7:14" x14ac:dyDescent="0.35">
      <c r="G4625" s="1"/>
      <c r="N4625" s="1"/>
    </row>
    <row r="4626" spans="7:14" x14ac:dyDescent="0.35">
      <c r="G4626" s="1"/>
      <c r="N4626" s="1"/>
    </row>
    <row r="4627" spans="7:14" x14ac:dyDescent="0.35">
      <c r="G4627" s="1"/>
      <c r="N4627" s="1"/>
    </row>
    <row r="4628" spans="7:14" x14ac:dyDescent="0.35">
      <c r="G4628" s="1"/>
      <c r="N4628" s="1"/>
    </row>
    <row r="4629" spans="7:14" x14ac:dyDescent="0.35">
      <c r="G4629" s="1"/>
      <c r="N4629" s="1"/>
    </row>
    <row r="4630" spans="7:14" x14ac:dyDescent="0.35">
      <c r="G4630" s="1"/>
      <c r="N4630" s="1"/>
    </row>
    <row r="4631" spans="7:14" x14ac:dyDescent="0.35">
      <c r="G4631" s="1"/>
      <c r="N4631" s="1"/>
    </row>
    <row r="4632" spans="7:14" x14ac:dyDescent="0.35">
      <c r="G4632" s="1"/>
      <c r="N4632" s="1"/>
    </row>
    <row r="4633" spans="7:14" x14ac:dyDescent="0.35">
      <c r="G4633" s="1"/>
      <c r="N4633" s="1"/>
    </row>
    <row r="4634" spans="7:14" x14ac:dyDescent="0.35">
      <c r="G4634" s="1"/>
      <c r="N4634" s="1"/>
    </row>
    <row r="4635" spans="7:14" x14ac:dyDescent="0.35">
      <c r="G4635" s="1"/>
      <c r="N4635" s="1"/>
    </row>
    <row r="4636" spans="7:14" x14ac:dyDescent="0.35">
      <c r="G4636" s="1"/>
      <c r="N4636" s="1"/>
    </row>
    <row r="4637" spans="7:14" x14ac:dyDescent="0.35">
      <c r="G4637" s="1"/>
      <c r="N4637" s="1"/>
    </row>
    <row r="4638" spans="7:14" x14ac:dyDescent="0.35">
      <c r="G4638" s="1"/>
      <c r="N4638" s="1"/>
    </row>
    <row r="4639" spans="7:14" x14ac:dyDescent="0.35">
      <c r="G4639" s="1"/>
      <c r="N4639" s="1"/>
    </row>
    <row r="4640" spans="7:14" x14ac:dyDescent="0.35">
      <c r="G4640" s="1"/>
      <c r="N4640" s="1"/>
    </row>
    <row r="4641" spans="7:14" x14ac:dyDescent="0.35">
      <c r="G4641" s="1"/>
      <c r="N4641" s="1"/>
    </row>
    <row r="4642" spans="7:14" x14ac:dyDescent="0.35">
      <c r="G4642" s="1"/>
      <c r="N4642" s="1"/>
    </row>
    <row r="4643" spans="7:14" x14ac:dyDescent="0.35">
      <c r="G4643" s="1"/>
      <c r="N4643" s="1"/>
    </row>
    <row r="4644" spans="7:14" x14ac:dyDescent="0.35">
      <c r="G4644" s="1"/>
      <c r="N4644" s="1"/>
    </row>
    <row r="4645" spans="7:14" x14ac:dyDescent="0.35">
      <c r="G4645" s="1"/>
      <c r="N4645" s="1"/>
    </row>
    <row r="4646" spans="7:14" x14ac:dyDescent="0.35">
      <c r="G4646" s="1"/>
      <c r="N4646" s="1"/>
    </row>
    <row r="4647" spans="7:14" x14ac:dyDescent="0.35">
      <c r="G4647" s="1"/>
      <c r="N4647" s="1"/>
    </row>
    <row r="4648" spans="7:14" x14ac:dyDescent="0.35">
      <c r="G4648" s="1"/>
      <c r="N4648" s="1"/>
    </row>
    <row r="4649" spans="7:14" x14ac:dyDescent="0.35">
      <c r="G4649" s="1"/>
      <c r="N4649" s="1"/>
    </row>
    <row r="4650" spans="7:14" x14ac:dyDescent="0.35">
      <c r="G4650" s="1"/>
      <c r="N4650" s="1"/>
    </row>
    <row r="4651" spans="7:14" x14ac:dyDescent="0.35">
      <c r="G4651" s="1"/>
      <c r="N4651" s="1"/>
    </row>
    <row r="4652" spans="7:14" x14ac:dyDescent="0.35">
      <c r="G4652" s="1"/>
      <c r="N4652" s="1"/>
    </row>
    <row r="4653" spans="7:14" x14ac:dyDescent="0.35">
      <c r="G4653" s="1"/>
      <c r="N4653" s="1"/>
    </row>
    <row r="4654" spans="7:14" x14ac:dyDescent="0.35">
      <c r="G4654" s="1"/>
      <c r="N4654" s="1"/>
    </row>
    <row r="4655" spans="7:14" x14ac:dyDescent="0.35">
      <c r="G4655" s="1"/>
      <c r="N4655" s="1"/>
    </row>
    <row r="4656" spans="7:14" x14ac:dyDescent="0.35">
      <c r="G4656" s="1"/>
      <c r="N4656" s="1"/>
    </row>
    <row r="4657" spans="7:14" x14ac:dyDescent="0.35">
      <c r="G4657" s="1"/>
      <c r="N4657" s="1"/>
    </row>
    <row r="4658" spans="7:14" x14ac:dyDescent="0.35">
      <c r="G4658" s="1"/>
      <c r="N4658" s="1"/>
    </row>
    <row r="4659" spans="7:14" x14ac:dyDescent="0.35">
      <c r="G4659" s="1"/>
      <c r="N4659" s="1"/>
    </row>
    <row r="4660" spans="7:14" x14ac:dyDescent="0.35">
      <c r="G4660" s="1"/>
      <c r="N4660" s="1"/>
    </row>
    <row r="4661" spans="7:14" x14ac:dyDescent="0.35">
      <c r="G4661" s="1"/>
      <c r="N4661" s="1"/>
    </row>
    <row r="4662" spans="7:14" x14ac:dyDescent="0.35">
      <c r="G4662" s="1"/>
      <c r="N4662" s="1"/>
    </row>
    <row r="4663" spans="7:14" x14ac:dyDescent="0.35">
      <c r="G4663" s="1"/>
      <c r="N4663" s="1"/>
    </row>
    <row r="4664" spans="7:14" x14ac:dyDescent="0.35">
      <c r="G4664" s="1"/>
      <c r="N4664" s="1"/>
    </row>
    <row r="4665" spans="7:14" x14ac:dyDescent="0.35">
      <c r="G4665" s="1"/>
      <c r="N4665" s="1"/>
    </row>
    <row r="4666" spans="7:14" x14ac:dyDescent="0.35">
      <c r="G4666" s="1"/>
      <c r="N4666" s="1"/>
    </row>
    <row r="4667" spans="7:14" x14ac:dyDescent="0.35">
      <c r="G4667" s="1"/>
      <c r="N4667" s="1"/>
    </row>
    <row r="4668" spans="7:14" x14ac:dyDescent="0.35">
      <c r="G4668" s="1"/>
      <c r="N4668" s="1"/>
    </row>
    <row r="4669" spans="7:14" x14ac:dyDescent="0.35">
      <c r="G4669" s="1"/>
      <c r="N4669" s="1"/>
    </row>
    <row r="4670" spans="7:14" x14ac:dyDescent="0.35">
      <c r="G4670" s="1"/>
      <c r="N4670" s="1"/>
    </row>
    <row r="4671" spans="7:14" x14ac:dyDescent="0.35">
      <c r="G4671" s="1"/>
      <c r="N4671" s="1"/>
    </row>
    <row r="4672" spans="7:14" x14ac:dyDescent="0.35">
      <c r="G4672" s="1"/>
      <c r="N4672" s="1"/>
    </row>
    <row r="4673" spans="7:14" x14ac:dyDescent="0.35">
      <c r="G4673" s="1"/>
      <c r="N4673" s="1"/>
    </row>
    <row r="4674" spans="7:14" x14ac:dyDescent="0.35">
      <c r="G4674" s="1"/>
      <c r="N4674" s="1"/>
    </row>
    <row r="4675" spans="7:14" x14ac:dyDescent="0.35">
      <c r="G4675" s="1"/>
      <c r="N4675" s="1"/>
    </row>
    <row r="4676" spans="7:14" x14ac:dyDescent="0.35">
      <c r="G4676" s="1"/>
      <c r="N4676" s="1"/>
    </row>
    <row r="4677" spans="7:14" x14ac:dyDescent="0.35">
      <c r="G4677" s="1"/>
      <c r="N4677" s="1"/>
    </row>
    <row r="4678" spans="7:14" x14ac:dyDescent="0.35">
      <c r="G4678" s="1"/>
      <c r="N4678" s="1"/>
    </row>
    <row r="4679" spans="7:14" x14ac:dyDescent="0.35">
      <c r="G4679" s="1"/>
      <c r="N4679" s="1"/>
    </row>
    <row r="4680" spans="7:14" x14ac:dyDescent="0.35">
      <c r="G4680" s="1"/>
      <c r="N4680" s="1"/>
    </row>
    <row r="4681" spans="7:14" x14ac:dyDescent="0.35">
      <c r="G4681" s="1"/>
      <c r="N4681" s="1"/>
    </row>
    <row r="4682" spans="7:14" x14ac:dyDescent="0.35">
      <c r="G4682" s="1"/>
      <c r="N4682" s="1"/>
    </row>
    <row r="4683" spans="7:14" x14ac:dyDescent="0.35">
      <c r="G4683" s="1"/>
      <c r="N4683" s="1"/>
    </row>
    <row r="4684" spans="7:14" x14ac:dyDescent="0.35">
      <c r="G4684" s="1"/>
      <c r="N4684" s="1"/>
    </row>
    <row r="4685" spans="7:14" x14ac:dyDescent="0.35">
      <c r="G4685" s="1"/>
      <c r="N4685" s="1"/>
    </row>
    <row r="4686" spans="7:14" x14ac:dyDescent="0.35">
      <c r="G4686" s="1"/>
      <c r="N4686" s="1"/>
    </row>
    <row r="4687" spans="7:14" x14ac:dyDescent="0.35">
      <c r="G4687" s="1"/>
      <c r="N4687" s="1"/>
    </row>
    <row r="4688" spans="7:14" x14ac:dyDescent="0.35">
      <c r="G4688" s="1"/>
      <c r="N4688" s="1"/>
    </row>
    <row r="4689" spans="7:14" x14ac:dyDescent="0.35">
      <c r="G4689" s="1"/>
      <c r="N4689" s="1"/>
    </row>
    <row r="4690" spans="7:14" x14ac:dyDescent="0.35">
      <c r="G4690" s="1"/>
      <c r="N4690" s="1"/>
    </row>
    <row r="4691" spans="7:14" x14ac:dyDescent="0.35">
      <c r="G4691" s="1"/>
      <c r="N4691" s="1"/>
    </row>
    <row r="4692" spans="7:14" x14ac:dyDescent="0.35">
      <c r="G4692" s="1"/>
      <c r="N4692" s="1"/>
    </row>
    <row r="4693" spans="7:14" x14ac:dyDescent="0.35">
      <c r="G4693" s="1"/>
      <c r="N4693" s="1"/>
    </row>
    <row r="4694" spans="7:14" x14ac:dyDescent="0.35">
      <c r="G4694" s="1"/>
      <c r="N4694" s="1"/>
    </row>
    <row r="4695" spans="7:14" x14ac:dyDescent="0.35">
      <c r="G4695" s="1"/>
      <c r="N4695" s="1"/>
    </row>
    <row r="4696" spans="7:14" x14ac:dyDescent="0.35">
      <c r="G4696" s="1"/>
      <c r="N4696" s="1"/>
    </row>
    <row r="4697" spans="7:14" x14ac:dyDescent="0.35">
      <c r="G4697" s="1"/>
      <c r="N4697" s="1"/>
    </row>
    <row r="4698" spans="7:14" x14ac:dyDescent="0.35">
      <c r="G4698" s="1"/>
      <c r="N4698" s="1"/>
    </row>
    <row r="4699" spans="7:14" x14ac:dyDescent="0.35">
      <c r="G4699" s="1"/>
      <c r="N4699" s="1"/>
    </row>
    <row r="4700" spans="7:14" x14ac:dyDescent="0.35">
      <c r="G4700" s="1"/>
      <c r="N4700" s="1"/>
    </row>
    <row r="4701" spans="7:14" x14ac:dyDescent="0.35">
      <c r="G4701" s="1"/>
      <c r="N4701" s="1"/>
    </row>
    <row r="4702" spans="7:14" x14ac:dyDescent="0.35">
      <c r="G4702" s="1"/>
      <c r="N4702" s="1"/>
    </row>
    <row r="4703" spans="7:14" x14ac:dyDescent="0.35">
      <c r="G4703" s="1"/>
      <c r="N4703" s="1"/>
    </row>
    <row r="4704" spans="7:14" x14ac:dyDescent="0.35">
      <c r="G4704" s="1"/>
      <c r="N4704" s="1"/>
    </row>
    <row r="4705" spans="7:14" x14ac:dyDescent="0.35">
      <c r="G4705" s="1"/>
      <c r="N4705" s="1"/>
    </row>
    <row r="4706" spans="7:14" x14ac:dyDescent="0.35">
      <c r="G4706" s="1"/>
      <c r="N4706" s="1"/>
    </row>
    <row r="4707" spans="7:14" x14ac:dyDescent="0.35">
      <c r="G4707" s="1"/>
      <c r="N4707" s="1"/>
    </row>
    <row r="4708" spans="7:14" x14ac:dyDescent="0.35">
      <c r="G4708" s="1"/>
      <c r="N4708" s="1"/>
    </row>
    <row r="4709" spans="7:14" x14ac:dyDescent="0.35">
      <c r="G4709" s="1"/>
      <c r="N4709" s="1"/>
    </row>
    <row r="4710" spans="7:14" x14ac:dyDescent="0.35">
      <c r="G4710" s="1"/>
      <c r="N4710" s="1"/>
    </row>
    <row r="4711" spans="7:14" x14ac:dyDescent="0.35">
      <c r="G4711" s="1"/>
      <c r="N4711" s="1"/>
    </row>
    <row r="4712" spans="7:14" x14ac:dyDescent="0.35">
      <c r="G4712" s="1"/>
      <c r="N4712" s="1"/>
    </row>
    <row r="4713" spans="7:14" x14ac:dyDescent="0.35">
      <c r="G4713" s="1"/>
      <c r="N4713" s="1"/>
    </row>
    <row r="4714" spans="7:14" x14ac:dyDescent="0.35">
      <c r="G4714" s="1"/>
      <c r="N4714" s="1"/>
    </row>
    <row r="4715" spans="7:14" x14ac:dyDescent="0.35">
      <c r="G4715" s="1"/>
      <c r="N4715" s="1"/>
    </row>
    <row r="4716" spans="7:14" x14ac:dyDescent="0.35">
      <c r="G4716" s="1"/>
      <c r="N4716" s="1"/>
    </row>
    <row r="4717" spans="7:14" x14ac:dyDescent="0.35">
      <c r="G4717" s="1"/>
      <c r="N4717" s="1"/>
    </row>
    <row r="4718" spans="7:14" x14ac:dyDescent="0.35">
      <c r="G4718" s="1"/>
      <c r="N4718" s="1"/>
    </row>
    <row r="4719" spans="7:14" x14ac:dyDescent="0.35">
      <c r="G4719" s="1"/>
      <c r="N4719" s="1"/>
    </row>
    <row r="4720" spans="7:14" x14ac:dyDescent="0.35">
      <c r="G4720" s="1"/>
      <c r="N4720" s="1"/>
    </row>
    <row r="4721" spans="7:14" x14ac:dyDescent="0.35">
      <c r="G4721" s="1"/>
      <c r="N4721" s="1"/>
    </row>
    <row r="4722" spans="7:14" x14ac:dyDescent="0.35">
      <c r="G4722" s="1"/>
      <c r="N4722" s="1"/>
    </row>
    <row r="4723" spans="7:14" x14ac:dyDescent="0.35">
      <c r="G4723" s="1"/>
      <c r="N4723" s="1"/>
    </row>
    <row r="4724" spans="7:14" x14ac:dyDescent="0.35">
      <c r="G4724" s="1"/>
      <c r="N4724" s="1"/>
    </row>
    <row r="4725" spans="7:14" x14ac:dyDescent="0.35">
      <c r="G4725" s="1"/>
      <c r="N4725" s="1"/>
    </row>
    <row r="4726" spans="7:14" x14ac:dyDescent="0.35">
      <c r="G4726" s="1"/>
      <c r="N4726" s="1"/>
    </row>
    <row r="4727" spans="7:14" x14ac:dyDescent="0.35">
      <c r="G4727" s="1"/>
      <c r="N4727" s="1"/>
    </row>
    <row r="4728" spans="7:14" x14ac:dyDescent="0.35">
      <c r="G4728" s="1"/>
      <c r="N4728" s="1"/>
    </row>
    <row r="4729" spans="7:14" x14ac:dyDescent="0.35">
      <c r="G4729" s="1"/>
      <c r="N4729" s="1"/>
    </row>
    <row r="4730" spans="7:14" x14ac:dyDescent="0.35">
      <c r="G4730" s="1"/>
      <c r="N4730" s="1"/>
    </row>
    <row r="4731" spans="7:14" x14ac:dyDescent="0.35">
      <c r="G4731" s="1"/>
      <c r="N4731" s="1"/>
    </row>
    <row r="4732" spans="7:14" x14ac:dyDescent="0.35">
      <c r="G4732" s="1"/>
      <c r="N4732" s="1"/>
    </row>
    <row r="4733" spans="7:14" x14ac:dyDescent="0.35">
      <c r="G4733" s="1"/>
      <c r="N4733" s="1"/>
    </row>
    <row r="4734" spans="7:14" x14ac:dyDescent="0.35">
      <c r="G4734" s="1"/>
      <c r="N4734" s="1"/>
    </row>
    <row r="4735" spans="7:14" x14ac:dyDescent="0.35">
      <c r="G4735" s="1"/>
      <c r="N4735" s="1"/>
    </row>
    <row r="4736" spans="7:14" x14ac:dyDescent="0.35">
      <c r="G4736" s="1"/>
      <c r="N4736" s="1"/>
    </row>
    <row r="4737" spans="7:14" x14ac:dyDescent="0.35">
      <c r="G4737" s="1"/>
      <c r="N4737" s="1"/>
    </row>
    <row r="4738" spans="7:14" x14ac:dyDescent="0.35">
      <c r="G4738" s="1"/>
      <c r="N4738" s="1"/>
    </row>
    <row r="4739" spans="7:14" x14ac:dyDescent="0.35">
      <c r="G4739" s="1"/>
      <c r="N4739" s="1"/>
    </row>
    <row r="4740" spans="7:14" x14ac:dyDescent="0.35">
      <c r="G4740" s="1"/>
      <c r="N4740" s="1"/>
    </row>
    <row r="4741" spans="7:14" x14ac:dyDescent="0.35">
      <c r="G4741" s="1"/>
      <c r="N4741" s="1"/>
    </row>
    <row r="4742" spans="7:14" x14ac:dyDescent="0.35">
      <c r="G4742" s="1"/>
      <c r="N4742" s="1"/>
    </row>
    <row r="4743" spans="7:14" x14ac:dyDescent="0.35">
      <c r="G4743" s="1"/>
      <c r="N4743" s="1"/>
    </row>
    <row r="4744" spans="7:14" x14ac:dyDescent="0.35">
      <c r="G4744" s="1"/>
      <c r="N4744" s="1"/>
    </row>
    <row r="4745" spans="7:14" x14ac:dyDescent="0.35">
      <c r="G4745" s="1"/>
      <c r="N4745" s="1"/>
    </row>
    <row r="4746" spans="7:14" x14ac:dyDescent="0.35">
      <c r="G4746" s="1"/>
      <c r="N4746" s="1"/>
    </row>
    <row r="4747" spans="7:14" x14ac:dyDescent="0.35">
      <c r="G4747" s="1"/>
      <c r="N4747" s="1"/>
    </row>
    <row r="4748" spans="7:14" x14ac:dyDescent="0.35">
      <c r="G4748" s="1"/>
      <c r="N4748" s="1"/>
    </row>
    <row r="4749" spans="7:14" x14ac:dyDescent="0.35">
      <c r="G4749" s="1"/>
      <c r="N4749" s="1"/>
    </row>
    <row r="4750" spans="7:14" x14ac:dyDescent="0.35">
      <c r="G4750" s="1"/>
      <c r="N4750" s="1"/>
    </row>
    <row r="4751" spans="7:14" x14ac:dyDescent="0.35">
      <c r="G4751" s="1"/>
      <c r="N4751" s="1"/>
    </row>
    <row r="4752" spans="7:14" x14ac:dyDescent="0.35">
      <c r="G4752" s="1"/>
      <c r="N4752" s="1"/>
    </row>
    <row r="4753" spans="7:14" x14ac:dyDescent="0.35">
      <c r="G4753" s="1"/>
      <c r="N4753" s="1"/>
    </row>
    <row r="4754" spans="7:14" x14ac:dyDescent="0.35">
      <c r="G4754" s="1"/>
      <c r="N4754" s="1"/>
    </row>
    <row r="4755" spans="7:14" x14ac:dyDescent="0.35">
      <c r="G4755" s="1"/>
      <c r="N4755" s="1"/>
    </row>
    <row r="4756" spans="7:14" x14ac:dyDescent="0.35">
      <c r="G4756" s="1"/>
      <c r="N4756" s="1"/>
    </row>
    <row r="4757" spans="7:14" x14ac:dyDescent="0.35">
      <c r="G4757" s="1"/>
      <c r="N4757" s="1"/>
    </row>
    <row r="4758" spans="7:14" x14ac:dyDescent="0.35">
      <c r="G4758" s="1"/>
      <c r="N4758" s="1"/>
    </row>
    <row r="4759" spans="7:14" x14ac:dyDescent="0.35">
      <c r="G4759" s="1"/>
      <c r="N4759" s="1"/>
    </row>
    <row r="4760" spans="7:14" x14ac:dyDescent="0.35">
      <c r="G4760" s="1"/>
      <c r="N4760" s="1"/>
    </row>
    <row r="4761" spans="7:14" x14ac:dyDescent="0.35">
      <c r="G4761" s="1"/>
      <c r="N4761" s="1"/>
    </row>
    <row r="4762" spans="7:14" x14ac:dyDescent="0.35">
      <c r="G4762" s="1"/>
      <c r="N4762" s="1"/>
    </row>
    <row r="4763" spans="7:14" x14ac:dyDescent="0.35">
      <c r="G4763" s="1"/>
      <c r="N4763" s="1"/>
    </row>
    <row r="4764" spans="7:14" x14ac:dyDescent="0.35">
      <c r="G4764" s="1"/>
      <c r="N4764" s="1"/>
    </row>
    <row r="4765" spans="7:14" x14ac:dyDescent="0.35">
      <c r="G4765" s="1"/>
      <c r="N4765" s="1"/>
    </row>
    <row r="4766" spans="7:14" x14ac:dyDescent="0.35">
      <c r="G4766" s="1"/>
      <c r="N4766" s="1"/>
    </row>
    <row r="4767" spans="7:14" x14ac:dyDescent="0.35">
      <c r="G4767" s="1"/>
      <c r="N4767" s="1"/>
    </row>
    <row r="4768" spans="7:14" x14ac:dyDescent="0.35">
      <c r="G4768" s="1"/>
      <c r="N4768" s="1"/>
    </row>
    <row r="4769" spans="7:14" x14ac:dyDescent="0.35">
      <c r="G4769" s="1"/>
      <c r="N4769" s="1"/>
    </row>
    <row r="4770" spans="7:14" x14ac:dyDescent="0.35">
      <c r="G4770" s="1"/>
      <c r="N4770" s="1"/>
    </row>
    <row r="4771" spans="7:14" x14ac:dyDescent="0.35">
      <c r="G4771" s="1"/>
      <c r="N4771" s="1"/>
    </row>
    <row r="4772" spans="7:14" x14ac:dyDescent="0.35">
      <c r="G4772" s="1"/>
      <c r="N4772" s="1"/>
    </row>
    <row r="4773" spans="7:14" x14ac:dyDescent="0.35">
      <c r="G4773" s="1"/>
      <c r="N4773" s="1"/>
    </row>
    <row r="4774" spans="7:14" x14ac:dyDescent="0.35">
      <c r="G4774" s="1"/>
      <c r="N4774" s="1"/>
    </row>
    <row r="4775" spans="7:14" x14ac:dyDescent="0.35">
      <c r="G4775" s="1"/>
      <c r="N4775" s="1"/>
    </row>
    <row r="4776" spans="7:14" x14ac:dyDescent="0.35">
      <c r="G4776" s="1"/>
      <c r="N4776" s="1"/>
    </row>
    <row r="4777" spans="7:14" x14ac:dyDescent="0.35">
      <c r="G4777" s="1"/>
      <c r="N4777" s="1"/>
    </row>
    <row r="4778" spans="7:14" x14ac:dyDescent="0.35">
      <c r="G4778" s="1"/>
      <c r="N4778" s="1"/>
    </row>
    <row r="4779" spans="7:14" x14ac:dyDescent="0.35">
      <c r="G4779" s="1"/>
      <c r="N4779" s="1"/>
    </row>
    <row r="4780" spans="7:14" x14ac:dyDescent="0.35">
      <c r="G4780" s="1"/>
      <c r="N4780" s="1"/>
    </row>
    <row r="4781" spans="7:14" x14ac:dyDescent="0.35">
      <c r="G4781" s="1"/>
      <c r="N4781" s="1"/>
    </row>
    <row r="4782" spans="7:14" x14ac:dyDescent="0.35">
      <c r="G4782" s="1"/>
      <c r="N4782" s="1"/>
    </row>
    <row r="4783" spans="7:14" x14ac:dyDescent="0.35">
      <c r="G4783" s="1"/>
      <c r="N4783" s="1"/>
    </row>
    <row r="4784" spans="7:14" x14ac:dyDescent="0.35">
      <c r="G4784" s="1"/>
      <c r="N4784" s="1"/>
    </row>
    <row r="4785" spans="7:14" x14ac:dyDescent="0.35">
      <c r="G4785" s="1"/>
      <c r="N4785" s="1"/>
    </row>
    <row r="4786" spans="7:14" x14ac:dyDescent="0.35">
      <c r="G4786" s="1"/>
      <c r="N4786" s="1"/>
    </row>
    <row r="4787" spans="7:14" x14ac:dyDescent="0.35">
      <c r="G4787" s="1"/>
      <c r="N4787" s="1"/>
    </row>
    <row r="4788" spans="7:14" x14ac:dyDescent="0.35">
      <c r="G4788" s="1"/>
      <c r="N4788" s="1"/>
    </row>
    <row r="4789" spans="7:14" x14ac:dyDescent="0.35">
      <c r="G4789" s="1"/>
      <c r="N4789" s="1"/>
    </row>
    <row r="4790" spans="7:14" x14ac:dyDescent="0.35">
      <c r="G4790" s="1"/>
      <c r="N4790" s="1"/>
    </row>
    <row r="4791" spans="7:14" x14ac:dyDescent="0.35">
      <c r="G4791" s="1"/>
      <c r="N4791" s="1"/>
    </row>
    <row r="4792" spans="7:14" x14ac:dyDescent="0.35">
      <c r="G4792" s="1"/>
      <c r="N4792" s="1"/>
    </row>
    <row r="4793" spans="7:14" x14ac:dyDescent="0.35">
      <c r="G4793" s="1"/>
      <c r="N4793" s="1"/>
    </row>
    <row r="4794" spans="7:14" x14ac:dyDescent="0.35">
      <c r="G4794" s="1"/>
      <c r="N4794" s="1"/>
    </row>
    <row r="4795" spans="7:14" x14ac:dyDescent="0.35">
      <c r="G4795" s="1"/>
      <c r="N4795" s="1"/>
    </row>
    <row r="4796" spans="7:14" x14ac:dyDescent="0.35">
      <c r="G4796" s="1"/>
      <c r="N4796" s="1"/>
    </row>
    <row r="4797" spans="7:14" x14ac:dyDescent="0.35">
      <c r="G4797" s="1"/>
      <c r="N4797" s="1"/>
    </row>
    <row r="4798" spans="7:14" x14ac:dyDescent="0.35">
      <c r="G4798" s="1"/>
      <c r="N4798" s="1"/>
    </row>
    <row r="4799" spans="7:14" x14ac:dyDescent="0.35">
      <c r="G4799" s="1"/>
      <c r="N4799" s="1"/>
    </row>
    <row r="4800" spans="7:14" x14ac:dyDescent="0.35">
      <c r="G4800" s="1"/>
      <c r="N4800" s="1"/>
    </row>
    <row r="4801" spans="7:14" x14ac:dyDescent="0.35">
      <c r="G4801" s="1"/>
      <c r="N4801" s="1"/>
    </row>
    <row r="4802" spans="7:14" x14ac:dyDescent="0.35">
      <c r="G4802" s="1"/>
      <c r="N4802" s="1"/>
    </row>
    <row r="4803" spans="7:14" x14ac:dyDescent="0.35">
      <c r="G4803" s="1"/>
      <c r="N4803" s="1"/>
    </row>
    <row r="4804" spans="7:14" x14ac:dyDescent="0.35">
      <c r="G4804" s="1"/>
      <c r="N4804" s="1"/>
    </row>
    <row r="4805" spans="7:14" x14ac:dyDescent="0.35">
      <c r="G4805" s="1"/>
      <c r="N4805" s="1"/>
    </row>
    <row r="4806" spans="7:14" x14ac:dyDescent="0.35">
      <c r="G4806" s="1"/>
      <c r="N4806" s="1"/>
    </row>
    <row r="4807" spans="7:14" x14ac:dyDescent="0.35">
      <c r="G4807" s="1"/>
      <c r="N4807" s="1"/>
    </row>
    <row r="4808" spans="7:14" x14ac:dyDescent="0.35">
      <c r="G4808" s="1"/>
      <c r="N4808" s="1"/>
    </row>
    <row r="4809" spans="7:14" x14ac:dyDescent="0.35">
      <c r="G4809" s="1"/>
      <c r="N4809" s="1"/>
    </row>
    <row r="4810" spans="7:14" x14ac:dyDescent="0.35">
      <c r="G4810" s="1"/>
      <c r="N4810" s="1"/>
    </row>
    <row r="4811" spans="7:14" x14ac:dyDescent="0.35">
      <c r="G4811" s="1"/>
      <c r="N4811" s="1"/>
    </row>
    <row r="4812" spans="7:14" x14ac:dyDescent="0.35">
      <c r="G4812" s="1"/>
      <c r="N4812" s="1"/>
    </row>
    <row r="4813" spans="7:14" x14ac:dyDescent="0.35">
      <c r="G4813" s="1"/>
      <c r="N4813" s="1"/>
    </row>
    <row r="4814" spans="7:14" x14ac:dyDescent="0.35">
      <c r="G4814" s="1"/>
      <c r="N4814" s="1"/>
    </row>
    <row r="4815" spans="7:14" x14ac:dyDescent="0.35">
      <c r="G4815" s="1"/>
      <c r="N4815" s="1"/>
    </row>
    <row r="4816" spans="7:14" x14ac:dyDescent="0.35">
      <c r="G4816" s="1"/>
      <c r="N4816" s="1"/>
    </row>
    <row r="4817" spans="7:14" x14ac:dyDescent="0.35">
      <c r="G4817" s="1"/>
      <c r="N4817" s="1"/>
    </row>
    <row r="4818" spans="7:14" x14ac:dyDescent="0.35">
      <c r="G4818" s="1"/>
      <c r="N4818" s="1"/>
    </row>
    <row r="4819" spans="7:14" x14ac:dyDescent="0.35">
      <c r="G4819" s="1"/>
      <c r="N4819" s="1"/>
    </row>
    <row r="4820" spans="7:14" x14ac:dyDescent="0.35">
      <c r="G4820" s="1"/>
      <c r="N4820" s="1"/>
    </row>
    <row r="4821" spans="7:14" x14ac:dyDescent="0.35">
      <c r="G4821" s="1"/>
      <c r="N4821" s="1"/>
    </row>
    <row r="4822" spans="7:14" x14ac:dyDescent="0.35">
      <c r="G4822" s="1"/>
      <c r="N4822" s="1"/>
    </row>
    <row r="4823" spans="7:14" x14ac:dyDescent="0.35">
      <c r="G4823" s="1"/>
      <c r="N4823" s="1"/>
    </row>
    <row r="4824" spans="7:14" x14ac:dyDescent="0.35">
      <c r="G4824" s="1"/>
      <c r="N4824" s="1"/>
    </row>
    <row r="4825" spans="7:14" x14ac:dyDescent="0.35">
      <c r="G4825" s="1"/>
      <c r="N4825" s="1"/>
    </row>
    <row r="4826" spans="7:14" x14ac:dyDescent="0.35">
      <c r="G4826" s="1"/>
      <c r="N4826" s="1"/>
    </row>
    <row r="4827" spans="7:14" x14ac:dyDescent="0.35">
      <c r="G4827" s="1"/>
      <c r="N4827" s="1"/>
    </row>
    <row r="4828" spans="7:14" x14ac:dyDescent="0.35">
      <c r="G4828" s="1"/>
      <c r="N4828" s="1"/>
    </row>
    <row r="4829" spans="7:14" x14ac:dyDescent="0.35">
      <c r="G4829" s="1"/>
      <c r="N4829" s="1"/>
    </row>
    <row r="4830" spans="7:14" x14ac:dyDescent="0.35">
      <c r="G4830" s="1"/>
      <c r="N4830" s="1"/>
    </row>
    <row r="4831" spans="7:14" x14ac:dyDescent="0.35">
      <c r="G4831" s="1"/>
      <c r="N4831" s="1"/>
    </row>
    <row r="4832" spans="7:14" x14ac:dyDescent="0.35">
      <c r="G4832" s="1"/>
      <c r="N4832" s="1"/>
    </row>
    <row r="4833" spans="7:14" x14ac:dyDescent="0.35">
      <c r="G4833" s="1"/>
      <c r="N4833" s="1"/>
    </row>
    <row r="4834" spans="7:14" x14ac:dyDescent="0.35">
      <c r="G4834" s="1"/>
      <c r="N4834" s="1"/>
    </row>
    <row r="4835" spans="7:14" x14ac:dyDescent="0.35">
      <c r="G4835" s="1"/>
      <c r="N4835" s="1"/>
    </row>
    <row r="4836" spans="7:14" x14ac:dyDescent="0.35">
      <c r="G4836" s="1"/>
      <c r="N4836" s="1"/>
    </row>
    <row r="4837" spans="7:14" x14ac:dyDescent="0.35">
      <c r="G4837" s="1"/>
      <c r="N4837" s="1"/>
    </row>
    <row r="4838" spans="7:14" x14ac:dyDescent="0.35">
      <c r="G4838" s="1"/>
      <c r="N4838" s="1"/>
    </row>
    <row r="4839" spans="7:14" x14ac:dyDescent="0.35">
      <c r="G4839" s="1"/>
      <c r="N4839" s="1"/>
    </row>
    <row r="4840" spans="7:14" x14ac:dyDescent="0.35">
      <c r="G4840" s="1"/>
      <c r="N4840" s="1"/>
    </row>
    <row r="4841" spans="7:14" x14ac:dyDescent="0.35">
      <c r="G4841" s="1"/>
      <c r="N4841" s="1"/>
    </row>
    <row r="4842" spans="7:14" x14ac:dyDescent="0.35">
      <c r="G4842" s="1"/>
      <c r="N4842" s="1"/>
    </row>
    <row r="4843" spans="7:14" x14ac:dyDescent="0.35">
      <c r="G4843" s="1"/>
      <c r="N4843" s="1"/>
    </row>
    <row r="4844" spans="7:14" x14ac:dyDescent="0.35">
      <c r="G4844" s="1"/>
      <c r="N4844" s="1"/>
    </row>
    <row r="4845" spans="7:14" x14ac:dyDescent="0.35">
      <c r="G4845" s="1"/>
      <c r="N4845" s="1"/>
    </row>
    <row r="4846" spans="7:14" x14ac:dyDescent="0.35">
      <c r="G4846" s="1"/>
      <c r="N4846" s="1"/>
    </row>
    <row r="4847" spans="7:14" x14ac:dyDescent="0.35">
      <c r="G4847" s="1"/>
      <c r="N4847" s="1"/>
    </row>
    <row r="4848" spans="7:14" x14ac:dyDescent="0.35">
      <c r="G4848" s="1"/>
      <c r="N4848" s="1"/>
    </row>
    <row r="4849" spans="7:14" x14ac:dyDescent="0.35">
      <c r="G4849" s="1"/>
      <c r="N4849" s="1"/>
    </row>
    <row r="4850" spans="7:14" x14ac:dyDescent="0.35">
      <c r="G4850" s="1"/>
      <c r="N4850" s="1"/>
    </row>
    <row r="4851" spans="7:14" x14ac:dyDescent="0.35">
      <c r="G4851" s="1"/>
      <c r="N4851" s="1"/>
    </row>
    <row r="4852" spans="7:14" x14ac:dyDescent="0.35">
      <c r="G4852" s="1"/>
      <c r="N4852" s="1"/>
    </row>
    <row r="4853" spans="7:14" x14ac:dyDescent="0.35">
      <c r="G4853" s="1"/>
      <c r="N4853" s="1"/>
    </row>
    <row r="4854" spans="7:14" x14ac:dyDescent="0.35">
      <c r="G4854" s="1"/>
      <c r="N4854" s="1"/>
    </row>
    <row r="4855" spans="7:14" x14ac:dyDescent="0.35">
      <c r="G4855" s="1"/>
      <c r="N4855" s="1"/>
    </row>
    <row r="4856" spans="7:14" x14ac:dyDescent="0.35">
      <c r="G4856" s="1"/>
      <c r="N4856" s="1"/>
    </row>
    <row r="4857" spans="7:14" x14ac:dyDescent="0.35">
      <c r="G4857" s="1"/>
      <c r="N4857" s="1"/>
    </row>
    <row r="4858" spans="7:14" x14ac:dyDescent="0.35">
      <c r="G4858" s="1"/>
      <c r="N4858" s="1"/>
    </row>
    <row r="4859" spans="7:14" x14ac:dyDescent="0.35">
      <c r="G4859" s="1"/>
      <c r="N4859" s="1"/>
    </row>
    <row r="4860" spans="7:14" x14ac:dyDescent="0.35">
      <c r="G4860" s="1"/>
      <c r="N4860" s="1"/>
    </row>
    <row r="4861" spans="7:14" x14ac:dyDescent="0.35">
      <c r="G4861" s="1"/>
      <c r="N4861" s="1"/>
    </row>
    <row r="4862" spans="7:14" x14ac:dyDescent="0.35">
      <c r="G4862" s="1"/>
      <c r="N4862" s="1"/>
    </row>
    <row r="4863" spans="7:14" x14ac:dyDescent="0.35">
      <c r="G4863" s="1"/>
      <c r="N4863" s="1"/>
    </row>
    <row r="4864" spans="7:14" x14ac:dyDescent="0.35">
      <c r="G4864" s="1"/>
      <c r="N4864" s="1"/>
    </row>
    <row r="4865" spans="7:14" x14ac:dyDescent="0.35">
      <c r="G4865" s="1"/>
      <c r="N4865" s="1"/>
    </row>
    <row r="4866" spans="7:14" x14ac:dyDescent="0.35">
      <c r="G4866" s="1"/>
      <c r="N4866" s="1"/>
    </row>
    <row r="4867" spans="7:14" x14ac:dyDescent="0.35">
      <c r="G4867" s="1"/>
      <c r="N4867" s="1"/>
    </row>
    <row r="4868" spans="7:14" x14ac:dyDescent="0.35">
      <c r="G4868" s="1"/>
      <c r="N4868" s="1"/>
    </row>
    <row r="4869" spans="7:14" x14ac:dyDescent="0.35">
      <c r="G4869" s="1"/>
      <c r="N4869" s="1"/>
    </row>
    <row r="4870" spans="7:14" x14ac:dyDescent="0.35">
      <c r="G4870" s="1"/>
      <c r="N4870" s="1"/>
    </row>
    <row r="4871" spans="7:14" x14ac:dyDescent="0.35">
      <c r="G4871" s="1"/>
      <c r="N4871" s="1"/>
    </row>
    <row r="4872" spans="7:14" x14ac:dyDescent="0.35">
      <c r="G4872" s="1"/>
      <c r="N4872" s="1"/>
    </row>
    <row r="4873" spans="7:14" x14ac:dyDescent="0.35">
      <c r="G4873" s="1"/>
      <c r="N4873" s="1"/>
    </row>
    <row r="4874" spans="7:14" x14ac:dyDescent="0.35">
      <c r="G4874" s="1"/>
      <c r="N4874" s="1"/>
    </row>
    <row r="4875" spans="7:14" x14ac:dyDescent="0.35">
      <c r="G4875" s="1"/>
      <c r="N4875" s="1"/>
    </row>
    <row r="4876" spans="7:14" x14ac:dyDescent="0.35">
      <c r="G4876" s="1"/>
      <c r="N4876" s="1"/>
    </row>
    <row r="4877" spans="7:14" x14ac:dyDescent="0.35">
      <c r="G4877" s="1"/>
      <c r="N4877" s="1"/>
    </row>
    <row r="4878" spans="7:14" x14ac:dyDescent="0.35">
      <c r="G4878" s="1"/>
      <c r="N4878" s="1"/>
    </row>
    <row r="4879" spans="7:14" x14ac:dyDescent="0.35">
      <c r="G4879" s="1"/>
      <c r="N4879" s="1"/>
    </row>
    <row r="4880" spans="7:14" x14ac:dyDescent="0.35">
      <c r="G4880" s="1"/>
      <c r="N4880" s="1"/>
    </row>
    <row r="4881" spans="7:14" x14ac:dyDescent="0.35">
      <c r="G4881" s="1"/>
      <c r="N4881" s="1"/>
    </row>
    <row r="4882" spans="7:14" x14ac:dyDescent="0.35">
      <c r="G4882" s="1"/>
      <c r="N4882" s="1"/>
    </row>
    <row r="4883" spans="7:14" x14ac:dyDescent="0.35">
      <c r="G4883" s="1"/>
      <c r="N4883" s="1"/>
    </row>
    <row r="4884" spans="7:14" x14ac:dyDescent="0.35">
      <c r="G4884" s="1"/>
      <c r="N4884" s="1"/>
    </row>
    <row r="4885" spans="7:14" x14ac:dyDescent="0.35">
      <c r="G4885" s="1"/>
      <c r="N4885" s="1"/>
    </row>
    <row r="4886" spans="7:14" x14ac:dyDescent="0.35">
      <c r="G4886" s="1"/>
      <c r="N4886" s="1"/>
    </row>
    <row r="4887" spans="7:14" x14ac:dyDescent="0.35">
      <c r="G4887" s="1"/>
      <c r="N4887" s="1"/>
    </row>
    <row r="4888" spans="7:14" x14ac:dyDescent="0.35">
      <c r="G4888" s="1"/>
      <c r="N4888" s="1"/>
    </row>
    <row r="4889" spans="7:14" x14ac:dyDescent="0.35">
      <c r="G4889" s="1"/>
      <c r="N4889" s="1"/>
    </row>
    <row r="4890" spans="7:14" x14ac:dyDescent="0.35">
      <c r="G4890" s="1"/>
      <c r="N4890" s="1"/>
    </row>
    <row r="4891" spans="7:14" x14ac:dyDescent="0.35">
      <c r="G4891" s="1"/>
      <c r="N4891" s="1"/>
    </row>
    <row r="4892" spans="7:14" x14ac:dyDescent="0.35">
      <c r="G4892" s="1"/>
      <c r="N4892" s="1"/>
    </row>
    <row r="4893" spans="7:14" x14ac:dyDescent="0.35">
      <c r="G4893" s="1"/>
      <c r="N4893" s="1"/>
    </row>
    <row r="4894" spans="7:14" x14ac:dyDescent="0.35">
      <c r="G4894" s="1"/>
      <c r="N4894" s="1"/>
    </row>
    <row r="4895" spans="7:14" x14ac:dyDescent="0.35">
      <c r="G4895" s="1"/>
      <c r="N4895" s="1"/>
    </row>
    <row r="4896" spans="7:14" x14ac:dyDescent="0.35">
      <c r="G4896" s="1"/>
      <c r="N4896" s="1"/>
    </row>
    <row r="4897" spans="7:14" x14ac:dyDescent="0.35">
      <c r="G4897" s="1"/>
      <c r="N4897" s="1"/>
    </row>
    <row r="4898" spans="7:14" x14ac:dyDescent="0.35">
      <c r="G4898" s="1"/>
      <c r="N4898" s="1"/>
    </row>
    <row r="4899" spans="7:14" x14ac:dyDescent="0.35">
      <c r="G4899" s="1"/>
      <c r="N4899" s="1"/>
    </row>
    <row r="4900" spans="7:14" x14ac:dyDescent="0.35">
      <c r="G4900" s="1"/>
      <c r="N4900" s="1"/>
    </row>
    <row r="4901" spans="7:14" x14ac:dyDescent="0.35">
      <c r="G4901" s="1"/>
      <c r="N4901" s="1"/>
    </row>
    <row r="4902" spans="7:14" x14ac:dyDescent="0.35">
      <c r="G4902" s="1"/>
      <c r="N4902" s="1"/>
    </row>
    <row r="4903" spans="7:14" x14ac:dyDescent="0.35">
      <c r="G4903" s="1"/>
      <c r="N4903" s="1"/>
    </row>
    <row r="4904" spans="7:14" x14ac:dyDescent="0.35">
      <c r="G4904" s="1"/>
      <c r="N4904" s="1"/>
    </row>
    <row r="4905" spans="7:14" x14ac:dyDescent="0.35">
      <c r="G4905" s="1"/>
      <c r="N4905" s="1"/>
    </row>
    <row r="4906" spans="7:14" x14ac:dyDescent="0.35">
      <c r="G4906" s="1"/>
      <c r="N4906" s="1"/>
    </row>
    <row r="4907" spans="7:14" x14ac:dyDescent="0.35">
      <c r="G4907" s="1"/>
      <c r="N4907" s="1"/>
    </row>
    <row r="4908" spans="7:14" x14ac:dyDescent="0.35">
      <c r="G4908" s="1"/>
      <c r="N4908" s="1"/>
    </row>
    <row r="4909" spans="7:14" x14ac:dyDescent="0.35">
      <c r="G4909" s="1"/>
      <c r="N4909" s="1"/>
    </row>
    <row r="4910" spans="7:14" x14ac:dyDescent="0.35">
      <c r="G4910" s="1"/>
      <c r="N4910" s="1"/>
    </row>
    <row r="4911" spans="7:14" x14ac:dyDescent="0.35">
      <c r="G4911" s="1"/>
      <c r="N4911" s="1"/>
    </row>
    <row r="4912" spans="7:14" x14ac:dyDescent="0.35">
      <c r="G4912" s="1"/>
      <c r="N4912" s="1"/>
    </row>
    <row r="4913" spans="7:14" x14ac:dyDescent="0.35">
      <c r="G4913" s="1"/>
      <c r="N4913" s="1"/>
    </row>
    <row r="4914" spans="7:14" x14ac:dyDescent="0.35">
      <c r="G4914" s="1"/>
      <c r="N4914" s="1"/>
    </row>
    <row r="4915" spans="7:14" x14ac:dyDescent="0.35">
      <c r="G4915" s="1"/>
      <c r="N4915" s="1"/>
    </row>
    <row r="4916" spans="7:14" x14ac:dyDescent="0.35">
      <c r="G4916" s="1"/>
      <c r="N4916" s="1"/>
    </row>
    <row r="4917" spans="7:14" x14ac:dyDescent="0.35">
      <c r="G4917" s="1"/>
      <c r="N4917" s="1"/>
    </row>
    <row r="4918" spans="7:14" x14ac:dyDescent="0.35">
      <c r="G4918" s="1"/>
      <c r="N4918" s="1"/>
    </row>
    <row r="4919" spans="7:14" x14ac:dyDescent="0.35">
      <c r="G4919" s="1"/>
      <c r="N4919" s="1"/>
    </row>
    <row r="4920" spans="7:14" x14ac:dyDescent="0.35">
      <c r="G4920" s="1"/>
      <c r="N4920" s="1"/>
    </row>
    <row r="4921" spans="7:14" x14ac:dyDescent="0.35">
      <c r="G4921" s="1"/>
      <c r="N4921" s="1"/>
    </row>
    <row r="4922" spans="7:14" x14ac:dyDescent="0.35">
      <c r="G4922" s="1"/>
      <c r="N4922" s="1"/>
    </row>
    <row r="4923" spans="7:14" x14ac:dyDescent="0.35">
      <c r="G4923" s="1"/>
      <c r="N4923" s="1"/>
    </row>
    <row r="4924" spans="7:14" x14ac:dyDescent="0.35">
      <c r="G4924" s="1"/>
      <c r="N4924" s="1"/>
    </row>
    <row r="4925" spans="7:14" x14ac:dyDescent="0.35">
      <c r="G4925" s="1"/>
      <c r="N4925" s="1"/>
    </row>
    <row r="4926" spans="7:14" x14ac:dyDescent="0.35">
      <c r="G4926" s="1"/>
      <c r="N4926" s="1"/>
    </row>
    <row r="4927" spans="7:14" x14ac:dyDescent="0.35">
      <c r="G4927" s="1"/>
      <c r="N4927" s="1"/>
    </row>
    <row r="4928" spans="7:14" x14ac:dyDescent="0.35">
      <c r="G4928" s="1"/>
      <c r="N4928" s="1"/>
    </row>
    <row r="4929" spans="7:14" x14ac:dyDescent="0.35">
      <c r="G4929" s="1"/>
      <c r="N4929" s="1"/>
    </row>
    <row r="4930" spans="7:14" x14ac:dyDescent="0.35">
      <c r="G4930" s="1"/>
      <c r="N4930" s="1"/>
    </row>
    <row r="4931" spans="7:14" x14ac:dyDescent="0.35">
      <c r="G4931" s="1"/>
      <c r="N4931" s="1"/>
    </row>
    <row r="4932" spans="7:14" x14ac:dyDescent="0.35">
      <c r="G4932" s="1"/>
      <c r="N4932" s="1"/>
    </row>
    <row r="4933" spans="7:14" x14ac:dyDescent="0.35">
      <c r="G4933" s="1"/>
      <c r="N4933" s="1"/>
    </row>
    <row r="4934" spans="7:14" x14ac:dyDescent="0.35">
      <c r="G4934" s="1"/>
      <c r="N4934" s="1"/>
    </row>
    <row r="4935" spans="7:14" x14ac:dyDescent="0.35">
      <c r="G4935" s="1"/>
      <c r="N4935" s="1"/>
    </row>
    <row r="4936" spans="7:14" x14ac:dyDescent="0.35">
      <c r="G4936" s="1"/>
      <c r="N4936" s="1"/>
    </row>
    <row r="4937" spans="7:14" x14ac:dyDescent="0.35">
      <c r="G4937" s="1"/>
      <c r="N4937" s="1"/>
    </row>
    <row r="4938" spans="7:14" x14ac:dyDescent="0.35">
      <c r="G4938" s="1"/>
      <c r="N4938" s="1"/>
    </row>
    <row r="4939" spans="7:14" x14ac:dyDescent="0.35">
      <c r="G4939" s="1"/>
      <c r="N4939" s="1"/>
    </row>
    <row r="4940" spans="7:14" x14ac:dyDescent="0.35">
      <c r="G4940" s="1"/>
      <c r="N4940" s="1"/>
    </row>
    <row r="4941" spans="7:14" x14ac:dyDescent="0.35">
      <c r="G4941" s="1"/>
      <c r="N4941" s="1"/>
    </row>
    <row r="4942" spans="7:14" x14ac:dyDescent="0.35">
      <c r="G4942" s="1"/>
      <c r="N4942" s="1"/>
    </row>
    <row r="4943" spans="7:14" x14ac:dyDescent="0.35">
      <c r="G4943" s="1"/>
      <c r="N4943" s="1"/>
    </row>
    <row r="4944" spans="7:14" x14ac:dyDescent="0.35">
      <c r="G4944" s="1"/>
      <c r="N4944" s="1"/>
    </row>
    <row r="4945" spans="7:14" x14ac:dyDescent="0.35">
      <c r="G4945" s="1"/>
      <c r="N4945" s="1"/>
    </row>
    <row r="4946" spans="7:14" x14ac:dyDescent="0.35">
      <c r="G4946" s="1"/>
      <c r="N4946" s="1"/>
    </row>
    <row r="4947" spans="7:14" x14ac:dyDescent="0.35">
      <c r="G4947" s="1"/>
      <c r="N4947" s="1"/>
    </row>
    <row r="4948" spans="7:14" x14ac:dyDescent="0.35">
      <c r="G4948" s="1"/>
      <c r="N4948" s="1"/>
    </row>
    <row r="4949" spans="7:14" x14ac:dyDescent="0.35">
      <c r="G4949" s="1"/>
      <c r="N4949" s="1"/>
    </row>
    <row r="4950" spans="7:14" x14ac:dyDescent="0.35">
      <c r="G4950" s="1"/>
      <c r="N4950" s="1"/>
    </row>
    <row r="4951" spans="7:14" x14ac:dyDescent="0.35">
      <c r="G4951" s="1"/>
      <c r="N4951" s="1"/>
    </row>
    <row r="4952" spans="7:14" x14ac:dyDescent="0.35">
      <c r="G4952" s="1"/>
      <c r="N4952" s="1"/>
    </row>
    <row r="4953" spans="7:14" x14ac:dyDescent="0.35">
      <c r="G4953" s="1"/>
      <c r="N4953" s="1"/>
    </row>
    <row r="4954" spans="7:14" x14ac:dyDescent="0.35">
      <c r="G4954" s="1"/>
      <c r="N4954" s="1"/>
    </row>
    <row r="4955" spans="7:14" x14ac:dyDescent="0.35">
      <c r="G4955" s="1"/>
      <c r="N4955" s="1"/>
    </row>
    <row r="4956" spans="7:14" x14ac:dyDescent="0.35">
      <c r="G4956" s="1"/>
      <c r="N4956" s="1"/>
    </row>
    <row r="4957" spans="7:14" x14ac:dyDescent="0.35">
      <c r="G4957" s="1"/>
      <c r="N4957" s="1"/>
    </row>
    <row r="4958" spans="7:14" x14ac:dyDescent="0.35">
      <c r="G4958" s="1"/>
      <c r="N4958" s="1"/>
    </row>
    <row r="4959" spans="7:14" x14ac:dyDescent="0.35">
      <c r="G4959" s="1"/>
      <c r="N4959" s="1"/>
    </row>
    <row r="4960" spans="7:14" x14ac:dyDescent="0.35">
      <c r="G4960" s="1"/>
      <c r="N4960" s="1"/>
    </row>
    <row r="4961" spans="7:14" x14ac:dyDescent="0.35">
      <c r="G4961" s="1"/>
      <c r="N4961" s="1"/>
    </row>
    <row r="4962" spans="7:14" x14ac:dyDescent="0.35">
      <c r="G4962" s="1"/>
      <c r="N4962" s="1"/>
    </row>
    <row r="4963" spans="7:14" x14ac:dyDescent="0.35">
      <c r="G4963" s="1"/>
      <c r="N4963" s="1"/>
    </row>
    <row r="4964" spans="7:14" x14ac:dyDescent="0.35">
      <c r="G4964" s="1"/>
      <c r="N4964" s="1"/>
    </row>
    <row r="4965" spans="7:14" x14ac:dyDescent="0.35">
      <c r="G4965" s="1"/>
      <c r="N4965" s="1"/>
    </row>
    <row r="4966" spans="7:14" x14ac:dyDescent="0.35">
      <c r="G4966" s="1"/>
      <c r="N4966" s="1"/>
    </row>
    <row r="4967" spans="7:14" x14ac:dyDescent="0.35">
      <c r="G4967" s="1"/>
      <c r="N4967" s="1"/>
    </row>
    <row r="4968" spans="7:14" x14ac:dyDescent="0.35">
      <c r="G4968" s="1"/>
      <c r="N4968" s="1"/>
    </row>
    <row r="4969" spans="7:14" x14ac:dyDescent="0.35">
      <c r="G4969" s="1"/>
      <c r="N4969" s="1"/>
    </row>
    <row r="4970" spans="7:14" x14ac:dyDescent="0.35">
      <c r="G4970" s="1"/>
      <c r="N4970" s="1"/>
    </row>
    <row r="4971" spans="7:14" x14ac:dyDescent="0.35">
      <c r="G4971" s="1"/>
      <c r="N4971" s="1"/>
    </row>
    <row r="4972" spans="7:14" x14ac:dyDescent="0.35">
      <c r="G4972" s="1"/>
      <c r="N4972" s="1"/>
    </row>
    <row r="4973" spans="7:14" x14ac:dyDescent="0.35">
      <c r="G4973" s="1"/>
      <c r="N4973" s="1"/>
    </row>
    <row r="4974" spans="7:14" x14ac:dyDescent="0.35">
      <c r="G4974" s="1"/>
      <c r="N4974" s="1"/>
    </row>
    <row r="4975" spans="7:14" x14ac:dyDescent="0.35">
      <c r="G4975" s="1"/>
      <c r="N4975" s="1"/>
    </row>
    <row r="4976" spans="7:14" x14ac:dyDescent="0.35">
      <c r="G4976" s="1"/>
      <c r="N4976" s="1"/>
    </row>
    <row r="4977" spans="7:14" x14ac:dyDescent="0.35">
      <c r="G4977" s="1"/>
      <c r="N4977" s="1"/>
    </row>
    <row r="4978" spans="7:14" x14ac:dyDescent="0.35">
      <c r="G4978" s="1"/>
      <c r="N4978" s="1"/>
    </row>
    <row r="4979" spans="7:14" x14ac:dyDescent="0.35">
      <c r="G4979" s="1"/>
      <c r="N4979" s="1"/>
    </row>
    <row r="4980" spans="7:14" x14ac:dyDescent="0.35">
      <c r="G4980" s="1"/>
      <c r="N4980" s="1"/>
    </row>
    <row r="4981" spans="7:14" x14ac:dyDescent="0.35">
      <c r="G4981" s="1"/>
      <c r="N4981" s="1"/>
    </row>
    <row r="4982" spans="7:14" x14ac:dyDescent="0.35">
      <c r="G4982" s="1"/>
      <c r="N4982" s="1"/>
    </row>
    <row r="4983" spans="7:14" x14ac:dyDescent="0.35">
      <c r="G4983" s="1"/>
      <c r="N4983" s="1"/>
    </row>
    <row r="4984" spans="7:14" x14ac:dyDescent="0.35">
      <c r="G4984" s="1"/>
      <c r="N4984" s="1"/>
    </row>
    <row r="4985" spans="7:14" x14ac:dyDescent="0.35">
      <c r="G4985" s="1"/>
      <c r="N4985" s="1"/>
    </row>
    <row r="4986" spans="7:14" x14ac:dyDescent="0.35">
      <c r="G4986" s="1"/>
      <c r="N4986" s="1"/>
    </row>
    <row r="4987" spans="7:14" x14ac:dyDescent="0.35">
      <c r="G4987" s="1"/>
      <c r="N4987" s="1"/>
    </row>
    <row r="4988" spans="7:14" x14ac:dyDescent="0.35">
      <c r="G4988" s="1"/>
      <c r="N4988" s="1"/>
    </row>
    <row r="4989" spans="7:14" x14ac:dyDescent="0.35">
      <c r="G4989" s="1"/>
      <c r="N4989" s="1"/>
    </row>
    <row r="4990" spans="7:14" x14ac:dyDescent="0.35">
      <c r="G4990" s="1"/>
      <c r="N4990" s="1"/>
    </row>
    <row r="4991" spans="7:14" x14ac:dyDescent="0.35">
      <c r="G4991" s="1"/>
      <c r="N4991" s="1"/>
    </row>
    <row r="4992" spans="7:14" x14ac:dyDescent="0.35">
      <c r="G4992" s="1"/>
      <c r="N4992" s="1"/>
    </row>
    <row r="4993" spans="7:14" x14ac:dyDescent="0.35">
      <c r="G4993" s="1"/>
      <c r="N4993" s="1"/>
    </row>
    <row r="4994" spans="7:14" x14ac:dyDescent="0.35">
      <c r="G4994" s="1"/>
      <c r="N4994" s="1"/>
    </row>
    <row r="4995" spans="7:14" x14ac:dyDescent="0.35">
      <c r="G4995" s="1"/>
      <c r="N4995" s="1"/>
    </row>
    <row r="4996" spans="7:14" x14ac:dyDescent="0.35">
      <c r="G4996" s="1"/>
      <c r="N4996" s="1"/>
    </row>
    <row r="4997" spans="7:14" x14ac:dyDescent="0.35">
      <c r="G4997" s="1"/>
      <c r="N4997" s="1"/>
    </row>
    <row r="4998" spans="7:14" x14ac:dyDescent="0.35">
      <c r="G4998" s="1"/>
      <c r="N4998" s="1"/>
    </row>
    <row r="4999" spans="7:14" x14ac:dyDescent="0.35">
      <c r="G4999" s="1"/>
      <c r="N4999" s="1"/>
    </row>
    <row r="5000" spans="7:14" x14ac:dyDescent="0.35">
      <c r="G5000" s="1"/>
      <c r="N5000" s="1"/>
    </row>
    <row r="5001" spans="7:14" x14ac:dyDescent="0.35">
      <c r="G5001" s="1"/>
      <c r="N5001" s="1"/>
    </row>
    <row r="5002" spans="7:14" x14ac:dyDescent="0.35">
      <c r="G5002" s="1"/>
      <c r="N5002" s="1"/>
    </row>
    <row r="5003" spans="7:14" x14ac:dyDescent="0.35">
      <c r="G5003" s="1"/>
      <c r="N5003" s="1"/>
    </row>
    <row r="5004" spans="7:14" x14ac:dyDescent="0.35">
      <c r="G5004" s="1"/>
      <c r="N5004" s="1"/>
    </row>
    <row r="5005" spans="7:14" x14ac:dyDescent="0.35">
      <c r="G5005" s="1"/>
      <c r="N5005" s="1"/>
    </row>
    <row r="5006" spans="7:14" x14ac:dyDescent="0.35">
      <c r="G5006" s="1"/>
      <c r="N5006" s="1"/>
    </row>
    <row r="5007" spans="7:14" x14ac:dyDescent="0.35">
      <c r="G5007" s="1"/>
      <c r="N5007" s="1"/>
    </row>
    <row r="5008" spans="7:14" x14ac:dyDescent="0.35">
      <c r="G5008" s="1"/>
      <c r="N5008" s="1"/>
    </row>
    <row r="5009" spans="7:14" x14ac:dyDescent="0.35">
      <c r="G5009" s="1"/>
      <c r="N5009" s="1"/>
    </row>
    <row r="5010" spans="7:14" x14ac:dyDescent="0.35">
      <c r="G5010" s="1"/>
      <c r="N5010" s="1"/>
    </row>
    <row r="5011" spans="7:14" x14ac:dyDescent="0.35">
      <c r="G5011" s="1"/>
      <c r="N5011" s="1"/>
    </row>
    <row r="5012" spans="7:14" x14ac:dyDescent="0.35">
      <c r="G5012" s="1"/>
      <c r="N5012" s="1"/>
    </row>
    <row r="5013" spans="7:14" x14ac:dyDescent="0.35">
      <c r="G5013" s="1"/>
      <c r="N5013" s="1"/>
    </row>
    <row r="5014" spans="7:14" x14ac:dyDescent="0.35">
      <c r="G5014" s="1"/>
      <c r="N5014" s="1"/>
    </row>
    <row r="5015" spans="7:14" x14ac:dyDescent="0.35">
      <c r="G5015" s="1"/>
      <c r="N5015" s="1"/>
    </row>
    <row r="5016" spans="7:14" x14ac:dyDescent="0.35">
      <c r="G5016" s="1"/>
      <c r="N5016" s="1"/>
    </row>
    <row r="5017" spans="7:14" x14ac:dyDescent="0.35">
      <c r="G5017" s="1"/>
      <c r="N5017" s="1"/>
    </row>
    <row r="5018" spans="7:14" x14ac:dyDescent="0.35">
      <c r="G5018" s="1"/>
      <c r="N5018" s="1"/>
    </row>
    <row r="5019" spans="7:14" x14ac:dyDescent="0.35">
      <c r="G5019" s="1"/>
      <c r="N5019" s="1"/>
    </row>
    <row r="5020" spans="7:14" x14ac:dyDescent="0.35">
      <c r="G5020" s="1"/>
      <c r="N5020" s="1"/>
    </row>
    <row r="5021" spans="7:14" x14ac:dyDescent="0.35">
      <c r="G5021" s="1"/>
      <c r="N5021" s="1"/>
    </row>
    <row r="5022" spans="7:14" x14ac:dyDescent="0.35">
      <c r="G5022" s="1"/>
      <c r="N5022" s="1"/>
    </row>
    <row r="5023" spans="7:14" x14ac:dyDescent="0.35">
      <c r="G5023" s="1"/>
      <c r="N5023" s="1"/>
    </row>
    <row r="5024" spans="7:14" x14ac:dyDescent="0.35">
      <c r="G5024" s="1"/>
      <c r="N5024" s="1"/>
    </row>
    <row r="5025" spans="7:14" x14ac:dyDescent="0.35">
      <c r="G5025" s="1"/>
      <c r="N5025" s="1"/>
    </row>
    <row r="5026" spans="7:14" x14ac:dyDescent="0.35">
      <c r="G5026" s="1"/>
      <c r="N5026" s="1"/>
    </row>
    <row r="5027" spans="7:14" x14ac:dyDescent="0.35">
      <c r="G5027" s="1"/>
      <c r="N5027" s="1"/>
    </row>
    <row r="5028" spans="7:14" x14ac:dyDescent="0.35">
      <c r="G5028" s="1"/>
      <c r="N5028" s="1"/>
    </row>
    <row r="5029" spans="7:14" x14ac:dyDescent="0.35">
      <c r="G5029" s="1"/>
      <c r="N5029" s="1"/>
    </row>
    <row r="5030" spans="7:14" x14ac:dyDescent="0.35">
      <c r="G5030" s="1"/>
      <c r="N5030" s="1"/>
    </row>
    <row r="5031" spans="7:14" x14ac:dyDescent="0.35">
      <c r="G5031" s="1"/>
      <c r="N5031" s="1"/>
    </row>
    <row r="5032" spans="7:14" x14ac:dyDescent="0.35">
      <c r="G5032" s="1"/>
      <c r="N5032" s="1"/>
    </row>
    <row r="5033" spans="7:14" x14ac:dyDescent="0.35">
      <c r="G5033" s="1"/>
      <c r="N5033" s="1"/>
    </row>
    <row r="5034" spans="7:14" x14ac:dyDescent="0.35">
      <c r="G5034" s="1"/>
      <c r="N5034" s="1"/>
    </row>
    <row r="5035" spans="7:14" x14ac:dyDescent="0.35">
      <c r="G5035" s="1"/>
      <c r="N5035" s="1"/>
    </row>
    <row r="5036" spans="7:14" x14ac:dyDescent="0.35">
      <c r="G5036" s="1"/>
      <c r="N5036" s="1"/>
    </row>
    <row r="5037" spans="7:14" x14ac:dyDescent="0.35">
      <c r="G5037" s="1"/>
      <c r="N5037" s="1"/>
    </row>
    <row r="5038" spans="7:14" x14ac:dyDescent="0.35">
      <c r="G5038" s="1"/>
      <c r="N5038" s="1"/>
    </row>
    <row r="5039" spans="7:14" x14ac:dyDescent="0.35">
      <c r="G5039" s="1"/>
      <c r="N5039" s="1"/>
    </row>
    <row r="5040" spans="7:14" x14ac:dyDescent="0.35">
      <c r="G5040" s="1"/>
      <c r="N5040" s="1"/>
    </row>
    <row r="5041" spans="7:14" x14ac:dyDescent="0.35">
      <c r="G5041" s="1"/>
      <c r="N5041" s="1"/>
    </row>
    <row r="5042" spans="7:14" x14ac:dyDescent="0.35">
      <c r="G5042" s="1"/>
      <c r="N5042" s="1"/>
    </row>
    <row r="5043" spans="7:14" x14ac:dyDescent="0.35">
      <c r="G5043" s="1"/>
      <c r="N5043" s="1"/>
    </row>
    <row r="5044" spans="7:14" x14ac:dyDescent="0.35">
      <c r="G5044" s="1"/>
      <c r="N5044" s="1"/>
    </row>
    <row r="5045" spans="7:14" x14ac:dyDescent="0.35">
      <c r="G5045" s="1"/>
      <c r="N5045" s="1"/>
    </row>
    <row r="5046" spans="7:14" x14ac:dyDescent="0.35">
      <c r="G5046" s="1"/>
      <c r="N5046" s="1"/>
    </row>
    <row r="5047" spans="7:14" x14ac:dyDescent="0.35">
      <c r="G5047" s="1"/>
      <c r="N5047" s="1"/>
    </row>
    <row r="5048" spans="7:14" x14ac:dyDescent="0.35">
      <c r="G5048" s="1"/>
      <c r="N5048" s="1"/>
    </row>
    <row r="5049" spans="7:14" x14ac:dyDescent="0.35">
      <c r="G5049" s="1"/>
      <c r="N5049" s="1"/>
    </row>
    <row r="5050" spans="7:14" x14ac:dyDescent="0.35">
      <c r="G5050" s="1"/>
      <c r="N5050" s="1"/>
    </row>
    <row r="5051" spans="7:14" x14ac:dyDescent="0.35">
      <c r="G5051" s="1"/>
      <c r="N5051" s="1"/>
    </row>
    <row r="5052" spans="7:14" x14ac:dyDescent="0.35">
      <c r="G5052" s="1"/>
      <c r="N5052" s="1"/>
    </row>
    <row r="5053" spans="7:14" x14ac:dyDescent="0.35">
      <c r="G5053" s="1"/>
      <c r="N5053" s="1"/>
    </row>
    <row r="5054" spans="7:14" x14ac:dyDescent="0.35">
      <c r="G5054" s="1"/>
      <c r="N5054" s="1"/>
    </row>
    <row r="5055" spans="7:14" x14ac:dyDescent="0.35">
      <c r="G5055" s="1"/>
      <c r="N5055" s="1"/>
    </row>
    <row r="5056" spans="7:14" x14ac:dyDescent="0.35">
      <c r="G5056" s="1"/>
      <c r="N5056" s="1"/>
    </row>
    <row r="5057" spans="7:14" x14ac:dyDescent="0.35">
      <c r="G5057" s="1"/>
      <c r="N5057" s="1"/>
    </row>
    <row r="5058" spans="7:14" x14ac:dyDescent="0.35">
      <c r="G5058" s="1"/>
      <c r="N5058" s="1"/>
    </row>
    <row r="5059" spans="7:14" x14ac:dyDescent="0.35">
      <c r="G5059" s="1"/>
      <c r="N5059" s="1"/>
    </row>
    <row r="5060" spans="7:14" x14ac:dyDescent="0.35">
      <c r="G5060" s="1"/>
      <c r="N5060" s="1"/>
    </row>
    <row r="5061" spans="7:14" x14ac:dyDescent="0.35">
      <c r="G5061" s="1"/>
      <c r="N5061" s="1"/>
    </row>
    <row r="5062" spans="7:14" x14ac:dyDescent="0.35">
      <c r="G5062" s="1"/>
      <c r="N5062" s="1"/>
    </row>
    <row r="5063" spans="7:14" x14ac:dyDescent="0.35">
      <c r="G5063" s="1"/>
      <c r="N5063" s="1"/>
    </row>
    <row r="5064" spans="7:14" x14ac:dyDescent="0.35">
      <c r="G5064" s="1"/>
      <c r="N5064" s="1"/>
    </row>
    <row r="5065" spans="7:14" x14ac:dyDescent="0.35">
      <c r="G5065" s="1"/>
      <c r="N5065" s="1"/>
    </row>
    <row r="5066" spans="7:14" x14ac:dyDescent="0.35">
      <c r="G5066" s="1"/>
      <c r="N5066" s="1"/>
    </row>
    <row r="5067" spans="7:14" x14ac:dyDescent="0.35">
      <c r="G5067" s="1"/>
      <c r="N5067" s="1"/>
    </row>
    <row r="5068" spans="7:14" x14ac:dyDescent="0.35">
      <c r="G5068" s="1"/>
      <c r="N5068" s="1"/>
    </row>
    <row r="5069" spans="7:14" x14ac:dyDescent="0.35">
      <c r="G5069" s="1"/>
      <c r="N5069" s="1"/>
    </row>
    <row r="5070" spans="7:14" x14ac:dyDescent="0.35">
      <c r="G5070" s="1"/>
      <c r="N5070" s="1"/>
    </row>
    <row r="5071" spans="7:14" x14ac:dyDescent="0.35">
      <c r="G5071" s="1"/>
      <c r="N5071" s="1"/>
    </row>
    <row r="5072" spans="7:14" x14ac:dyDescent="0.35">
      <c r="G5072" s="1"/>
      <c r="N5072" s="1"/>
    </row>
    <row r="5073" spans="7:14" x14ac:dyDescent="0.35">
      <c r="G5073" s="1"/>
      <c r="N5073" s="1"/>
    </row>
    <row r="5074" spans="7:14" x14ac:dyDescent="0.35">
      <c r="G5074" s="1"/>
      <c r="N5074" s="1"/>
    </row>
    <row r="5075" spans="7:14" x14ac:dyDescent="0.35">
      <c r="G5075" s="1"/>
      <c r="N5075" s="1"/>
    </row>
    <row r="5076" spans="7:14" x14ac:dyDescent="0.35">
      <c r="G5076" s="1"/>
      <c r="N5076" s="1"/>
    </row>
    <row r="5077" spans="7:14" x14ac:dyDescent="0.35">
      <c r="G5077" s="1"/>
      <c r="N5077" s="1"/>
    </row>
    <row r="5078" spans="7:14" x14ac:dyDescent="0.35">
      <c r="G5078" s="1"/>
      <c r="N5078" s="1"/>
    </row>
    <row r="5079" spans="7:14" x14ac:dyDescent="0.35">
      <c r="G5079" s="1"/>
      <c r="N5079" s="1"/>
    </row>
    <row r="5080" spans="7:14" x14ac:dyDescent="0.35">
      <c r="G5080" s="1"/>
      <c r="N5080" s="1"/>
    </row>
    <row r="5081" spans="7:14" x14ac:dyDescent="0.35">
      <c r="G5081" s="1"/>
      <c r="N5081" s="1"/>
    </row>
    <row r="5082" spans="7:14" x14ac:dyDescent="0.35">
      <c r="G5082" s="1"/>
      <c r="N5082" s="1"/>
    </row>
    <row r="5083" spans="7:14" x14ac:dyDescent="0.35">
      <c r="G5083" s="1"/>
      <c r="N5083" s="1"/>
    </row>
    <row r="5084" spans="7:14" x14ac:dyDescent="0.35">
      <c r="G5084" s="1"/>
      <c r="N5084" s="1"/>
    </row>
    <row r="5085" spans="7:14" x14ac:dyDescent="0.35">
      <c r="G5085" s="1"/>
      <c r="N5085" s="1"/>
    </row>
    <row r="5086" spans="7:14" x14ac:dyDescent="0.35">
      <c r="G5086" s="1"/>
      <c r="N5086" s="1"/>
    </row>
    <row r="5087" spans="7:14" x14ac:dyDescent="0.35">
      <c r="G5087" s="1"/>
      <c r="N5087" s="1"/>
    </row>
    <row r="5088" spans="7:14" x14ac:dyDescent="0.35">
      <c r="G5088" s="1"/>
      <c r="N5088" s="1"/>
    </row>
    <row r="5089" spans="7:14" x14ac:dyDescent="0.35">
      <c r="G5089" s="1"/>
      <c r="N5089" s="1"/>
    </row>
    <row r="5090" spans="7:14" x14ac:dyDescent="0.35">
      <c r="G5090" s="1"/>
      <c r="N5090" s="1"/>
    </row>
    <row r="5091" spans="7:14" x14ac:dyDescent="0.35">
      <c r="G5091" s="1"/>
      <c r="N5091" s="1"/>
    </row>
    <row r="5092" spans="7:14" x14ac:dyDescent="0.35">
      <c r="G5092" s="1"/>
      <c r="N5092" s="1"/>
    </row>
    <row r="5093" spans="7:14" x14ac:dyDescent="0.35">
      <c r="G5093" s="1"/>
      <c r="N5093" s="1"/>
    </row>
    <row r="5094" spans="7:14" x14ac:dyDescent="0.35">
      <c r="G5094" s="1"/>
      <c r="N5094" s="1"/>
    </row>
    <row r="5095" spans="7:14" x14ac:dyDescent="0.35">
      <c r="G5095" s="1"/>
      <c r="N5095" s="1"/>
    </row>
    <row r="5096" spans="7:14" x14ac:dyDescent="0.35">
      <c r="G5096" s="1"/>
      <c r="N5096" s="1"/>
    </row>
    <row r="5097" spans="7:14" x14ac:dyDescent="0.35">
      <c r="G5097" s="1"/>
      <c r="N5097" s="1"/>
    </row>
    <row r="5098" spans="7:14" x14ac:dyDescent="0.35">
      <c r="G5098" s="1"/>
      <c r="N5098" s="1"/>
    </row>
    <row r="5099" spans="7:14" x14ac:dyDescent="0.35">
      <c r="G5099" s="1"/>
      <c r="N5099" s="1"/>
    </row>
    <row r="5100" spans="7:14" x14ac:dyDescent="0.35">
      <c r="G5100" s="1"/>
      <c r="N5100" s="1"/>
    </row>
    <row r="5101" spans="7:14" x14ac:dyDescent="0.35">
      <c r="G5101" s="1"/>
      <c r="N5101" s="1"/>
    </row>
    <row r="5102" spans="7:14" x14ac:dyDescent="0.35">
      <c r="G5102" s="1"/>
      <c r="N5102" s="1"/>
    </row>
    <row r="5103" spans="7:14" x14ac:dyDescent="0.35">
      <c r="G5103" s="1"/>
      <c r="N5103" s="1"/>
    </row>
    <row r="5104" spans="7:14" x14ac:dyDescent="0.35">
      <c r="G5104" s="1"/>
      <c r="N5104" s="1"/>
    </row>
    <row r="5105" spans="7:14" x14ac:dyDescent="0.35">
      <c r="G5105" s="1"/>
      <c r="N5105" s="1"/>
    </row>
    <row r="5106" spans="7:14" x14ac:dyDescent="0.35">
      <c r="G5106" s="1"/>
      <c r="N5106" s="1"/>
    </row>
    <row r="5107" spans="7:14" x14ac:dyDescent="0.35">
      <c r="G5107" s="1"/>
      <c r="N5107" s="1"/>
    </row>
    <row r="5108" spans="7:14" x14ac:dyDescent="0.35">
      <c r="G5108" s="1"/>
      <c r="N5108" s="1"/>
    </row>
    <row r="5109" spans="7:14" x14ac:dyDescent="0.35">
      <c r="G5109" s="1"/>
      <c r="N5109" s="1"/>
    </row>
    <row r="5110" spans="7:14" x14ac:dyDescent="0.35">
      <c r="G5110" s="1"/>
      <c r="N5110" s="1"/>
    </row>
    <row r="5111" spans="7:14" x14ac:dyDescent="0.35">
      <c r="G5111" s="1"/>
      <c r="N5111" s="1"/>
    </row>
    <row r="5112" spans="7:14" x14ac:dyDescent="0.35">
      <c r="G5112" s="1"/>
      <c r="N5112" s="1"/>
    </row>
    <row r="5113" spans="7:14" x14ac:dyDescent="0.35">
      <c r="G5113" s="1"/>
      <c r="N5113" s="1"/>
    </row>
    <row r="5114" spans="7:14" x14ac:dyDescent="0.35">
      <c r="G5114" s="1"/>
      <c r="N5114" s="1"/>
    </row>
    <row r="5115" spans="7:14" x14ac:dyDescent="0.35">
      <c r="G5115" s="1"/>
      <c r="N5115" s="1"/>
    </row>
    <row r="5116" spans="7:14" x14ac:dyDescent="0.35">
      <c r="G5116" s="1"/>
      <c r="N5116" s="1"/>
    </row>
    <row r="5117" spans="7:14" x14ac:dyDescent="0.35">
      <c r="G5117" s="1"/>
      <c r="N5117" s="1"/>
    </row>
    <row r="5118" spans="7:14" x14ac:dyDescent="0.35">
      <c r="G5118" s="1"/>
      <c r="N5118" s="1"/>
    </row>
    <row r="5119" spans="7:14" x14ac:dyDescent="0.35">
      <c r="G5119" s="1"/>
      <c r="N5119" s="1"/>
    </row>
    <row r="5120" spans="7:14" x14ac:dyDescent="0.35">
      <c r="G5120" s="1"/>
      <c r="N5120" s="1"/>
    </row>
    <row r="5121" spans="7:14" x14ac:dyDescent="0.35">
      <c r="G5121" s="1"/>
      <c r="N5121" s="1"/>
    </row>
    <row r="5122" spans="7:14" x14ac:dyDescent="0.35">
      <c r="G5122" s="1"/>
      <c r="N5122" s="1"/>
    </row>
    <row r="5123" spans="7:14" x14ac:dyDescent="0.35">
      <c r="G5123" s="1"/>
      <c r="N5123" s="1"/>
    </row>
    <row r="5124" spans="7:14" x14ac:dyDescent="0.35">
      <c r="G5124" s="1"/>
      <c r="N5124" s="1"/>
    </row>
    <row r="5125" spans="7:14" x14ac:dyDescent="0.35">
      <c r="G5125" s="1"/>
      <c r="N5125" s="1"/>
    </row>
    <row r="5126" spans="7:14" x14ac:dyDescent="0.35">
      <c r="G5126" s="1"/>
      <c r="N5126" s="1"/>
    </row>
    <row r="5127" spans="7:14" x14ac:dyDescent="0.35">
      <c r="G5127" s="1"/>
      <c r="N5127" s="1"/>
    </row>
    <row r="5128" spans="7:14" x14ac:dyDescent="0.35">
      <c r="G5128" s="1"/>
      <c r="N5128" s="1"/>
    </row>
    <row r="5129" spans="7:14" x14ac:dyDescent="0.35">
      <c r="G5129" s="1"/>
      <c r="N5129" s="1"/>
    </row>
    <row r="5130" spans="7:14" x14ac:dyDescent="0.35">
      <c r="G5130" s="1"/>
      <c r="N5130" s="1"/>
    </row>
    <row r="5131" spans="7:14" x14ac:dyDescent="0.35">
      <c r="G5131" s="1"/>
      <c r="N5131" s="1"/>
    </row>
    <row r="5132" spans="7:14" x14ac:dyDescent="0.35">
      <c r="G5132" s="1"/>
      <c r="N5132" s="1"/>
    </row>
    <row r="5133" spans="7:14" x14ac:dyDescent="0.35">
      <c r="G5133" s="1"/>
      <c r="N5133" s="1"/>
    </row>
    <row r="5134" spans="7:14" x14ac:dyDescent="0.35">
      <c r="G5134" s="1"/>
      <c r="N5134" s="1"/>
    </row>
    <row r="5135" spans="7:14" x14ac:dyDescent="0.35">
      <c r="G5135" s="1"/>
      <c r="N5135" s="1"/>
    </row>
    <row r="5136" spans="7:14" x14ac:dyDescent="0.35">
      <c r="G5136" s="1"/>
      <c r="N5136" s="1"/>
    </row>
    <row r="5137" spans="7:14" x14ac:dyDescent="0.35">
      <c r="G5137" s="1"/>
      <c r="N5137" s="1"/>
    </row>
    <row r="5138" spans="7:14" x14ac:dyDescent="0.35">
      <c r="G5138" s="1"/>
      <c r="N5138" s="1"/>
    </row>
    <row r="5139" spans="7:14" x14ac:dyDescent="0.35">
      <c r="G5139" s="1"/>
      <c r="N5139" s="1"/>
    </row>
    <row r="5140" spans="7:14" x14ac:dyDescent="0.35">
      <c r="G5140" s="1"/>
      <c r="N5140" s="1"/>
    </row>
    <row r="5141" spans="7:14" x14ac:dyDescent="0.35">
      <c r="G5141" s="1"/>
      <c r="N5141" s="1"/>
    </row>
    <row r="5142" spans="7:14" x14ac:dyDescent="0.35">
      <c r="G5142" s="1"/>
      <c r="N5142" s="1"/>
    </row>
    <row r="5143" spans="7:14" x14ac:dyDescent="0.35">
      <c r="G5143" s="1"/>
      <c r="N5143" s="1"/>
    </row>
    <row r="5144" spans="7:14" x14ac:dyDescent="0.35">
      <c r="G5144" s="1"/>
      <c r="N5144" s="1"/>
    </row>
    <row r="5145" spans="7:14" x14ac:dyDescent="0.35">
      <c r="G5145" s="1"/>
      <c r="N5145" s="1"/>
    </row>
    <row r="5146" spans="7:14" x14ac:dyDescent="0.35">
      <c r="G5146" s="1"/>
      <c r="N5146" s="1"/>
    </row>
    <row r="5147" spans="7:14" x14ac:dyDescent="0.35">
      <c r="G5147" s="1"/>
      <c r="N5147" s="1"/>
    </row>
    <row r="5148" spans="7:14" x14ac:dyDescent="0.35">
      <c r="G5148" s="1"/>
      <c r="N5148" s="1"/>
    </row>
    <row r="5149" spans="7:14" x14ac:dyDescent="0.35">
      <c r="G5149" s="1"/>
      <c r="N5149" s="1"/>
    </row>
    <row r="5150" spans="7:14" x14ac:dyDescent="0.35">
      <c r="G5150" s="1"/>
      <c r="N5150" s="1"/>
    </row>
    <row r="5151" spans="7:14" x14ac:dyDescent="0.35">
      <c r="G5151" s="1"/>
      <c r="N5151" s="1"/>
    </row>
    <row r="5152" spans="7:14" x14ac:dyDescent="0.35">
      <c r="G5152" s="1"/>
      <c r="N5152" s="1"/>
    </row>
    <row r="5153" spans="7:14" x14ac:dyDescent="0.35">
      <c r="G5153" s="1"/>
      <c r="N5153" s="1"/>
    </row>
    <row r="5154" spans="7:14" x14ac:dyDescent="0.35">
      <c r="G5154" s="1"/>
      <c r="N5154" s="1"/>
    </row>
    <row r="5155" spans="7:14" x14ac:dyDescent="0.35">
      <c r="G5155" s="1"/>
      <c r="N5155" s="1"/>
    </row>
    <row r="5156" spans="7:14" x14ac:dyDescent="0.35">
      <c r="G5156" s="1"/>
      <c r="N5156" s="1"/>
    </row>
    <row r="5157" spans="7:14" x14ac:dyDescent="0.35">
      <c r="G5157" s="1"/>
      <c r="N5157" s="1"/>
    </row>
    <row r="5158" spans="7:14" x14ac:dyDescent="0.35">
      <c r="G5158" s="1"/>
      <c r="N5158" s="1"/>
    </row>
    <row r="5159" spans="7:14" x14ac:dyDescent="0.35">
      <c r="G5159" s="1"/>
      <c r="N5159" s="1"/>
    </row>
    <row r="5160" spans="7:14" x14ac:dyDescent="0.35">
      <c r="G5160" s="1"/>
      <c r="N5160" s="1"/>
    </row>
    <row r="5161" spans="7:14" x14ac:dyDescent="0.35">
      <c r="G5161" s="1"/>
      <c r="N5161" s="1"/>
    </row>
    <row r="5162" spans="7:14" x14ac:dyDescent="0.35">
      <c r="G5162" s="1"/>
      <c r="N5162" s="1"/>
    </row>
    <row r="5163" spans="7:14" x14ac:dyDescent="0.35">
      <c r="G5163" s="1"/>
      <c r="N5163" s="1"/>
    </row>
    <row r="5164" spans="7:14" x14ac:dyDescent="0.35">
      <c r="G5164" s="1"/>
      <c r="N5164" s="1"/>
    </row>
    <row r="5165" spans="7:14" x14ac:dyDescent="0.35">
      <c r="G5165" s="1"/>
      <c r="N5165" s="1"/>
    </row>
    <row r="5166" spans="7:14" x14ac:dyDescent="0.35">
      <c r="G5166" s="1"/>
      <c r="N5166" s="1"/>
    </row>
    <row r="5167" spans="7:14" x14ac:dyDescent="0.35">
      <c r="G5167" s="1"/>
      <c r="N5167" s="1"/>
    </row>
    <row r="5168" spans="7:14" x14ac:dyDescent="0.35">
      <c r="G5168" s="1"/>
      <c r="N5168" s="1"/>
    </row>
    <row r="5169" spans="7:14" x14ac:dyDescent="0.35">
      <c r="G5169" s="1"/>
      <c r="N5169" s="1"/>
    </row>
    <row r="5170" spans="7:14" x14ac:dyDescent="0.35">
      <c r="G5170" s="1"/>
      <c r="N5170" s="1"/>
    </row>
    <row r="5171" spans="7:14" x14ac:dyDescent="0.35">
      <c r="G5171" s="1"/>
      <c r="N5171" s="1"/>
    </row>
    <row r="5172" spans="7:14" x14ac:dyDescent="0.35">
      <c r="G5172" s="1"/>
      <c r="N5172" s="1"/>
    </row>
    <row r="5173" spans="7:14" x14ac:dyDescent="0.35">
      <c r="G5173" s="1"/>
      <c r="N5173" s="1"/>
    </row>
    <row r="5174" spans="7:14" x14ac:dyDescent="0.35">
      <c r="G5174" s="1"/>
      <c r="N5174" s="1"/>
    </row>
    <row r="5175" spans="7:14" x14ac:dyDescent="0.35">
      <c r="G5175" s="1"/>
      <c r="N5175" s="1"/>
    </row>
    <row r="5176" spans="7:14" x14ac:dyDescent="0.35">
      <c r="G5176" s="1"/>
      <c r="N5176" s="1"/>
    </row>
    <row r="5177" spans="7:14" x14ac:dyDescent="0.35">
      <c r="G5177" s="1"/>
      <c r="N5177" s="1"/>
    </row>
    <row r="5178" spans="7:14" x14ac:dyDescent="0.35">
      <c r="G5178" s="1"/>
      <c r="N5178" s="1"/>
    </row>
    <row r="5179" spans="7:14" x14ac:dyDescent="0.35">
      <c r="G5179" s="1"/>
      <c r="N5179" s="1"/>
    </row>
    <row r="5180" spans="7:14" x14ac:dyDescent="0.35">
      <c r="G5180" s="1"/>
      <c r="N5180" s="1"/>
    </row>
    <row r="5181" spans="7:14" x14ac:dyDescent="0.35">
      <c r="G5181" s="1"/>
      <c r="N5181" s="1"/>
    </row>
    <row r="5182" spans="7:14" x14ac:dyDescent="0.35">
      <c r="G5182" s="1"/>
      <c r="N5182" s="1"/>
    </row>
    <row r="5183" spans="7:14" x14ac:dyDescent="0.35">
      <c r="G5183" s="1"/>
      <c r="N5183" s="1"/>
    </row>
    <row r="5184" spans="7:14" x14ac:dyDescent="0.35">
      <c r="G5184" s="1"/>
      <c r="N5184" s="1"/>
    </row>
    <row r="5185" spans="7:14" x14ac:dyDescent="0.35">
      <c r="G5185" s="1"/>
      <c r="N5185" s="1"/>
    </row>
    <row r="5186" spans="7:14" x14ac:dyDescent="0.35">
      <c r="G5186" s="1"/>
      <c r="N5186" s="1"/>
    </row>
    <row r="5187" spans="7:14" x14ac:dyDescent="0.35">
      <c r="G5187" s="1"/>
      <c r="N5187" s="1"/>
    </row>
    <row r="5188" spans="7:14" x14ac:dyDescent="0.35">
      <c r="G5188" s="1"/>
      <c r="N5188" s="1"/>
    </row>
    <row r="5189" spans="7:14" x14ac:dyDescent="0.35">
      <c r="G5189" s="1"/>
      <c r="N5189" s="1"/>
    </row>
    <row r="5190" spans="7:14" x14ac:dyDescent="0.35">
      <c r="G5190" s="1"/>
      <c r="N5190" s="1"/>
    </row>
    <row r="5191" spans="7:14" x14ac:dyDescent="0.35">
      <c r="G5191" s="1"/>
      <c r="N5191" s="1"/>
    </row>
    <row r="5192" spans="7:14" x14ac:dyDescent="0.35">
      <c r="G5192" s="1"/>
      <c r="N5192" s="1"/>
    </row>
    <row r="5193" spans="7:14" x14ac:dyDescent="0.35">
      <c r="G5193" s="1"/>
      <c r="N5193" s="1"/>
    </row>
    <row r="5194" spans="7:14" x14ac:dyDescent="0.35">
      <c r="G5194" s="1"/>
      <c r="N5194" s="1"/>
    </row>
    <row r="5195" spans="7:14" x14ac:dyDescent="0.35">
      <c r="G5195" s="1"/>
      <c r="N5195" s="1"/>
    </row>
    <row r="5196" spans="7:14" x14ac:dyDescent="0.35">
      <c r="G5196" s="1"/>
      <c r="N5196" s="1"/>
    </row>
    <row r="5197" spans="7:14" x14ac:dyDescent="0.35">
      <c r="G5197" s="1"/>
      <c r="N5197" s="1"/>
    </row>
    <row r="5198" spans="7:14" x14ac:dyDescent="0.35">
      <c r="G5198" s="1"/>
      <c r="N5198" s="1"/>
    </row>
    <row r="5199" spans="7:14" x14ac:dyDescent="0.35">
      <c r="G5199" s="1"/>
      <c r="N5199" s="1"/>
    </row>
    <row r="5200" spans="7:14" x14ac:dyDescent="0.35">
      <c r="G5200" s="1"/>
      <c r="N5200" s="1"/>
    </row>
    <row r="5201" spans="7:14" x14ac:dyDescent="0.35">
      <c r="G5201" s="1"/>
      <c r="N5201" s="1"/>
    </row>
    <row r="5202" spans="7:14" x14ac:dyDescent="0.35">
      <c r="G5202" s="1"/>
      <c r="N5202" s="1"/>
    </row>
    <row r="5203" spans="7:14" x14ac:dyDescent="0.35">
      <c r="G5203" s="1"/>
      <c r="N5203" s="1"/>
    </row>
    <row r="5204" spans="7:14" x14ac:dyDescent="0.35">
      <c r="G5204" s="1"/>
      <c r="N5204" s="1"/>
    </row>
    <row r="5205" spans="7:14" x14ac:dyDescent="0.35">
      <c r="G5205" s="1"/>
      <c r="N5205" s="1"/>
    </row>
    <row r="5206" spans="7:14" x14ac:dyDescent="0.35">
      <c r="G5206" s="1"/>
      <c r="N5206" s="1"/>
    </row>
    <row r="5207" spans="7:14" x14ac:dyDescent="0.35">
      <c r="G5207" s="1"/>
      <c r="N5207" s="1"/>
    </row>
    <row r="5208" spans="7:14" x14ac:dyDescent="0.35">
      <c r="G5208" s="1"/>
      <c r="N5208" s="1"/>
    </row>
    <row r="5209" spans="7:14" x14ac:dyDescent="0.35">
      <c r="G5209" s="1"/>
      <c r="N5209" s="1"/>
    </row>
    <row r="5210" spans="7:14" x14ac:dyDescent="0.35">
      <c r="G5210" s="1"/>
      <c r="N5210" s="1"/>
    </row>
    <row r="5211" spans="7:14" x14ac:dyDescent="0.35">
      <c r="G5211" s="1"/>
      <c r="N5211" s="1"/>
    </row>
    <row r="5212" spans="7:14" x14ac:dyDescent="0.35">
      <c r="G5212" s="1"/>
      <c r="N5212" s="1"/>
    </row>
    <row r="5213" spans="7:14" x14ac:dyDescent="0.35">
      <c r="G5213" s="1"/>
      <c r="N5213" s="1"/>
    </row>
    <row r="5214" spans="7:14" x14ac:dyDescent="0.35">
      <c r="G5214" s="1"/>
      <c r="N5214" s="1"/>
    </row>
    <row r="5215" spans="7:14" x14ac:dyDescent="0.35">
      <c r="G5215" s="1"/>
      <c r="N5215" s="1"/>
    </row>
    <row r="5216" spans="7:14" x14ac:dyDescent="0.35">
      <c r="G5216" s="1"/>
      <c r="N5216" s="1"/>
    </row>
    <row r="5217" spans="7:14" x14ac:dyDescent="0.35">
      <c r="G5217" s="1"/>
      <c r="N5217" s="1"/>
    </row>
    <row r="5218" spans="7:14" x14ac:dyDescent="0.35">
      <c r="G5218" s="1"/>
      <c r="N5218" s="1"/>
    </row>
    <row r="5219" spans="7:14" x14ac:dyDescent="0.35">
      <c r="G5219" s="1"/>
      <c r="N5219" s="1"/>
    </row>
    <row r="5220" spans="7:14" x14ac:dyDescent="0.35">
      <c r="G5220" s="1"/>
      <c r="N5220" s="1"/>
    </row>
    <row r="5221" spans="7:14" x14ac:dyDescent="0.35">
      <c r="G5221" s="1"/>
      <c r="N5221" s="1"/>
    </row>
    <row r="5222" spans="7:14" x14ac:dyDescent="0.35">
      <c r="G5222" s="1"/>
      <c r="N5222" s="1"/>
    </row>
    <row r="5223" spans="7:14" x14ac:dyDescent="0.35">
      <c r="G5223" s="1"/>
      <c r="N5223" s="1"/>
    </row>
    <row r="5224" spans="7:14" x14ac:dyDescent="0.35">
      <c r="G5224" s="1"/>
      <c r="N5224" s="1"/>
    </row>
    <row r="5225" spans="7:14" x14ac:dyDescent="0.35">
      <c r="G5225" s="1"/>
      <c r="N5225" s="1"/>
    </row>
    <row r="5226" spans="7:14" x14ac:dyDescent="0.35">
      <c r="G5226" s="1"/>
      <c r="N5226" s="1"/>
    </row>
    <row r="5227" spans="7:14" x14ac:dyDescent="0.35">
      <c r="G5227" s="1"/>
      <c r="N5227" s="1"/>
    </row>
    <row r="5228" spans="7:14" x14ac:dyDescent="0.35">
      <c r="G5228" s="1"/>
      <c r="N5228" s="1"/>
    </row>
    <row r="5229" spans="7:14" x14ac:dyDescent="0.35">
      <c r="G5229" s="1"/>
      <c r="N5229" s="1"/>
    </row>
    <row r="5230" spans="7:14" x14ac:dyDescent="0.35">
      <c r="G5230" s="1"/>
      <c r="N5230" s="1"/>
    </row>
    <row r="5231" spans="7:14" x14ac:dyDescent="0.35">
      <c r="G5231" s="1"/>
      <c r="N5231" s="1"/>
    </row>
    <row r="5232" spans="7:14" x14ac:dyDescent="0.35">
      <c r="G5232" s="1"/>
      <c r="N5232" s="1"/>
    </row>
    <row r="5233" spans="7:14" x14ac:dyDescent="0.35">
      <c r="G5233" s="1"/>
      <c r="N5233" s="1"/>
    </row>
    <row r="5234" spans="7:14" x14ac:dyDescent="0.35">
      <c r="G5234" s="1"/>
      <c r="N5234" s="1"/>
    </row>
    <row r="5235" spans="7:14" x14ac:dyDescent="0.35">
      <c r="G5235" s="1"/>
      <c r="N5235" s="1"/>
    </row>
    <row r="5236" spans="7:14" x14ac:dyDescent="0.35">
      <c r="G5236" s="1"/>
      <c r="N5236" s="1"/>
    </row>
    <row r="5237" spans="7:14" x14ac:dyDescent="0.35">
      <c r="G5237" s="1"/>
      <c r="N5237" s="1"/>
    </row>
    <row r="5238" spans="7:14" x14ac:dyDescent="0.35">
      <c r="G5238" s="1"/>
      <c r="N5238" s="1"/>
    </row>
    <row r="5239" spans="7:14" x14ac:dyDescent="0.35">
      <c r="G5239" s="1"/>
      <c r="N5239" s="1"/>
    </row>
    <row r="5240" spans="7:14" x14ac:dyDescent="0.35">
      <c r="G5240" s="1"/>
      <c r="N5240" s="1"/>
    </row>
    <row r="5241" spans="7:14" x14ac:dyDescent="0.35">
      <c r="G5241" s="1"/>
      <c r="N5241" s="1"/>
    </row>
    <row r="5242" spans="7:14" x14ac:dyDescent="0.35">
      <c r="G5242" s="1"/>
      <c r="N5242" s="1"/>
    </row>
    <row r="5243" spans="7:14" x14ac:dyDescent="0.35">
      <c r="G5243" s="1"/>
      <c r="N5243" s="1"/>
    </row>
    <row r="5244" spans="7:14" x14ac:dyDescent="0.35">
      <c r="G5244" s="1"/>
      <c r="N5244" s="1"/>
    </row>
    <row r="5245" spans="7:14" x14ac:dyDescent="0.35">
      <c r="G5245" s="1"/>
      <c r="N5245" s="1"/>
    </row>
    <row r="5246" spans="7:14" x14ac:dyDescent="0.35">
      <c r="G5246" s="1"/>
      <c r="N5246" s="1"/>
    </row>
    <row r="5247" spans="7:14" x14ac:dyDescent="0.35">
      <c r="G5247" s="1"/>
      <c r="N5247" s="1"/>
    </row>
    <row r="5248" spans="7:14" x14ac:dyDescent="0.35">
      <c r="G5248" s="1"/>
      <c r="N5248" s="1"/>
    </row>
    <row r="5249" spans="7:14" x14ac:dyDescent="0.35">
      <c r="G5249" s="1"/>
      <c r="N5249" s="1"/>
    </row>
    <row r="5250" spans="7:14" x14ac:dyDescent="0.35">
      <c r="G5250" s="1"/>
      <c r="N5250" s="1"/>
    </row>
    <row r="5251" spans="7:14" x14ac:dyDescent="0.35">
      <c r="G5251" s="1"/>
      <c r="N5251" s="1"/>
    </row>
    <row r="5252" spans="7:14" x14ac:dyDescent="0.35">
      <c r="G5252" s="1"/>
      <c r="N5252" s="1"/>
    </row>
    <row r="5253" spans="7:14" x14ac:dyDescent="0.35">
      <c r="G5253" s="1"/>
      <c r="N5253" s="1"/>
    </row>
    <row r="5254" spans="7:14" x14ac:dyDescent="0.35">
      <c r="G5254" s="1"/>
      <c r="N5254" s="1"/>
    </row>
    <row r="5255" spans="7:14" x14ac:dyDescent="0.35">
      <c r="G5255" s="1"/>
      <c r="N5255" s="1"/>
    </row>
    <row r="5256" spans="7:14" x14ac:dyDescent="0.35">
      <c r="G5256" s="1"/>
      <c r="N5256" s="1"/>
    </row>
    <row r="5257" spans="7:14" x14ac:dyDescent="0.35">
      <c r="G5257" s="1"/>
      <c r="N5257" s="1"/>
    </row>
    <row r="5258" spans="7:14" x14ac:dyDescent="0.35">
      <c r="G5258" s="1"/>
      <c r="N5258" s="1"/>
    </row>
    <row r="5259" spans="7:14" x14ac:dyDescent="0.35">
      <c r="G5259" s="1"/>
      <c r="N5259" s="1"/>
    </row>
    <row r="5260" spans="7:14" x14ac:dyDescent="0.35">
      <c r="G5260" s="1"/>
      <c r="N5260" s="1"/>
    </row>
    <row r="5261" spans="7:14" x14ac:dyDescent="0.35">
      <c r="G5261" s="1"/>
      <c r="N5261" s="1"/>
    </row>
    <row r="5262" spans="7:14" x14ac:dyDescent="0.35">
      <c r="G5262" s="1"/>
      <c r="N5262" s="1"/>
    </row>
    <row r="5263" spans="7:14" x14ac:dyDescent="0.35">
      <c r="G5263" s="1"/>
      <c r="N5263" s="1"/>
    </row>
    <row r="5264" spans="7:14" x14ac:dyDescent="0.35">
      <c r="G5264" s="1"/>
      <c r="N5264" s="1"/>
    </row>
    <row r="5265" spans="7:14" x14ac:dyDescent="0.35">
      <c r="G5265" s="1"/>
      <c r="N5265" s="1"/>
    </row>
    <row r="5266" spans="7:14" x14ac:dyDescent="0.35">
      <c r="G5266" s="1"/>
      <c r="N5266" s="1"/>
    </row>
    <row r="5267" spans="7:14" x14ac:dyDescent="0.35">
      <c r="G5267" s="1"/>
      <c r="N5267" s="1"/>
    </row>
    <row r="5268" spans="7:14" x14ac:dyDescent="0.35">
      <c r="G5268" s="1"/>
      <c r="N5268" s="1"/>
    </row>
    <row r="5269" spans="7:14" x14ac:dyDescent="0.35">
      <c r="G5269" s="1"/>
      <c r="N5269" s="1"/>
    </row>
    <row r="5270" spans="7:14" x14ac:dyDescent="0.35">
      <c r="G5270" s="1"/>
      <c r="N5270" s="1"/>
    </row>
    <row r="5271" spans="7:14" x14ac:dyDescent="0.35">
      <c r="G5271" s="1"/>
      <c r="N5271" s="1"/>
    </row>
    <row r="5272" spans="7:14" x14ac:dyDescent="0.35">
      <c r="G5272" s="1"/>
      <c r="N5272" s="1"/>
    </row>
    <row r="5273" spans="7:14" x14ac:dyDescent="0.35">
      <c r="G5273" s="1"/>
      <c r="N5273" s="1"/>
    </row>
    <row r="5274" spans="7:14" x14ac:dyDescent="0.35">
      <c r="G5274" s="1"/>
      <c r="N5274" s="1"/>
    </row>
    <row r="5275" spans="7:14" x14ac:dyDescent="0.35">
      <c r="G5275" s="1"/>
      <c r="N5275" s="1"/>
    </row>
    <row r="5276" spans="7:14" x14ac:dyDescent="0.35">
      <c r="G5276" s="1"/>
      <c r="N5276" s="1"/>
    </row>
    <row r="5277" spans="7:14" x14ac:dyDescent="0.35">
      <c r="G5277" s="1"/>
      <c r="N5277" s="1"/>
    </row>
    <row r="5278" spans="7:14" x14ac:dyDescent="0.35">
      <c r="G5278" s="1"/>
      <c r="N5278" s="1"/>
    </row>
    <row r="5279" spans="7:14" x14ac:dyDescent="0.35">
      <c r="G5279" s="1"/>
      <c r="N5279" s="1"/>
    </row>
    <row r="5280" spans="7:14" x14ac:dyDescent="0.35">
      <c r="G5280" s="1"/>
      <c r="N5280" s="1"/>
    </row>
    <row r="5281" spans="7:14" x14ac:dyDescent="0.35">
      <c r="G5281" s="1"/>
      <c r="N5281" s="1"/>
    </row>
    <row r="5282" spans="7:14" x14ac:dyDescent="0.35">
      <c r="G5282" s="1"/>
      <c r="N5282" s="1"/>
    </row>
    <row r="5283" spans="7:14" x14ac:dyDescent="0.35">
      <c r="G5283" s="1"/>
      <c r="N5283" s="1"/>
    </row>
    <row r="5284" spans="7:14" x14ac:dyDescent="0.35">
      <c r="G5284" s="1"/>
      <c r="N5284" s="1"/>
    </row>
    <row r="5285" spans="7:14" x14ac:dyDescent="0.35">
      <c r="G5285" s="1"/>
      <c r="N5285" s="1"/>
    </row>
    <row r="5286" spans="7:14" x14ac:dyDescent="0.35">
      <c r="G5286" s="1"/>
      <c r="N5286" s="1"/>
    </row>
    <row r="5287" spans="7:14" x14ac:dyDescent="0.35">
      <c r="G5287" s="1"/>
      <c r="N5287" s="1"/>
    </row>
    <row r="5288" spans="7:14" x14ac:dyDescent="0.35">
      <c r="G5288" s="1"/>
      <c r="N5288" s="1"/>
    </row>
    <row r="5289" spans="7:14" x14ac:dyDescent="0.35">
      <c r="G5289" s="1"/>
      <c r="N5289" s="1"/>
    </row>
    <row r="5290" spans="7:14" x14ac:dyDescent="0.35">
      <c r="G5290" s="1"/>
      <c r="N5290" s="1"/>
    </row>
    <row r="5291" spans="7:14" x14ac:dyDescent="0.35">
      <c r="G5291" s="1"/>
      <c r="N5291" s="1"/>
    </row>
    <row r="5292" spans="7:14" x14ac:dyDescent="0.35">
      <c r="G5292" s="1"/>
      <c r="N5292" s="1"/>
    </row>
    <row r="5293" spans="7:14" x14ac:dyDescent="0.35">
      <c r="G5293" s="1"/>
      <c r="N5293" s="1"/>
    </row>
    <row r="5294" spans="7:14" x14ac:dyDescent="0.35">
      <c r="G5294" s="1"/>
      <c r="N5294" s="1"/>
    </row>
    <row r="5295" spans="7:14" x14ac:dyDescent="0.35">
      <c r="G5295" s="1"/>
      <c r="N5295" s="1"/>
    </row>
    <row r="5296" spans="7:14" x14ac:dyDescent="0.35">
      <c r="G5296" s="1"/>
      <c r="N5296" s="1"/>
    </row>
    <row r="5297" spans="7:14" x14ac:dyDescent="0.35">
      <c r="G5297" s="1"/>
      <c r="N5297" s="1"/>
    </row>
    <row r="5298" spans="7:14" x14ac:dyDescent="0.35">
      <c r="G5298" s="1"/>
      <c r="N5298" s="1"/>
    </row>
    <row r="5299" spans="7:14" x14ac:dyDescent="0.35">
      <c r="G5299" s="1"/>
      <c r="N5299" s="1"/>
    </row>
    <row r="5300" spans="7:14" x14ac:dyDescent="0.35">
      <c r="G5300" s="1"/>
      <c r="N5300" s="1"/>
    </row>
    <row r="5301" spans="7:14" x14ac:dyDescent="0.35">
      <c r="G5301" s="1"/>
      <c r="N5301" s="1"/>
    </row>
    <row r="5302" spans="7:14" x14ac:dyDescent="0.35">
      <c r="G5302" s="1"/>
      <c r="N5302" s="1"/>
    </row>
    <row r="5303" spans="7:14" x14ac:dyDescent="0.35">
      <c r="G5303" s="1"/>
      <c r="N5303" s="1"/>
    </row>
    <row r="5304" spans="7:14" x14ac:dyDescent="0.35">
      <c r="G5304" s="1"/>
      <c r="N5304" s="1"/>
    </row>
    <row r="5305" spans="7:14" x14ac:dyDescent="0.35">
      <c r="G5305" s="1"/>
      <c r="N5305" s="1"/>
    </row>
    <row r="5306" spans="7:14" x14ac:dyDescent="0.35">
      <c r="G5306" s="1"/>
      <c r="N5306" s="1"/>
    </row>
    <row r="5307" spans="7:14" x14ac:dyDescent="0.35">
      <c r="G5307" s="1"/>
      <c r="N5307" s="1"/>
    </row>
    <row r="5308" spans="7:14" x14ac:dyDescent="0.35">
      <c r="G5308" s="1"/>
      <c r="N5308" s="1"/>
    </row>
    <row r="5309" spans="7:14" x14ac:dyDescent="0.35">
      <c r="G5309" s="1"/>
      <c r="N5309" s="1"/>
    </row>
    <row r="5310" spans="7:14" x14ac:dyDescent="0.35">
      <c r="G5310" s="1"/>
      <c r="N5310" s="1"/>
    </row>
    <row r="5311" spans="7:14" x14ac:dyDescent="0.35">
      <c r="G5311" s="1"/>
      <c r="N5311" s="1"/>
    </row>
    <row r="5312" spans="7:14" x14ac:dyDescent="0.35">
      <c r="G5312" s="1"/>
      <c r="N5312" s="1"/>
    </row>
    <row r="5313" spans="7:14" x14ac:dyDescent="0.35">
      <c r="G5313" s="1"/>
      <c r="N5313" s="1"/>
    </row>
    <row r="5314" spans="7:14" x14ac:dyDescent="0.35">
      <c r="G5314" s="1"/>
      <c r="N5314" s="1"/>
    </row>
    <row r="5315" spans="7:14" x14ac:dyDescent="0.35">
      <c r="G5315" s="1"/>
      <c r="N5315" s="1"/>
    </row>
    <row r="5316" spans="7:14" x14ac:dyDescent="0.35">
      <c r="G5316" s="1"/>
      <c r="N5316" s="1"/>
    </row>
    <row r="5317" spans="7:14" x14ac:dyDescent="0.35">
      <c r="G5317" s="1"/>
      <c r="N5317" s="1"/>
    </row>
    <row r="5318" spans="7:14" x14ac:dyDescent="0.35">
      <c r="G5318" s="1"/>
      <c r="N5318" s="1"/>
    </row>
    <row r="5319" spans="7:14" x14ac:dyDescent="0.35">
      <c r="G5319" s="1"/>
      <c r="N5319" s="1"/>
    </row>
    <row r="5320" spans="7:14" x14ac:dyDescent="0.35">
      <c r="G5320" s="1"/>
      <c r="N5320" s="1"/>
    </row>
    <row r="5321" spans="7:14" x14ac:dyDescent="0.35">
      <c r="G5321" s="1"/>
      <c r="N5321" s="1"/>
    </row>
    <row r="5322" spans="7:14" x14ac:dyDescent="0.35">
      <c r="G5322" s="1"/>
      <c r="N5322" s="1"/>
    </row>
    <row r="5323" spans="7:14" x14ac:dyDescent="0.35">
      <c r="G5323" s="1"/>
      <c r="N5323" s="1"/>
    </row>
    <row r="5324" spans="7:14" x14ac:dyDescent="0.35">
      <c r="G5324" s="1"/>
      <c r="N5324" s="1"/>
    </row>
    <row r="5325" spans="7:14" x14ac:dyDescent="0.35">
      <c r="G5325" s="1"/>
      <c r="N5325" s="1"/>
    </row>
    <row r="5326" spans="7:14" x14ac:dyDescent="0.35">
      <c r="G5326" s="1"/>
      <c r="N5326" s="1"/>
    </row>
    <row r="5327" spans="7:14" x14ac:dyDescent="0.35">
      <c r="G5327" s="1"/>
      <c r="N5327" s="1"/>
    </row>
    <row r="5328" spans="7:14" x14ac:dyDescent="0.35">
      <c r="G5328" s="1"/>
      <c r="N5328" s="1"/>
    </row>
    <row r="5329" spans="7:14" x14ac:dyDescent="0.35">
      <c r="G5329" s="1"/>
      <c r="N5329" s="1"/>
    </row>
    <row r="5330" spans="7:14" x14ac:dyDescent="0.35">
      <c r="G5330" s="1"/>
      <c r="N5330" s="1"/>
    </row>
    <row r="5331" spans="7:14" x14ac:dyDescent="0.35">
      <c r="G5331" s="1"/>
      <c r="N5331" s="1"/>
    </row>
    <row r="5332" spans="7:14" x14ac:dyDescent="0.35">
      <c r="G5332" s="1"/>
      <c r="N5332" s="1"/>
    </row>
    <row r="5333" spans="7:14" x14ac:dyDescent="0.35">
      <c r="G5333" s="1"/>
      <c r="N5333" s="1"/>
    </row>
    <row r="5334" spans="7:14" x14ac:dyDescent="0.35">
      <c r="G5334" s="1"/>
      <c r="N5334" s="1"/>
    </row>
    <row r="5335" spans="7:14" x14ac:dyDescent="0.35">
      <c r="G5335" s="1"/>
      <c r="N5335" s="1"/>
    </row>
    <row r="5336" spans="7:14" x14ac:dyDescent="0.35">
      <c r="G5336" s="1"/>
      <c r="N5336" s="1"/>
    </row>
    <row r="5337" spans="7:14" x14ac:dyDescent="0.35">
      <c r="G5337" s="1"/>
      <c r="N5337" s="1"/>
    </row>
    <row r="5338" spans="7:14" x14ac:dyDescent="0.35">
      <c r="G5338" s="1"/>
      <c r="N5338" s="1"/>
    </row>
    <row r="5339" spans="7:14" x14ac:dyDescent="0.35">
      <c r="G5339" s="1"/>
      <c r="N5339" s="1"/>
    </row>
    <row r="5340" spans="7:14" x14ac:dyDescent="0.35">
      <c r="G5340" s="1"/>
      <c r="N5340" s="1"/>
    </row>
    <row r="5341" spans="7:14" x14ac:dyDescent="0.35">
      <c r="G5341" s="1"/>
      <c r="N5341" s="1"/>
    </row>
    <row r="5342" spans="7:14" x14ac:dyDescent="0.35">
      <c r="G5342" s="1"/>
      <c r="N5342" s="1"/>
    </row>
    <row r="5343" spans="7:14" x14ac:dyDescent="0.35">
      <c r="G5343" s="1"/>
      <c r="N5343" s="1"/>
    </row>
    <row r="5344" spans="7:14" x14ac:dyDescent="0.35">
      <c r="G5344" s="1"/>
      <c r="N5344" s="1"/>
    </row>
    <row r="5345" spans="7:14" x14ac:dyDescent="0.35">
      <c r="G5345" s="1"/>
      <c r="N5345" s="1"/>
    </row>
    <row r="5346" spans="7:14" x14ac:dyDescent="0.35">
      <c r="G5346" s="1"/>
      <c r="N5346" s="1"/>
    </row>
    <row r="5347" spans="7:14" x14ac:dyDescent="0.35">
      <c r="G5347" s="1"/>
      <c r="N5347" s="1"/>
    </row>
    <row r="5348" spans="7:14" x14ac:dyDescent="0.35">
      <c r="G5348" s="1"/>
      <c r="N5348" s="1"/>
    </row>
    <row r="5349" spans="7:14" x14ac:dyDescent="0.35">
      <c r="G5349" s="1"/>
      <c r="N5349" s="1"/>
    </row>
    <row r="5350" spans="7:14" x14ac:dyDescent="0.35">
      <c r="G5350" s="1"/>
      <c r="N5350" s="1"/>
    </row>
    <row r="5351" spans="7:14" x14ac:dyDescent="0.35">
      <c r="G5351" s="1"/>
      <c r="N5351" s="1"/>
    </row>
    <row r="5352" spans="7:14" x14ac:dyDescent="0.35">
      <c r="G5352" s="1"/>
      <c r="N5352" s="1"/>
    </row>
    <row r="5353" spans="7:14" x14ac:dyDescent="0.35">
      <c r="G5353" s="1"/>
      <c r="N5353" s="1"/>
    </row>
    <row r="5354" spans="7:14" x14ac:dyDescent="0.35">
      <c r="G5354" s="1"/>
      <c r="N5354" s="1"/>
    </row>
    <row r="5355" spans="7:14" x14ac:dyDescent="0.35">
      <c r="G5355" s="1"/>
      <c r="N5355" s="1"/>
    </row>
    <row r="5356" spans="7:14" x14ac:dyDescent="0.35">
      <c r="G5356" s="1"/>
      <c r="N5356" s="1"/>
    </row>
    <row r="5357" spans="7:14" x14ac:dyDescent="0.35">
      <c r="G5357" s="1"/>
      <c r="N5357" s="1"/>
    </row>
    <row r="5358" spans="7:14" x14ac:dyDescent="0.35">
      <c r="G5358" s="1"/>
      <c r="N5358" s="1"/>
    </row>
    <row r="5359" spans="7:14" x14ac:dyDescent="0.35">
      <c r="G5359" s="1"/>
      <c r="N5359" s="1"/>
    </row>
    <row r="5360" spans="7:14" x14ac:dyDescent="0.35">
      <c r="G5360" s="1"/>
      <c r="N5360" s="1"/>
    </row>
    <row r="5361" spans="7:14" x14ac:dyDescent="0.35">
      <c r="G5361" s="1"/>
      <c r="N5361" s="1"/>
    </row>
    <row r="5362" spans="7:14" x14ac:dyDescent="0.35">
      <c r="G5362" s="1"/>
      <c r="N5362" s="1"/>
    </row>
    <row r="5363" spans="7:14" x14ac:dyDescent="0.35">
      <c r="G5363" s="1"/>
      <c r="N5363" s="1"/>
    </row>
    <row r="5364" spans="7:14" x14ac:dyDescent="0.35">
      <c r="G5364" s="1"/>
      <c r="N5364" s="1"/>
    </row>
    <row r="5365" spans="7:14" x14ac:dyDescent="0.35">
      <c r="G5365" s="1"/>
      <c r="N5365" s="1"/>
    </row>
    <row r="5366" spans="7:14" x14ac:dyDescent="0.35">
      <c r="G5366" s="1"/>
      <c r="N5366" s="1"/>
    </row>
    <row r="5367" spans="7:14" x14ac:dyDescent="0.35">
      <c r="G5367" s="1"/>
      <c r="N5367" s="1"/>
    </row>
    <row r="5368" spans="7:14" x14ac:dyDescent="0.35">
      <c r="G5368" s="1"/>
      <c r="N5368" s="1"/>
    </row>
    <row r="5369" spans="7:14" x14ac:dyDescent="0.35">
      <c r="G5369" s="1"/>
      <c r="N5369" s="1"/>
    </row>
    <row r="5370" spans="7:14" x14ac:dyDescent="0.35">
      <c r="G5370" s="1"/>
      <c r="N5370" s="1"/>
    </row>
    <row r="5371" spans="7:14" x14ac:dyDescent="0.35">
      <c r="G5371" s="1"/>
      <c r="N5371" s="1"/>
    </row>
    <row r="5372" spans="7:14" x14ac:dyDescent="0.35">
      <c r="G5372" s="1"/>
      <c r="N5372" s="1"/>
    </row>
    <row r="5373" spans="7:14" x14ac:dyDescent="0.35">
      <c r="G5373" s="1"/>
      <c r="N5373" s="1"/>
    </row>
    <row r="5374" spans="7:14" x14ac:dyDescent="0.35">
      <c r="G5374" s="1"/>
      <c r="N5374" s="1"/>
    </row>
    <row r="5375" spans="7:14" x14ac:dyDescent="0.35">
      <c r="G5375" s="1"/>
      <c r="N5375" s="1"/>
    </row>
    <row r="5376" spans="7:14" x14ac:dyDescent="0.35">
      <c r="G5376" s="1"/>
      <c r="N5376" s="1"/>
    </row>
    <row r="5377" spans="7:14" x14ac:dyDescent="0.35">
      <c r="G5377" s="1"/>
      <c r="N5377" s="1"/>
    </row>
    <row r="5378" spans="7:14" x14ac:dyDescent="0.35">
      <c r="G5378" s="1"/>
      <c r="N5378" s="1"/>
    </row>
    <row r="5379" spans="7:14" x14ac:dyDescent="0.35">
      <c r="G5379" s="1"/>
      <c r="N5379" s="1"/>
    </row>
    <row r="5380" spans="7:14" x14ac:dyDescent="0.35">
      <c r="G5380" s="1"/>
      <c r="N5380" s="1"/>
    </row>
    <row r="5381" spans="7:14" x14ac:dyDescent="0.35">
      <c r="G5381" s="1"/>
      <c r="N5381" s="1"/>
    </row>
    <row r="5382" spans="7:14" x14ac:dyDescent="0.35">
      <c r="G5382" s="1"/>
      <c r="N5382" s="1"/>
    </row>
    <row r="5383" spans="7:14" x14ac:dyDescent="0.35">
      <c r="G5383" s="1"/>
      <c r="N5383" s="1"/>
    </row>
    <row r="5384" spans="7:14" x14ac:dyDescent="0.35">
      <c r="G5384" s="1"/>
      <c r="N5384" s="1"/>
    </row>
    <row r="5385" spans="7:14" x14ac:dyDescent="0.35">
      <c r="G5385" s="1"/>
      <c r="N5385" s="1"/>
    </row>
    <row r="5386" spans="7:14" x14ac:dyDescent="0.35">
      <c r="G5386" s="1"/>
      <c r="N5386" s="1"/>
    </row>
    <row r="5387" spans="7:14" x14ac:dyDescent="0.35">
      <c r="G5387" s="1"/>
      <c r="N5387" s="1"/>
    </row>
    <row r="5388" spans="7:14" x14ac:dyDescent="0.35">
      <c r="G5388" s="1"/>
      <c r="N5388" s="1"/>
    </row>
    <row r="5389" spans="7:14" x14ac:dyDescent="0.35">
      <c r="G5389" s="1"/>
      <c r="N5389" s="1"/>
    </row>
    <row r="5390" spans="7:14" x14ac:dyDescent="0.35">
      <c r="G5390" s="1"/>
      <c r="N5390" s="1"/>
    </row>
    <row r="5391" spans="7:14" x14ac:dyDescent="0.35">
      <c r="G5391" s="1"/>
      <c r="N5391" s="1"/>
    </row>
    <row r="5392" spans="7:14" x14ac:dyDescent="0.35">
      <c r="G5392" s="1"/>
      <c r="N5392" s="1"/>
    </row>
    <row r="5393" spans="7:14" x14ac:dyDescent="0.35">
      <c r="G5393" s="1"/>
      <c r="N5393" s="1"/>
    </row>
    <row r="5394" spans="7:14" x14ac:dyDescent="0.35">
      <c r="G5394" s="1"/>
      <c r="N5394" s="1"/>
    </row>
    <row r="5395" spans="7:14" x14ac:dyDescent="0.35">
      <c r="G5395" s="1"/>
      <c r="N5395" s="1"/>
    </row>
    <row r="5396" spans="7:14" x14ac:dyDescent="0.35">
      <c r="G5396" s="1"/>
      <c r="N5396" s="1"/>
    </row>
    <row r="5397" spans="7:14" x14ac:dyDescent="0.35">
      <c r="G5397" s="1"/>
      <c r="N5397" s="1"/>
    </row>
    <row r="5398" spans="7:14" x14ac:dyDescent="0.35">
      <c r="G5398" s="1"/>
      <c r="N5398" s="1"/>
    </row>
    <row r="5399" spans="7:14" x14ac:dyDescent="0.35">
      <c r="G5399" s="1"/>
      <c r="N5399" s="1"/>
    </row>
    <row r="5400" spans="7:14" x14ac:dyDescent="0.35">
      <c r="G5400" s="1"/>
      <c r="N5400" s="1"/>
    </row>
    <row r="5401" spans="7:14" x14ac:dyDescent="0.35">
      <c r="G5401" s="1"/>
      <c r="N5401" s="1"/>
    </row>
    <row r="5402" spans="7:14" x14ac:dyDescent="0.35">
      <c r="G5402" s="1"/>
      <c r="N5402" s="1"/>
    </row>
    <row r="5403" spans="7:14" x14ac:dyDescent="0.35">
      <c r="G5403" s="1"/>
      <c r="N5403" s="1"/>
    </row>
    <row r="5404" spans="7:14" x14ac:dyDescent="0.35">
      <c r="G5404" s="1"/>
      <c r="N5404" s="1"/>
    </row>
    <row r="5405" spans="7:14" x14ac:dyDescent="0.35">
      <c r="G5405" s="1"/>
      <c r="N5405" s="1"/>
    </row>
    <row r="5406" spans="7:14" x14ac:dyDescent="0.35">
      <c r="G5406" s="1"/>
      <c r="N5406" s="1"/>
    </row>
    <row r="5407" spans="7:14" x14ac:dyDescent="0.35">
      <c r="G5407" s="1"/>
      <c r="N5407" s="1"/>
    </row>
    <row r="5408" spans="7:14" x14ac:dyDescent="0.35">
      <c r="G5408" s="1"/>
      <c r="N5408" s="1"/>
    </row>
    <row r="5409" spans="7:14" x14ac:dyDescent="0.35">
      <c r="G5409" s="1"/>
      <c r="N5409" s="1"/>
    </row>
    <row r="5410" spans="7:14" x14ac:dyDescent="0.35">
      <c r="G5410" s="1"/>
      <c r="N5410" s="1"/>
    </row>
    <row r="5411" spans="7:14" x14ac:dyDescent="0.35">
      <c r="G5411" s="1"/>
      <c r="N5411" s="1"/>
    </row>
    <row r="5412" spans="7:14" x14ac:dyDescent="0.35">
      <c r="G5412" s="1"/>
      <c r="N5412" s="1"/>
    </row>
    <row r="5413" spans="7:14" x14ac:dyDescent="0.35">
      <c r="G5413" s="1"/>
      <c r="N5413" s="1"/>
    </row>
    <row r="5414" spans="7:14" x14ac:dyDescent="0.35">
      <c r="G5414" s="1"/>
      <c r="N5414" s="1"/>
    </row>
    <row r="5415" spans="7:14" x14ac:dyDescent="0.35">
      <c r="G5415" s="1"/>
      <c r="N5415" s="1"/>
    </row>
    <row r="5416" spans="7:14" x14ac:dyDescent="0.35">
      <c r="G5416" s="1"/>
      <c r="N5416" s="1"/>
    </row>
    <row r="5417" spans="7:14" x14ac:dyDescent="0.35">
      <c r="G5417" s="1"/>
      <c r="N5417" s="1"/>
    </row>
    <row r="5418" spans="7:14" x14ac:dyDescent="0.35">
      <c r="G5418" s="1"/>
      <c r="N5418" s="1"/>
    </row>
    <row r="5419" spans="7:14" x14ac:dyDescent="0.35">
      <c r="G5419" s="1"/>
      <c r="N5419" s="1"/>
    </row>
    <row r="5420" spans="7:14" x14ac:dyDescent="0.35">
      <c r="G5420" s="1"/>
      <c r="N5420" s="1"/>
    </row>
    <row r="5421" spans="7:14" x14ac:dyDescent="0.35">
      <c r="G5421" s="1"/>
      <c r="N5421" s="1"/>
    </row>
    <row r="5422" spans="7:14" x14ac:dyDescent="0.35">
      <c r="G5422" s="1"/>
      <c r="N5422" s="1"/>
    </row>
    <row r="5423" spans="7:14" x14ac:dyDescent="0.35">
      <c r="G5423" s="1"/>
      <c r="N5423" s="1"/>
    </row>
    <row r="5424" spans="7:14" x14ac:dyDescent="0.35">
      <c r="G5424" s="1"/>
      <c r="N5424" s="1"/>
    </row>
    <row r="5425" spans="7:14" x14ac:dyDescent="0.35">
      <c r="G5425" s="1"/>
      <c r="N5425" s="1"/>
    </row>
    <row r="5426" spans="7:14" x14ac:dyDescent="0.35">
      <c r="G5426" s="1"/>
      <c r="N5426" s="1"/>
    </row>
    <row r="5427" spans="7:14" x14ac:dyDescent="0.35">
      <c r="G5427" s="1"/>
      <c r="N5427" s="1"/>
    </row>
    <row r="5428" spans="7:14" x14ac:dyDescent="0.35">
      <c r="G5428" s="1"/>
      <c r="N5428" s="1"/>
    </row>
    <row r="5429" spans="7:14" x14ac:dyDescent="0.35">
      <c r="G5429" s="1"/>
      <c r="N5429" s="1"/>
    </row>
    <row r="5430" spans="7:14" x14ac:dyDescent="0.35">
      <c r="G5430" s="1"/>
      <c r="N5430" s="1"/>
    </row>
    <row r="5431" spans="7:14" x14ac:dyDescent="0.35">
      <c r="G5431" s="1"/>
      <c r="N5431" s="1"/>
    </row>
    <row r="5432" spans="7:14" x14ac:dyDescent="0.35">
      <c r="G5432" s="1"/>
      <c r="N5432" s="1"/>
    </row>
    <row r="5433" spans="7:14" x14ac:dyDescent="0.35">
      <c r="G5433" s="1"/>
      <c r="N5433" s="1"/>
    </row>
    <row r="5434" spans="7:14" x14ac:dyDescent="0.35">
      <c r="G5434" s="1"/>
      <c r="N5434" s="1"/>
    </row>
    <row r="5435" spans="7:14" x14ac:dyDescent="0.35">
      <c r="G5435" s="1"/>
      <c r="N5435" s="1"/>
    </row>
    <row r="5436" spans="7:14" x14ac:dyDescent="0.35">
      <c r="G5436" s="1"/>
      <c r="N5436" s="1"/>
    </row>
    <row r="5437" spans="7:14" x14ac:dyDescent="0.35">
      <c r="G5437" s="1"/>
      <c r="N5437" s="1"/>
    </row>
    <row r="5438" spans="7:14" x14ac:dyDescent="0.35">
      <c r="G5438" s="1"/>
      <c r="N5438" s="1"/>
    </row>
    <row r="5439" spans="7:14" x14ac:dyDescent="0.35">
      <c r="G5439" s="1"/>
      <c r="N5439" s="1"/>
    </row>
    <row r="5440" spans="7:14" x14ac:dyDescent="0.35">
      <c r="G5440" s="1"/>
      <c r="N5440" s="1"/>
    </row>
    <row r="5441" spans="7:14" x14ac:dyDescent="0.35">
      <c r="G5441" s="1"/>
      <c r="N5441" s="1"/>
    </row>
    <row r="5442" spans="7:14" x14ac:dyDescent="0.35">
      <c r="G5442" s="1"/>
      <c r="N5442" s="1"/>
    </row>
    <row r="5443" spans="7:14" x14ac:dyDescent="0.35">
      <c r="G5443" s="1"/>
      <c r="N5443" s="1"/>
    </row>
    <row r="5444" spans="7:14" x14ac:dyDescent="0.35">
      <c r="G5444" s="1"/>
      <c r="N5444" s="1"/>
    </row>
    <row r="5445" spans="7:14" x14ac:dyDescent="0.35">
      <c r="G5445" s="1"/>
      <c r="N5445" s="1"/>
    </row>
    <row r="5446" spans="7:14" x14ac:dyDescent="0.35">
      <c r="G5446" s="1"/>
      <c r="N5446" s="1"/>
    </row>
    <row r="5447" spans="7:14" x14ac:dyDescent="0.35">
      <c r="G5447" s="1"/>
      <c r="N5447" s="1"/>
    </row>
    <row r="5448" spans="7:14" x14ac:dyDescent="0.35">
      <c r="G5448" s="1"/>
      <c r="N5448" s="1"/>
    </row>
    <row r="5449" spans="7:14" x14ac:dyDescent="0.35">
      <c r="G5449" s="1"/>
      <c r="N5449" s="1"/>
    </row>
    <row r="5450" spans="7:14" x14ac:dyDescent="0.35">
      <c r="G5450" s="1"/>
      <c r="N5450" s="1"/>
    </row>
    <row r="5451" spans="7:14" x14ac:dyDescent="0.35">
      <c r="G5451" s="1"/>
      <c r="N5451" s="1"/>
    </row>
    <row r="5452" spans="7:14" x14ac:dyDescent="0.35">
      <c r="G5452" s="1"/>
      <c r="N5452" s="1"/>
    </row>
    <row r="5453" spans="7:14" x14ac:dyDescent="0.35">
      <c r="G5453" s="1"/>
      <c r="N5453" s="1"/>
    </row>
    <row r="5454" spans="7:14" x14ac:dyDescent="0.35">
      <c r="G5454" s="1"/>
      <c r="N5454" s="1"/>
    </row>
    <row r="5455" spans="7:14" x14ac:dyDescent="0.35">
      <c r="G5455" s="1"/>
      <c r="N5455" s="1"/>
    </row>
    <row r="5456" spans="7:14" x14ac:dyDescent="0.35">
      <c r="G5456" s="1"/>
      <c r="N5456" s="1"/>
    </row>
    <row r="5457" spans="7:14" x14ac:dyDescent="0.35">
      <c r="G5457" s="1"/>
      <c r="N5457" s="1"/>
    </row>
    <row r="5458" spans="7:14" x14ac:dyDescent="0.35">
      <c r="G5458" s="1"/>
      <c r="N5458" s="1"/>
    </row>
    <row r="5459" spans="7:14" x14ac:dyDescent="0.35">
      <c r="G5459" s="1"/>
      <c r="N5459" s="1"/>
    </row>
    <row r="5460" spans="7:14" x14ac:dyDescent="0.35">
      <c r="G5460" s="1"/>
      <c r="N5460" s="1"/>
    </row>
    <row r="5461" spans="7:14" x14ac:dyDescent="0.35">
      <c r="G5461" s="1"/>
      <c r="N5461" s="1"/>
    </row>
    <row r="5462" spans="7:14" x14ac:dyDescent="0.35">
      <c r="G5462" s="1"/>
      <c r="N5462" s="1"/>
    </row>
    <row r="5463" spans="7:14" x14ac:dyDescent="0.35">
      <c r="G5463" s="1"/>
      <c r="N5463" s="1"/>
    </row>
    <row r="5464" spans="7:14" x14ac:dyDescent="0.35">
      <c r="G5464" s="1"/>
      <c r="N5464" s="1"/>
    </row>
    <row r="5465" spans="7:14" x14ac:dyDescent="0.35">
      <c r="G5465" s="1"/>
      <c r="N5465" s="1"/>
    </row>
    <row r="5466" spans="7:14" x14ac:dyDescent="0.35">
      <c r="G5466" s="1"/>
      <c r="N5466" s="1"/>
    </row>
    <row r="5467" spans="7:14" x14ac:dyDescent="0.35">
      <c r="G5467" s="1"/>
      <c r="N5467" s="1"/>
    </row>
    <row r="5468" spans="7:14" x14ac:dyDescent="0.35">
      <c r="G5468" s="1"/>
      <c r="N5468" s="1"/>
    </row>
    <row r="5469" spans="7:14" x14ac:dyDescent="0.35">
      <c r="G5469" s="1"/>
      <c r="N5469" s="1"/>
    </row>
    <row r="5470" spans="7:14" x14ac:dyDescent="0.35">
      <c r="G5470" s="1"/>
      <c r="N5470" s="1"/>
    </row>
    <row r="5471" spans="7:14" x14ac:dyDescent="0.35">
      <c r="G5471" s="1"/>
      <c r="N5471" s="1"/>
    </row>
    <row r="5472" spans="7:14" x14ac:dyDescent="0.35">
      <c r="G5472" s="1"/>
      <c r="N5472" s="1"/>
    </row>
    <row r="5473" spans="7:14" x14ac:dyDescent="0.35">
      <c r="G5473" s="1"/>
      <c r="N5473" s="1"/>
    </row>
    <row r="5474" spans="7:14" x14ac:dyDescent="0.35">
      <c r="G5474" s="1"/>
      <c r="N5474" s="1"/>
    </row>
    <row r="5475" spans="7:14" x14ac:dyDescent="0.35">
      <c r="G5475" s="1"/>
      <c r="N5475" s="1"/>
    </row>
    <row r="5476" spans="7:14" x14ac:dyDescent="0.35">
      <c r="G5476" s="1"/>
      <c r="N5476" s="1"/>
    </row>
    <row r="5477" spans="7:14" x14ac:dyDescent="0.35">
      <c r="G5477" s="1"/>
      <c r="N5477" s="1"/>
    </row>
    <row r="5478" spans="7:14" x14ac:dyDescent="0.35">
      <c r="G5478" s="1"/>
      <c r="N5478" s="1"/>
    </row>
    <row r="5479" spans="7:14" x14ac:dyDescent="0.35">
      <c r="G5479" s="1"/>
      <c r="N5479" s="1"/>
    </row>
    <row r="5480" spans="7:14" x14ac:dyDescent="0.35">
      <c r="G5480" s="1"/>
      <c r="N5480" s="1"/>
    </row>
    <row r="5481" spans="7:14" x14ac:dyDescent="0.35">
      <c r="G5481" s="1"/>
      <c r="N5481" s="1"/>
    </row>
    <row r="5482" spans="7:14" x14ac:dyDescent="0.35">
      <c r="G5482" s="1"/>
      <c r="N5482" s="1"/>
    </row>
    <row r="5483" spans="7:14" x14ac:dyDescent="0.35">
      <c r="G5483" s="1"/>
      <c r="N5483" s="1"/>
    </row>
    <row r="5484" spans="7:14" x14ac:dyDescent="0.35">
      <c r="G5484" s="1"/>
      <c r="N5484" s="1"/>
    </row>
    <row r="5485" spans="7:14" x14ac:dyDescent="0.35">
      <c r="G5485" s="1"/>
      <c r="N5485" s="1"/>
    </row>
    <row r="5486" spans="7:14" x14ac:dyDescent="0.35">
      <c r="G5486" s="1"/>
      <c r="N5486" s="1"/>
    </row>
    <row r="5487" spans="7:14" x14ac:dyDescent="0.35">
      <c r="G5487" s="1"/>
      <c r="N5487" s="1"/>
    </row>
    <row r="5488" spans="7:14" x14ac:dyDescent="0.35">
      <c r="G5488" s="1"/>
      <c r="N5488" s="1"/>
    </row>
    <row r="5489" spans="7:14" x14ac:dyDescent="0.35">
      <c r="G5489" s="1"/>
      <c r="N5489" s="1"/>
    </row>
    <row r="5490" spans="7:14" x14ac:dyDescent="0.35">
      <c r="G5490" s="1"/>
      <c r="N5490" s="1"/>
    </row>
    <row r="5491" spans="7:14" x14ac:dyDescent="0.35">
      <c r="G5491" s="1"/>
      <c r="N5491" s="1"/>
    </row>
    <row r="5492" spans="7:14" x14ac:dyDescent="0.35">
      <c r="G5492" s="1"/>
      <c r="N5492" s="1"/>
    </row>
    <row r="5493" spans="7:14" x14ac:dyDescent="0.35">
      <c r="G5493" s="1"/>
      <c r="N5493" s="1"/>
    </row>
    <row r="5494" spans="7:14" x14ac:dyDescent="0.35">
      <c r="G5494" s="1"/>
      <c r="N5494" s="1"/>
    </row>
    <row r="5495" spans="7:14" x14ac:dyDescent="0.35">
      <c r="G5495" s="1"/>
      <c r="N5495" s="1"/>
    </row>
    <row r="5496" spans="7:14" x14ac:dyDescent="0.35">
      <c r="G5496" s="1"/>
      <c r="N5496" s="1"/>
    </row>
    <row r="5497" spans="7:14" x14ac:dyDescent="0.35">
      <c r="G5497" s="1"/>
      <c r="N5497" s="1"/>
    </row>
    <row r="5498" spans="7:14" x14ac:dyDescent="0.35">
      <c r="G5498" s="1"/>
      <c r="N5498" s="1"/>
    </row>
    <row r="5499" spans="7:14" x14ac:dyDescent="0.35">
      <c r="G5499" s="1"/>
      <c r="N5499" s="1"/>
    </row>
    <row r="5500" spans="7:14" x14ac:dyDescent="0.35">
      <c r="G5500" s="1"/>
      <c r="N5500" s="1"/>
    </row>
    <row r="5501" spans="7:14" x14ac:dyDescent="0.35">
      <c r="G5501" s="1"/>
      <c r="N5501" s="1"/>
    </row>
    <row r="5502" spans="7:14" x14ac:dyDescent="0.35">
      <c r="G5502" s="1"/>
      <c r="N5502" s="1"/>
    </row>
    <row r="5503" spans="7:14" x14ac:dyDescent="0.35">
      <c r="G5503" s="1"/>
      <c r="N5503" s="1"/>
    </row>
    <row r="5504" spans="7:14" x14ac:dyDescent="0.35">
      <c r="G5504" s="1"/>
      <c r="N5504" s="1"/>
    </row>
    <row r="5505" spans="7:14" x14ac:dyDescent="0.35">
      <c r="G5505" s="1"/>
      <c r="N5505" s="1"/>
    </row>
    <row r="5506" spans="7:14" x14ac:dyDescent="0.35">
      <c r="G5506" s="1"/>
      <c r="N5506" s="1"/>
    </row>
    <row r="5507" spans="7:14" x14ac:dyDescent="0.35">
      <c r="G5507" s="1"/>
      <c r="N5507" s="1"/>
    </row>
    <row r="5508" spans="7:14" x14ac:dyDescent="0.35">
      <c r="G5508" s="1"/>
      <c r="N5508" s="1"/>
    </row>
    <row r="5509" spans="7:14" x14ac:dyDescent="0.35">
      <c r="G5509" s="1"/>
      <c r="N5509" s="1"/>
    </row>
    <row r="5510" spans="7:14" x14ac:dyDescent="0.35">
      <c r="G5510" s="1"/>
      <c r="N5510" s="1"/>
    </row>
    <row r="5511" spans="7:14" x14ac:dyDescent="0.35">
      <c r="G5511" s="1"/>
      <c r="N5511" s="1"/>
    </row>
    <row r="5512" spans="7:14" x14ac:dyDescent="0.35">
      <c r="G5512" s="1"/>
      <c r="N5512" s="1"/>
    </row>
    <row r="5513" spans="7:14" x14ac:dyDescent="0.35">
      <c r="G5513" s="1"/>
      <c r="N5513" s="1"/>
    </row>
    <row r="5514" spans="7:14" x14ac:dyDescent="0.35">
      <c r="G5514" s="1"/>
      <c r="N5514" s="1"/>
    </row>
    <row r="5515" spans="7:14" x14ac:dyDescent="0.35">
      <c r="G5515" s="1"/>
      <c r="N5515" s="1"/>
    </row>
    <row r="5516" spans="7:14" x14ac:dyDescent="0.35">
      <c r="G5516" s="1"/>
      <c r="N5516" s="1"/>
    </row>
    <row r="5517" spans="7:14" x14ac:dyDescent="0.35">
      <c r="G5517" s="1"/>
      <c r="N5517" s="1"/>
    </row>
    <row r="5518" spans="7:14" x14ac:dyDescent="0.35">
      <c r="G5518" s="1"/>
      <c r="N5518" s="1"/>
    </row>
    <row r="5519" spans="7:14" x14ac:dyDescent="0.35">
      <c r="G5519" s="1"/>
      <c r="N5519" s="1"/>
    </row>
    <row r="5520" spans="7:14" x14ac:dyDescent="0.35">
      <c r="G5520" s="1"/>
      <c r="N5520" s="1"/>
    </row>
    <row r="5521" spans="7:14" x14ac:dyDescent="0.35">
      <c r="G5521" s="1"/>
      <c r="N5521" s="1"/>
    </row>
    <row r="5522" spans="7:14" x14ac:dyDescent="0.35">
      <c r="G5522" s="1"/>
      <c r="N5522" s="1"/>
    </row>
    <row r="5523" spans="7:14" x14ac:dyDescent="0.35">
      <c r="G5523" s="1"/>
      <c r="N5523" s="1"/>
    </row>
    <row r="5524" spans="7:14" x14ac:dyDescent="0.35">
      <c r="G5524" s="1"/>
      <c r="N5524" s="1"/>
    </row>
    <row r="5525" spans="7:14" x14ac:dyDescent="0.35">
      <c r="G5525" s="1"/>
      <c r="N5525" s="1"/>
    </row>
    <row r="5526" spans="7:14" x14ac:dyDescent="0.35">
      <c r="G5526" s="1"/>
      <c r="N5526" s="1"/>
    </row>
    <row r="5527" spans="7:14" x14ac:dyDescent="0.35">
      <c r="G5527" s="1"/>
      <c r="N5527" s="1"/>
    </row>
    <row r="5528" spans="7:14" x14ac:dyDescent="0.35">
      <c r="G5528" s="1"/>
      <c r="N5528" s="1"/>
    </row>
    <row r="5529" spans="7:14" x14ac:dyDescent="0.35">
      <c r="G5529" s="1"/>
      <c r="N5529" s="1"/>
    </row>
    <row r="5530" spans="7:14" x14ac:dyDescent="0.35">
      <c r="G5530" s="1"/>
      <c r="N5530" s="1"/>
    </row>
    <row r="5531" spans="7:14" x14ac:dyDescent="0.35">
      <c r="G5531" s="1"/>
      <c r="N5531" s="1"/>
    </row>
    <row r="5532" spans="7:14" x14ac:dyDescent="0.35">
      <c r="G5532" s="1"/>
      <c r="N5532" s="1"/>
    </row>
    <row r="5533" spans="7:14" x14ac:dyDescent="0.35">
      <c r="G5533" s="1"/>
      <c r="N5533" s="1"/>
    </row>
    <row r="5534" spans="7:14" x14ac:dyDescent="0.35">
      <c r="G5534" s="1"/>
      <c r="N5534" s="1"/>
    </row>
    <row r="5535" spans="7:14" x14ac:dyDescent="0.35">
      <c r="G5535" s="1"/>
      <c r="N5535" s="1"/>
    </row>
    <row r="5536" spans="7:14" x14ac:dyDescent="0.35">
      <c r="G5536" s="1"/>
      <c r="N5536" s="1"/>
    </row>
    <row r="5537" spans="7:14" x14ac:dyDescent="0.35">
      <c r="G5537" s="1"/>
      <c r="N5537" s="1"/>
    </row>
    <row r="5538" spans="7:14" x14ac:dyDescent="0.35">
      <c r="G5538" s="1"/>
      <c r="N5538" s="1"/>
    </row>
    <row r="5539" spans="7:14" x14ac:dyDescent="0.35">
      <c r="G5539" s="1"/>
      <c r="N5539" s="1"/>
    </row>
    <row r="5540" spans="7:14" x14ac:dyDescent="0.35">
      <c r="G5540" s="1"/>
      <c r="N5540" s="1"/>
    </row>
    <row r="5541" spans="7:14" x14ac:dyDescent="0.35">
      <c r="G5541" s="1"/>
      <c r="N5541" s="1"/>
    </row>
    <row r="5542" spans="7:14" x14ac:dyDescent="0.35">
      <c r="G5542" s="1"/>
      <c r="N5542" s="1"/>
    </row>
    <row r="5543" spans="7:14" x14ac:dyDescent="0.35">
      <c r="G5543" s="1"/>
      <c r="N5543" s="1"/>
    </row>
    <row r="5544" spans="7:14" x14ac:dyDescent="0.35">
      <c r="G5544" s="1"/>
      <c r="N5544" s="1"/>
    </row>
    <row r="5545" spans="7:14" x14ac:dyDescent="0.35">
      <c r="G5545" s="1"/>
      <c r="N5545" s="1"/>
    </row>
    <row r="5546" spans="7:14" x14ac:dyDescent="0.35">
      <c r="G5546" s="1"/>
      <c r="N5546" s="1"/>
    </row>
    <row r="5547" spans="7:14" x14ac:dyDescent="0.35">
      <c r="G5547" s="1"/>
      <c r="N5547" s="1"/>
    </row>
    <row r="5548" spans="7:14" x14ac:dyDescent="0.35">
      <c r="G5548" s="1"/>
      <c r="N5548" s="1"/>
    </row>
    <row r="5549" spans="7:14" x14ac:dyDescent="0.35">
      <c r="G5549" s="1"/>
      <c r="N5549" s="1"/>
    </row>
    <row r="5550" spans="7:14" x14ac:dyDescent="0.35">
      <c r="G5550" s="1"/>
      <c r="N5550" s="1"/>
    </row>
    <row r="5551" spans="7:14" x14ac:dyDescent="0.35">
      <c r="G5551" s="1"/>
      <c r="N5551" s="1"/>
    </row>
    <row r="5552" spans="7:14" x14ac:dyDescent="0.35">
      <c r="G5552" s="1"/>
      <c r="N5552" s="1"/>
    </row>
    <row r="5553" spans="7:14" x14ac:dyDescent="0.35">
      <c r="G5553" s="1"/>
      <c r="N5553" s="1"/>
    </row>
    <row r="5554" spans="7:14" x14ac:dyDescent="0.35">
      <c r="G5554" s="1"/>
      <c r="N5554" s="1"/>
    </row>
    <row r="5555" spans="7:14" x14ac:dyDescent="0.35">
      <c r="G5555" s="1"/>
      <c r="N5555" s="1"/>
    </row>
    <row r="5556" spans="7:14" x14ac:dyDescent="0.35">
      <c r="G5556" s="1"/>
      <c r="N5556" s="1"/>
    </row>
    <row r="5557" spans="7:14" x14ac:dyDescent="0.35">
      <c r="G5557" s="1"/>
      <c r="N5557" s="1"/>
    </row>
    <row r="5558" spans="7:14" x14ac:dyDescent="0.35">
      <c r="G5558" s="1"/>
      <c r="N5558" s="1"/>
    </row>
    <row r="5559" spans="7:14" x14ac:dyDescent="0.35">
      <c r="G5559" s="1"/>
      <c r="N5559" s="1"/>
    </row>
    <row r="5560" spans="7:14" x14ac:dyDescent="0.35">
      <c r="G5560" s="1"/>
      <c r="N5560" s="1"/>
    </row>
    <row r="5561" spans="7:14" x14ac:dyDescent="0.35">
      <c r="G5561" s="1"/>
      <c r="N5561" s="1"/>
    </row>
    <row r="5562" spans="7:14" x14ac:dyDescent="0.35">
      <c r="G5562" s="1"/>
      <c r="N5562" s="1"/>
    </row>
    <row r="5563" spans="7:14" x14ac:dyDescent="0.35">
      <c r="G5563" s="1"/>
      <c r="N5563" s="1"/>
    </row>
    <row r="5564" spans="7:14" x14ac:dyDescent="0.35">
      <c r="G5564" s="1"/>
      <c r="N5564" s="1"/>
    </row>
    <row r="5565" spans="7:14" x14ac:dyDescent="0.35">
      <c r="G5565" s="1"/>
      <c r="N5565" s="1"/>
    </row>
    <row r="5566" spans="7:14" x14ac:dyDescent="0.35">
      <c r="G5566" s="1"/>
      <c r="N5566" s="1"/>
    </row>
    <row r="5567" spans="7:14" x14ac:dyDescent="0.35">
      <c r="G5567" s="1"/>
      <c r="N5567" s="1"/>
    </row>
    <row r="5568" spans="7:14" x14ac:dyDescent="0.35">
      <c r="G5568" s="1"/>
      <c r="N5568" s="1"/>
    </row>
    <row r="5569" spans="7:14" x14ac:dyDescent="0.35">
      <c r="G5569" s="1"/>
      <c r="N5569" s="1"/>
    </row>
    <row r="5570" spans="7:14" x14ac:dyDescent="0.35">
      <c r="G5570" s="1"/>
      <c r="N5570" s="1"/>
    </row>
    <row r="5571" spans="7:14" x14ac:dyDescent="0.35">
      <c r="G5571" s="1"/>
      <c r="N5571" s="1"/>
    </row>
    <row r="5572" spans="7:14" x14ac:dyDescent="0.35">
      <c r="G5572" s="1"/>
      <c r="N5572" s="1"/>
    </row>
    <row r="5573" spans="7:14" x14ac:dyDescent="0.35">
      <c r="G5573" s="1"/>
      <c r="N5573" s="1"/>
    </row>
    <row r="5574" spans="7:14" x14ac:dyDescent="0.35">
      <c r="G5574" s="1"/>
      <c r="N5574" s="1"/>
    </row>
    <row r="5575" spans="7:14" x14ac:dyDescent="0.35">
      <c r="G5575" s="1"/>
      <c r="N5575" s="1"/>
    </row>
    <row r="5576" spans="7:14" x14ac:dyDescent="0.35">
      <c r="G5576" s="1"/>
      <c r="N5576" s="1"/>
    </row>
    <row r="5577" spans="7:14" x14ac:dyDescent="0.35">
      <c r="G5577" s="1"/>
      <c r="N5577" s="1"/>
    </row>
    <row r="5578" spans="7:14" x14ac:dyDescent="0.35">
      <c r="G5578" s="1"/>
      <c r="N5578" s="1"/>
    </row>
    <row r="5579" spans="7:14" x14ac:dyDescent="0.35">
      <c r="G5579" s="1"/>
      <c r="N5579" s="1"/>
    </row>
    <row r="5580" spans="7:14" x14ac:dyDescent="0.35">
      <c r="G5580" s="1"/>
      <c r="N5580" s="1"/>
    </row>
    <row r="5581" spans="7:14" x14ac:dyDescent="0.35">
      <c r="G5581" s="1"/>
      <c r="N5581" s="1"/>
    </row>
    <row r="5582" spans="7:14" x14ac:dyDescent="0.35">
      <c r="G5582" s="1"/>
      <c r="N5582" s="1"/>
    </row>
    <row r="5583" spans="7:14" x14ac:dyDescent="0.35">
      <c r="G5583" s="1"/>
      <c r="N5583" s="1"/>
    </row>
    <row r="5584" spans="7:14" x14ac:dyDescent="0.35">
      <c r="G5584" s="1"/>
      <c r="N5584" s="1"/>
    </row>
    <row r="5585" spans="7:14" x14ac:dyDescent="0.35">
      <c r="G5585" s="1"/>
      <c r="N5585" s="1"/>
    </row>
    <row r="5586" spans="7:14" x14ac:dyDescent="0.35">
      <c r="G5586" s="1"/>
      <c r="N5586" s="1"/>
    </row>
    <row r="5587" spans="7:14" x14ac:dyDescent="0.35">
      <c r="G5587" s="1"/>
      <c r="N5587" s="1"/>
    </row>
    <row r="5588" spans="7:14" x14ac:dyDescent="0.35">
      <c r="G5588" s="1"/>
      <c r="N5588" s="1"/>
    </row>
    <row r="5589" spans="7:14" x14ac:dyDescent="0.35">
      <c r="G5589" s="1"/>
      <c r="N5589" s="1"/>
    </row>
    <row r="5590" spans="7:14" x14ac:dyDescent="0.35">
      <c r="G5590" s="1"/>
      <c r="N5590" s="1"/>
    </row>
    <row r="5591" spans="7:14" x14ac:dyDescent="0.35">
      <c r="G5591" s="1"/>
      <c r="N5591" s="1"/>
    </row>
    <row r="5592" spans="7:14" x14ac:dyDescent="0.35">
      <c r="G5592" s="1"/>
      <c r="N5592" s="1"/>
    </row>
    <row r="5593" spans="7:14" x14ac:dyDescent="0.35">
      <c r="G5593" s="1"/>
      <c r="N5593" s="1"/>
    </row>
    <row r="5594" spans="7:14" x14ac:dyDescent="0.35">
      <c r="G5594" s="1"/>
      <c r="N5594" s="1"/>
    </row>
    <row r="5595" spans="7:14" x14ac:dyDescent="0.35">
      <c r="G5595" s="1"/>
      <c r="N5595" s="1"/>
    </row>
    <row r="5596" spans="7:14" x14ac:dyDescent="0.35">
      <c r="G5596" s="1"/>
      <c r="N5596" s="1"/>
    </row>
    <row r="5597" spans="7:14" x14ac:dyDescent="0.35">
      <c r="G5597" s="1"/>
      <c r="N5597" s="1"/>
    </row>
    <row r="5598" spans="7:14" x14ac:dyDescent="0.35">
      <c r="G5598" s="1"/>
      <c r="N5598" s="1"/>
    </row>
    <row r="5599" spans="7:14" x14ac:dyDescent="0.35">
      <c r="G5599" s="1"/>
      <c r="N5599" s="1"/>
    </row>
    <row r="5600" spans="7:14" x14ac:dyDescent="0.35">
      <c r="G5600" s="1"/>
      <c r="N5600" s="1"/>
    </row>
    <row r="5601" spans="7:14" x14ac:dyDescent="0.35">
      <c r="G5601" s="1"/>
      <c r="N5601" s="1"/>
    </row>
    <row r="5602" spans="7:14" x14ac:dyDescent="0.35">
      <c r="G5602" s="1"/>
      <c r="N5602" s="1"/>
    </row>
    <row r="5603" spans="7:14" x14ac:dyDescent="0.35">
      <c r="G5603" s="1"/>
      <c r="N5603" s="1"/>
    </row>
    <row r="5604" spans="7:14" x14ac:dyDescent="0.35">
      <c r="G5604" s="1"/>
      <c r="N5604" s="1"/>
    </row>
    <row r="5605" spans="7:14" x14ac:dyDescent="0.35">
      <c r="G5605" s="1"/>
      <c r="N5605" s="1"/>
    </row>
    <row r="5606" spans="7:14" x14ac:dyDescent="0.35">
      <c r="G5606" s="1"/>
      <c r="N5606" s="1"/>
    </row>
    <row r="5607" spans="7:14" x14ac:dyDescent="0.35">
      <c r="G5607" s="1"/>
      <c r="N5607" s="1"/>
    </row>
    <row r="5608" spans="7:14" x14ac:dyDescent="0.35">
      <c r="G5608" s="1"/>
      <c r="N5608" s="1"/>
    </row>
    <row r="5609" spans="7:14" x14ac:dyDescent="0.35">
      <c r="G5609" s="1"/>
      <c r="N5609" s="1"/>
    </row>
    <row r="5610" spans="7:14" x14ac:dyDescent="0.35">
      <c r="G5610" s="1"/>
      <c r="N5610" s="1"/>
    </row>
    <row r="5611" spans="7:14" x14ac:dyDescent="0.35">
      <c r="G5611" s="1"/>
      <c r="N5611" s="1"/>
    </row>
    <row r="5612" spans="7:14" x14ac:dyDescent="0.35">
      <c r="G5612" s="1"/>
      <c r="N5612" s="1"/>
    </row>
    <row r="5613" spans="7:14" x14ac:dyDescent="0.35">
      <c r="G5613" s="1"/>
      <c r="N5613" s="1"/>
    </row>
    <row r="5614" spans="7:14" x14ac:dyDescent="0.35">
      <c r="G5614" s="1"/>
      <c r="N5614" s="1"/>
    </row>
    <row r="5615" spans="7:14" x14ac:dyDescent="0.35">
      <c r="G5615" s="1"/>
      <c r="N5615" s="1"/>
    </row>
    <row r="5616" spans="7:14" x14ac:dyDescent="0.35">
      <c r="G5616" s="1"/>
      <c r="N5616" s="1"/>
    </row>
    <row r="5617" spans="7:14" x14ac:dyDescent="0.35">
      <c r="G5617" s="1"/>
      <c r="N5617" s="1"/>
    </row>
    <row r="5618" spans="7:14" x14ac:dyDescent="0.35">
      <c r="G5618" s="1"/>
      <c r="N5618" s="1"/>
    </row>
    <row r="5619" spans="7:14" x14ac:dyDescent="0.35">
      <c r="G5619" s="1"/>
      <c r="N5619" s="1"/>
    </row>
    <row r="5620" spans="7:14" x14ac:dyDescent="0.35">
      <c r="G5620" s="1"/>
      <c r="N5620" s="1"/>
    </row>
    <row r="5621" spans="7:14" x14ac:dyDescent="0.35">
      <c r="G5621" s="1"/>
      <c r="N5621" s="1"/>
    </row>
    <row r="5622" spans="7:14" x14ac:dyDescent="0.35">
      <c r="G5622" s="1"/>
      <c r="N5622" s="1"/>
    </row>
    <row r="5623" spans="7:14" x14ac:dyDescent="0.35">
      <c r="G5623" s="1"/>
      <c r="N5623" s="1"/>
    </row>
    <row r="5624" spans="7:14" x14ac:dyDescent="0.35">
      <c r="G5624" s="1"/>
      <c r="N5624" s="1"/>
    </row>
    <row r="5625" spans="7:14" x14ac:dyDescent="0.35">
      <c r="G5625" s="1"/>
      <c r="N5625" s="1"/>
    </row>
    <row r="5626" spans="7:14" x14ac:dyDescent="0.35">
      <c r="G5626" s="1"/>
      <c r="N5626" s="1"/>
    </row>
    <row r="5627" spans="7:14" x14ac:dyDescent="0.35">
      <c r="G5627" s="1"/>
      <c r="N5627" s="1"/>
    </row>
    <row r="5628" spans="7:14" x14ac:dyDescent="0.35">
      <c r="G5628" s="1"/>
      <c r="N5628" s="1"/>
    </row>
    <row r="5629" spans="7:14" x14ac:dyDescent="0.35">
      <c r="G5629" s="1"/>
      <c r="N5629" s="1"/>
    </row>
    <row r="5630" spans="7:14" x14ac:dyDescent="0.35">
      <c r="G5630" s="1"/>
      <c r="N5630" s="1"/>
    </row>
    <row r="5631" spans="7:14" x14ac:dyDescent="0.35">
      <c r="G5631" s="1"/>
      <c r="N5631" s="1"/>
    </row>
    <row r="5632" spans="7:14" x14ac:dyDescent="0.35">
      <c r="G5632" s="1"/>
      <c r="N5632" s="1"/>
    </row>
    <row r="5633" spans="7:14" x14ac:dyDescent="0.35">
      <c r="G5633" s="1"/>
      <c r="N5633" s="1"/>
    </row>
    <row r="5634" spans="7:14" x14ac:dyDescent="0.35">
      <c r="G5634" s="1"/>
      <c r="N5634" s="1"/>
    </row>
    <row r="5635" spans="7:14" x14ac:dyDescent="0.35">
      <c r="G5635" s="1"/>
      <c r="N5635" s="1"/>
    </row>
    <row r="5636" spans="7:14" x14ac:dyDescent="0.35">
      <c r="G5636" s="1"/>
      <c r="N5636" s="1"/>
    </row>
    <row r="5637" spans="7:14" x14ac:dyDescent="0.35">
      <c r="G5637" s="1"/>
      <c r="N5637" s="1"/>
    </row>
    <row r="5638" spans="7:14" x14ac:dyDescent="0.35">
      <c r="G5638" s="1"/>
      <c r="N5638" s="1"/>
    </row>
    <row r="5639" spans="7:14" x14ac:dyDescent="0.35">
      <c r="G5639" s="1"/>
      <c r="N5639" s="1"/>
    </row>
    <row r="5640" spans="7:14" x14ac:dyDescent="0.35">
      <c r="G5640" s="1"/>
      <c r="N5640" s="1"/>
    </row>
    <row r="5641" spans="7:14" x14ac:dyDescent="0.35">
      <c r="G5641" s="1"/>
      <c r="N5641" s="1"/>
    </row>
    <row r="5642" spans="7:14" x14ac:dyDescent="0.35">
      <c r="G5642" s="1"/>
      <c r="N5642" s="1"/>
    </row>
    <row r="5643" spans="7:14" x14ac:dyDescent="0.35">
      <c r="G5643" s="1"/>
      <c r="N5643" s="1"/>
    </row>
    <row r="5644" spans="7:14" x14ac:dyDescent="0.35">
      <c r="G5644" s="1"/>
      <c r="N5644" s="1"/>
    </row>
    <row r="5645" spans="7:14" x14ac:dyDescent="0.35">
      <c r="G5645" s="1"/>
      <c r="N5645" s="1"/>
    </row>
    <row r="5646" spans="7:14" x14ac:dyDescent="0.35">
      <c r="G5646" s="1"/>
      <c r="N5646" s="1"/>
    </row>
    <row r="5647" spans="7:14" x14ac:dyDescent="0.35">
      <c r="G5647" s="1"/>
      <c r="N5647" s="1"/>
    </row>
    <row r="5648" spans="7:14" x14ac:dyDescent="0.35">
      <c r="G5648" s="1"/>
      <c r="N5648" s="1"/>
    </row>
    <row r="5649" spans="7:14" x14ac:dyDescent="0.35">
      <c r="G5649" s="1"/>
      <c r="N5649" s="1"/>
    </row>
    <row r="5650" spans="7:14" x14ac:dyDescent="0.35">
      <c r="G5650" s="1"/>
      <c r="N5650" s="1"/>
    </row>
    <row r="5651" spans="7:14" x14ac:dyDescent="0.35">
      <c r="G5651" s="1"/>
      <c r="N5651" s="1"/>
    </row>
    <row r="5652" spans="7:14" x14ac:dyDescent="0.35">
      <c r="G5652" s="1"/>
      <c r="N5652" s="1"/>
    </row>
    <row r="5653" spans="7:14" x14ac:dyDescent="0.35">
      <c r="G5653" s="1"/>
      <c r="N5653" s="1"/>
    </row>
    <row r="5654" spans="7:14" x14ac:dyDescent="0.35">
      <c r="G5654" s="1"/>
      <c r="N5654" s="1"/>
    </row>
    <row r="5655" spans="7:14" x14ac:dyDescent="0.35">
      <c r="G5655" s="1"/>
      <c r="N5655" s="1"/>
    </row>
    <row r="5656" spans="7:14" x14ac:dyDescent="0.35">
      <c r="G5656" s="1"/>
      <c r="N5656" s="1"/>
    </row>
    <row r="5657" spans="7:14" x14ac:dyDescent="0.35">
      <c r="G5657" s="1"/>
      <c r="N5657" s="1"/>
    </row>
    <row r="5658" spans="7:14" x14ac:dyDescent="0.35">
      <c r="G5658" s="1"/>
      <c r="N5658" s="1"/>
    </row>
    <row r="5659" spans="7:14" x14ac:dyDescent="0.35">
      <c r="G5659" s="1"/>
      <c r="N5659" s="1"/>
    </row>
    <row r="5660" spans="7:14" x14ac:dyDescent="0.35">
      <c r="G5660" s="1"/>
      <c r="N5660" s="1"/>
    </row>
    <row r="5661" spans="7:14" x14ac:dyDescent="0.35">
      <c r="G5661" s="1"/>
      <c r="N5661" s="1"/>
    </row>
    <row r="5662" spans="7:14" x14ac:dyDescent="0.35">
      <c r="G5662" s="1"/>
      <c r="N5662" s="1"/>
    </row>
    <row r="5663" spans="7:14" x14ac:dyDescent="0.35">
      <c r="G5663" s="1"/>
      <c r="N5663" s="1"/>
    </row>
    <row r="5664" spans="7:14" x14ac:dyDescent="0.35">
      <c r="G5664" s="1"/>
      <c r="N5664" s="1"/>
    </row>
    <row r="5665" spans="7:14" x14ac:dyDescent="0.35">
      <c r="G5665" s="1"/>
      <c r="N5665" s="1"/>
    </row>
    <row r="5666" spans="7:14" x14ac:dyDescent="0.35">
      <c r="G5666" s="1"/>
      <c r="N5666" s="1"/>
    </row>
    <row r="5667" spans="7:14" x14ac:dyDescent="0.35">
      <c r="G5667" s="1"/>
      <c r="N5667" s="1"/>
    </row>
    <row r="5668" spans="7:14" x14ac:dyDescent="0.35">
      <c r="G5668" s="1"/>
      <c r="N5668" s="1"/>
    </row>
    <row r="5669" spans="7:14" x14ac:dyDescent="0.35">
      <c r="G5669" s="1"/>
      <c r="N5669" s="1"/>
    </row>
    <row r="5670" spans="7:14" x14ac:dyDescent="0.35">
      <c r="G5670" s="1"/>
      <c r="N5670" s="1"/>
    </row>
    <row r="5671" spans="7:14" x14ac:dyDescent="0.35">
      <c r="G5671" s="1"/>
      <c r="N5671" s="1"/>
    </row>
    <row r="5672" spans="7:14" x14ac:dyDescent="0.35">
      <c r="G5672" s="1"/>
      <c r="N5672" s="1"/>
    </row>
    <row r="5673" spans="7:14" x14ac:dyDescent="0.35">
      <c r="G5673" s="1"/>
      <c r="N5673" s="1"/>
    </row>
    <row r="5674" spans="7:14" x14ac:dyDescent="0.35">
      <c r="G5674" s="1"/>
      <c r="N5674" s="1"/>
    </row>
    <row r="5675" spans="7:14" x14ac:dyDescent="0.35">
      <c r="G5675" s="1"/>
      <c r="N5675" s="1"/>
    </row>
    <row r="5676" spans="7:14" x14ac:dyDescent="0.35">
      <c r="G5676" s="1"/>
      <c r="N5676" s="1"/>
    </row>
    <row r="5677" spans="7:14" x14ac:dyDescent="0.35">
      <c r="G5677" s="1"/>
      <c r="N5677" s="1"/>
    </row>
    <row r="5678" spans="7:14" x14ac:dyDescent="0.35">
      <c r="G5678" s="1"/>
      <c r="N5678" s="1"/>
    </row>
    <row r="5679" spans="7:14" x14ac:dyDescent="0.35">
      <c r="G5679" s="1"/>
      <c r="N5679" s="1"/>
    </row>
    <row r="5680" spans="7:14" x14ac:dyDescent="0.35">
      <c r="G5680" s="1"/>
      <c r="N5680" s="1"/>
    </row>
    <row r="5681" spans="7:14" x14ac:dyDescent="0.35">
      <c r="G5681" s="1"/>
      <c r="N5681" s="1"/>
    </row>
    <row r="5682" spans="7:14" x14ac:dyDescent="0.35">
      <c r="G5682" s="1"/>
      <c r="N5682" s="1"/>
    </row>
    <row r="5683" spans="7:14" x14ac:dyDescent="0.35">
      <c r="G5683" s="1"/>
      <c r="N5683" s="1"/>
    </row>
    <row r="5684" spans="7:14" x14ac:dyDescent="0.35">
      <c r="G5684" s="1"/>
      <c r="N5684" s="1"/>
    </row>
    <row r="5685" spans="7:14" x14ac:dyDescent="0.35">
      <c r="G5685" s="1"/>
      <c r="N5685" s="1"/>
    </row>
    <row r="5686" spans="7:14" x14ac:dyDescent="0.35">
      <c r="G5686" s="1"/>
      <c r="N5686" s="1"/>
    </row>
    <row r="5687" spans="7:14" x14ac:dyDescent="0.35">
      <c r="G5687" s="1"/>
      <c r="N5687" s="1"/>
    </row>
    <row r="5688" spans="7:14" x14ac:dyDescent="0.35">
      <c r="G5688" s="1"/>
      <c r="N5688" s="1"/>
    </row>
    <row r="5689" spans="7:14" x14ac:dyDescent="0.35">
      <c r="G5689" s="1"/>
      <c r="N5689" s="1"/>
    </row>
    <row r="5690" spans="7:14" x14ac:dyDescent="0.35">
      <c r="G5690" s="1"/>
      <c r="N5690" s="1"/>
    </row>
    <row r="5691" spans="7:14" x14ac:dyDescent="0.35">
      <c r="G5691" s="1"/>
      <c r="N5691" s="1"/>
    </row>
    <row r="5692" spans="7:14" x14ac:dyDescent="0.35">
      <c r="G5692" s="1"/>
      <c r="N5692" s="1"/>
    </row>
    <row r="5693" spans="7:14" x14ac:dyDescent="0.35">
      <c r="G5693" s="1"/>
      <c r="N5693" s="1"/>
    </row>
    <row r="5694" spans="7:14" x14ac:dyDescent="0.35">
      <c r="G5694" s="1"/>
      <c r="N5694" s="1"/>
    </row>
    <row r="5695" spans="7:14" x14ac:dyDescent="0.35">
      <c r="G5695" s="1"/>
      <c r="N5695" s="1"/>
    </row>
    <row r="5696" spans="7:14" x14ac:dyDescent="0.35">
      <c r="G5696" s="1"/>
      <c r="N5696" s="1"/>
    </row>
    <row r="5697" spans="7:14" x14ac:dyDescent="0.35">
      <c r="G5697" s="1"/>
      <c r="N5697" s="1"/>
    </row>
    <row r="5698" spans="7:14" x14ac:dyDescent="0.35">
      <c r="G5698" s="1"/>
      <c r="N5698" s="1"/>
    </row>
    <row r="5699" spans="7:14" x14ac:dyDescent="0.35">
      <c r="G5699" s="1"/>
      <c r="N5699" s="1"/>
    </row>
    <row r="5700" spans="7:14" x14ac:dyDescent="0.35">
      <c r="G5700" s="1"/>
      <c r="N5700" s="1"/>
    </row>
    <row r="5701" spans="7:14" x14ac:dyDescent="0.35">
      <c r="G5701" s="1"/>
      <c r="N5701" s="1"/>
    </row>
    <row r="5702" spans="7:14" x14ac:dyDescent="0.35">
      <c r="G5702" s="1"/>
      <c r="N5702" s="1"/>
    </row>
    <row r="5703" spans="7:14" x14ac:dyDescent="0.35">
      <c r="G5703" s="1"/>
      <c r="N5703" s="1"/>
    </row>
    <row r="5704" spans="7:14" x14ac:dyDescent="0.35">
      <c r="G5704" s="1"/>
      <c r="N5704" s="1"/>
    </row>
    <row r="5705" spans="7:14" x14ac:dyDescent="0.35">
      <c r="G5705" s="1"/>
      <c r="N5705" s="1"/>
    </row>
    <row r="5706" spans="7:14" x14ac:dyDescent="0.35">
      <c r="G5706" s="1"/>
      <c r="N5706" s="1"/>
    </row>
    <row r="5707" spans="7:14" x14ac:dyDescent="0.35">
      <c r="G5707" s="1"/>
      <c r="N5707" s="1"/>
    </row>
    <row r="5708" spans="7:14" x14ac:dyDescent="0.35">
      <c r="G5708" s="1"/>
      <c r="N5708" s="1"/>
    </row>
    <row r="5709" spans="7:14" x14ac:dyDescent="0.35">
      <c r="G5709" s="1"/>
      <c r="N5709" s="1"/>
    </row>
    <row r="5710" spans="7:14" x14ac:dyDescent="0.35">
      <c r="G5710" s="1"/>
      <c r="N5710" s="1"/>
    </row>
    <row r="5711" spans="7:14" x14ac:dyDescent="0.35">
      <c r="G5711" s="1"/>
      <c r="N5711" s="1"/>
    </row>
    <row r="5712" spans="7:14" x14ac:dyDescent="0.35">
      <c r="G5712" s="1"/>
      <c r="N5712" s="1"/>
    </row>
    <row r="5713" spans="7:14" x14ac:dyDescent="0.35">
      <c r="G5713" s="1"/>
      <c r="N5713" s="1"/>
    </row>
    <row r="5714" spans="7:14" x14ac:dyDescent="0.35">
      <c r="G5714" s="1"/>
      <c r="N5714" s="1"/>
    </row>
    <row r="5715" spans="7:14" x14ac:dyDescent="0.35">
      <c r="G5715" s="1"/>
      <c r="N5715" s="1"/>
    </row>
    <row r="5716" spans="7:14" x14ac:dyDescent="0.35">
      <c r="G5716" s="1"/>
      <c r="N5716" s="1"/>
    </row>
    <row r="5717" spans="7:14" x14ac:dyDescent="0.35">
      <c r="G5717" s="1"/>
      <c r="N5717" s="1"/>
    </row>
    <row r="5718" spans="7:14" x14ac:dyDescent="0.35">
      <c r="G5718" s="1"/>
      <c r="N5718" s="1"/>
    </row>
    <row r="5719" spans="7:14" x14ac:dyDescent="0.35">
      <c r="G5719" s="1"/>
      <c r="N5719" s="1"/>
    </row>
    <row r="5720" spans="7:14" x14ac:dyDescent="0.35">
      <c r="G5720" s="1"/>
      <c r="N5720" s="1"/>
    </row>
    <row r="5721" spans="7:14" x14ac:dyDescent="0.35">
      <c r="G5721" s="1"/>
      <c r="N5721" s="1"/>
    </row>
    <row r="5722" spans="7:14" x14ac:dyDescent="0.35">
      <c r="G5722" s="1"/>
      <c r="N5722" s="1"/>
    </row>
    <row r="5723" spans="7:14" x14ac:dyDescent="0.35">
      <c r="G5723" s="1"/>
      <c r="N5723" s="1"/>
    </row>
    <row r="5724" spans="7:14" x14ac:dyDescent="0.35">
      <c r="G5724" s="1"/>
      <c r="N5724" s="1"/>
    </row>
    <row r="5725" spans="7:14" x14ac:dyDescent="0.35">
      <c r="G5725" s="1"/>
      <c r="N5725" s="1"/>
    </row>
    <row r="5726" spans="7:14" x14ac:dyDescent="0.35">
      <c r="G5726" s="1"/>
      <c r="N5726" s="1"/>
    </row>
    <row r="5727" spans="7:14" x14ac:dyDescent="0.35">
      <c r="G5727" s="1"/>
      <c r="N5727" s="1"/>
    </row>
    <row r="5728" spans="7:14" x14ac:dyDescent="0.35">
      <c r="G5728" s="1"/>
      <c r="N5728" s="1"/>
    </row>
    <row r="5729" spans="7:14" x14ac:dyDescent="0.35">
      <c r="G5729" s="1"/>
      <c r="N5729" s="1"/>
    </row>
    <row r="5730" spans="7:14" x14ac:dyDescent="0.35">
      <c r="G5730" s="1"/>
      <c r="N5730" s="1"/>
    </row>
    <row r="5731" spans="7:14" x14ac:dyDescent="0.35">
      <c r="G5731" s="1"/>
      <c r="N5731" s="1"/>
    </row>
    <row r="5732" spans="7:14" x14ac:dyDescent="0.35">
      <c r="G5732" s="1"/>
      <c r="N5732" s="1"/>
    </row>
    <row r="5733" spans="7:14" x14ac:dyDescent="0.35">
      <c r="G5733" s="1"/>
      <c r="N5733" s="1"/>
    </row>
    <row r="5734" spans="7:14" x14ac:dyDescent="0.35">
      <c r="G5734" s="1"/>
      <c r="N5734" s="1"/>
    </row>
    <row r="5735" spans="7:14" x14ac:dyDescent="0.35">
      <c r="G5735" s="1"/>
      <c r="N5735" s="1"/>
    </row>
    <row r="5736" spans="7:14" x14ac:dyDescent="0.35">
      <c r="G5736" s="1"/>
      <c r="N5736" s="1"/>
    </row>
    <row r="5737" spans="7:14" x14ac:dyDescent="0.35">
      <c r="G5737" s="1"/>
      <c r="N5737" s="1"/>
    </row>
    <row r="5738" spans="7:14" x14ac:dyDescent="0.35">
      <c r="G5738" s="1"/>
      <c r="N5738" s="1"/>
    </row>
    <row r="5739" spans="7:14" x14ac:dyDescent="0.35">
      <c r="G5739" s="1"/>
      <c r="N5739" s="1"/>
    </row>
    <row r="5740" spans="7:14" x14ac:dyDescent="0.35">
      <c r="G5740" s="1"/>
      <c r="N5740" s="1"/>
    </row>
    <row r="5741" spans="7:14" x14ac:dyDescent="0.35">
      <c r="G5741" s="1"/>
      <c r="N5741" s="1"/>
    </row>
    <row r="5742" spans="7:14" x14ac:dyDescent="0.35">
      <c r="G5742" s="1"/>
      <c r="N5742" s="1"/>
    </row>
    <row r="5743" spans="7:14" x14ac:dyDescent="0.35">
      <c r="G5743" s="1"/>
      <c r="N5743" s="1"/>
    </row>
    <row r="5744" spans="7:14" x14ac:dyDescent="0.35">
      <c r="G5744" s="1"/>
      <c r="N5744" s="1"/>
    </row>
    <row r="5745" spans="7:14" x14ac:dyDescent="0.35">
      <c r="G5745" s="1"/>
      <c r="N5745" s="1"/>
    </row>
    <row r="5746" spans="7:14" x14ac:dyDescent="0.35">
      <c r="G5746" s="1"/>
      <c r="N5746" s="1"/>
    </row>
    <row r="5747" spans="7:14" x14ac:dyDescent="0.35">
      <c r="G5747" s="1"/>
      <c r="N5747" s="1"/>
    </row>
    <row r="5748" spans="7:14" x14ac:dyDescent="0.35">
      <c r="G5748" s="1"/>
      <c r="N5748" s="1"/>
    </row>
    <row r="5749" spans="7:14" x14ac:dyDescent="0.35">
      <c r="G5749" s="1"/>
      <c r="N5749" s="1"/>
    </row>
    <row r="5750" spans="7:14" x14ac:dyDescent="0.35">
      <c r="G5750" s="1"/>
      <c r="N5750" s="1"/>
    </row>
    <row r="5751" spans="7:14" x14ac:dyDescent="0.35">
      <c r="G5751" s="1"/>
      <c r="N5751" s="1"/>
    </row>
    <row r="5752" spans="7:14" x14ac:dyDescent="0.35">
      <c r="G5752" s="1"/>
      <c r="N5752" s="1"/>
    </row>
    <row r="5753" spans="7:14" x14ac:dyDescent="0.35">
      <c r="G5753" s="1"/>
      <c r="N5753" s="1"/>
    </row>
    <row r="5754" spans="7:14" x14ac:dyDescent="0.35">
      <c r="G5754" s="1"/>
      <c r="N5754" s="1"/>
    </row>
    <row r="5755" spans="7:14" x14ac:dyDescent="0.35">
      <c r="G5755" s="1"/>
      <c r="N5755" s="1"/>
    </row>
    <row r="5756" spans="7:14" x14ac:dyDescent="0.35">
      <c r="G5756" s="1"/>
      <c r="N5756" s="1"/>
    </row>
    <row r="5757" spans="7:14" x14ac:dyDescent="0.35">
      <c r="G5757" s="1"/>
      <c r="N5757" s="1"/>
    </row>
    <row r="5758" spans="7:14" x14ac:dyDescent="0.35">
      <c r="G5758" s="1"/>
      <c r="N5758" s="1"/>
    </row>
    <row r="5759" spans="7:14" x14ac:dyDescent="0.35">
      <c r="G5759" s="1"/>
      <c r="N5759" s="1"/>
    </row>
    <row r="5760" spans="7:14" x14ac:dyDescent="0.35">
      <c r="G5760" s="1"/>
      <c r="N5760" s="1"/>
    </row>
    <row r="5761" spans="7:14" x14ac:dyDescent="0.35">
      <c r="G5761" s="1"/>
      <c r="N5761" s="1"/>
    </row>
    <row r="5762" spans="7:14" x14ac:dyDescent="0.35">
      <c r="G5762" s="1"/>
      <c r="N5762" s="1"/>
    </row>
    <row r="5763" spans="7:14" x14ac:dyDescent="0.35">
      <c r="G5763" s="1"/>
      <c r="N5763" s="1"/>
    </row>
    <row r="5764" spans="7:14" x14ac:dyDescent="0.35">
      <c r="G5764" s="1"/>
      <c r="N5764" s="1"/>
    </row>
    <row r="5765" spans="7:14" x14ac:dyDescent="0.35">
      <c r="G5765" s="1"/>
      <c r="N5765" s="1"/>
    </row>
    <row r="5766" spans="7:14" x14ac:dyDescent="0.35">
      <c r="G5766" s="1"/>
      <c r="N5766" s="1"/>
    </row>
    <row r="5767" spans="7:14" x14ac:dyDescent="0.35">
      <c r="G5767" s="1"/>
      <c r="N5767" s="1"/>
    </row>
    <row r="5768" spans="7:14" x14ac:dyDescent="0.35">
      <c r="G5768" s="1"/>
      <c r="N5768" s="1"/>
    </row>
    <row r="5769" spans="7:14" x14ac:dyDescent="0.35">
      <c r="G5769" s="1"/>
      <c r="N5769" s="1"/>
    </row>
    <row r="5770" spans="7:14" x14ac:dyDescent="0.35">
      <c r="G5770" s="1"/>
      <c r="N5770" s="1"/>
    </row>
    <row r="5771" spans="7:14" x14ac:dyDescent="0.35">
      <c r="G5771" s="1"/>
      <c r="N5771" s="1"/>
    </row>
    <row r="5772" spans="7:14" x14ac:dyDescent="0.35">
      <c r="G5772" s="1"/>
      <c r="N5772" s="1"/>
    </row>
    <row r="5773" spans="7:14" x14ac:dyDescent="0.35">
      <c r="G5773" s="1"/>
      <c r="N5773" s="1"/>
    </row>
    <row r="5774" spans="7:14" x14ac:dyDescent="0.35">
      <c r="G5774" s="1"/>
      <c r="N5774" s="1"/>
    </row>
    <row r="5775" spans="7:14" x14ac:dyDescent="0.35">
      <c r="G5775" s="1"/>
      <c r="N5775" s="1"/>
    </row>
    <row r="5776" spans="7:14" x14ac:dyDescent="0.35">
      <c r="G5776" s="1"/>
      <c r="N5776" s="1"/>
    </row>
    <row r="5777" spans="7:14" x14ac:dyDescent="0.35">
      <c r="G5777" s="1"/>
      <c r="N5777" s="1"/>
    </row>
    <row r="5778" spans="7:14" x14ac:dyDescent="0.35">
      <c r="G5778" s="1"/>
      <c r="N5778" s="1"/>
    </row>
    <row r="5779" spans="7:14" x14ac:dyDescent="0.35">
      <c r="G5779" s="1"/>
      <c r="N5779" s="1"/>
    </row>
    <row r="5780" spans="7:14" x14ac:dyDescent="0.35">
      <c r="G5780" s="1"/>
      <c r="N5780" s="1"/>
    </row>
    <row r="5781" spans="7:14" x14ac:dyDescent="0.35">
      <c r="G5781" s="1"/>
      <c r="N5781" s="1"/>
    </row>
    <row r="5782" spans="7:14" x14ac:dyDescent="0.35">
      <c r="G5782" s="1"/>
      <c r="N5782" s="1"/>
    </row>
    <row r="5783" spans="7:14" x14ac:dyDescent="0.35">
      <c r="G5783" s="1"/>
      <c r="N5783" s="1"/>
    </row>
    <row r="5784" spans="7:14" x14ac:dyDescent="0.35">
      <c r="G5784" s="1"/>
      <c r="N5784" s="1"/>
    </row>
    <row r="5785" spans="7:14" x14ac:dyDescent="0.35">
      <c r="G5785" s="1"/>
      <c r="N5785" s="1"/>
    </row>
    <row r="5786" spans="7:14" x14ac:dyDescent="0.35">
      <c r="G5786" s="1"/>
      <c r="N5786" s="1"/>
    </row>
    <row r="5787" spans="7:14" x14ac:dyDescent="0.35">
      <c r="G5787" s="1"/>
      <c r="N5787" s="1"/>
    </row>
    <row r="5788" spans="7:14" x14ac:dyDescent="0.35">
      <c r="G5788" s="1"/>
      <c r="N5788" s="1"/>
    </row>
    <row r="5789" spans="7:14" x14ac:dyDescent="0.35">
      <c r="G5789" s="1"/>
      <c r="N5789" s="1"/>
    </row>
    <row r="5790" spans="7:14" x14ac:dyDescent="0.35">
      <c r="G5790" s="1"/>
      <c r="N5790" s="1"/>
    </row>
    <row r="5791" spans="7:14" x14ac:dyDescent="0.35">
      <c r="G5791" s="1"/>
      <c r="N5791" s="1"/>
    </row>
    <row r="5792" spans="7:14" x14ac:dyDescent="0.35">
      <c r="G5792" s="1"/>
      <c r="N5792" s="1"/>
    </row>
    <row r="5793" spans="7:14" x14ac:dyDescent="0.35">
      <c r="G5793" s="1"/>
      <c r="N5793" s="1"/>
    </row>
    <row r="5794" spans="7:14" x14ac:dyDescent="0.35">
      <c r="G5794" s="1"/>
      <c r="N5794" s="1"/>
    </row>
    <row r="5795" spans="7:14" x14ac:dyDescent="0.35">
      <c r="G5795" s="1"/>
      <c r="N5795" s="1"/>
    </row>
    <row r="5796" spans="7:14" x14ac:dyDescent="0.35">
      <c r="G5796" s="1"/>
      <c r="N5796" s="1"/>
    </row>
    <row r="5797" spans="7:14" x14ac:dyDescent="0.35">
      <c r="G5797" s="1"/>
      <c r="N5797" s="1"/>
    </row>
    <row r="5798" spans="7:14" x14ac:dyDescent="0.35">
      <c r="G5798" s="1"/>
      <c r="N5798" s="1"/>
    </row>
    <row r="5799" spans="7:14" x14ac:dyDescent="0.35">
      <c r="G5799" s="1"/>
      <c r="N5799" s="1"/>
    </row>
    <row r="5800" spans="7:14" x14ac:dyDescent="0.35">
      <c r="G5800" s="1"/>
      <c r="N5800" s="1"/>
    </row>
    <row r="5801" spans="7:14" x14ac:dyDescent="0.35">
      <c r="G5801" s="1"/>
      <c r="N5801" s="1"/>
    </row>
    <row r="5802" spans="7:14" x14ac:dyDescent="0.35">
      <c r="G5802" s="1"/>
      <c r="N5802" s="1"/>
    </row>
    <row r="5803" spans="7:14" x14ac:dyDescent="0.35">
      <c r="G5803" s="1"/>
      <c r="N5803" s="1"/>
    </row>
    <row r="5804" spans="7:14" x14ac:dyDescent="0.35">
      <c r="G5804" s="1"/>
      <c r="N5804" s="1"/>
    </row>
    <row r="5805" spans="7:14" x14ac:dyDescent="0.35">
      <c r="G5805" s="1"/>
      <c r="N5805" s="1"/>
    </row>
    <row r="5806" spans="7:14" x14ac:dyDescent="0.35">
      <c r="G5806" s="1"/>
      <c r="N5806" s="1"/>
    </row>
    <row r="5807" spans="7:14" x14ac:dyDescent="0.35">
      <c r="G5807" s="1"/>
      <c r="N5807" s="1"/>
    </row>
    <row r="5808" spans="7:14" x14ac:dyDescent="0.35">
      <c r="G5808" s="1"/>
      <c r="N5808" s="1"/>
    </row>
    <row r="5809" spans="7:14" x14ac:dyDescent="0.35">
      <c r="G5809" s="1"/>
      <c r="N5809" s="1"/>
    </row>
    <row r="5810" spans="7:14" x14ac:dyDescent="0.35">
      <c r="G5810" s="1"/>
      <c r="N5810" s="1"/>
    </row>
    <row r="5811" spans="7:14" x14ac:dyDescent="0.35">
      <c r="G5811" s="1"/>
      <c r="N5811" s="1"/>
    </row>
    <row r="5812" spans="7:14" x14ac:dyDescent="0.35">
      <c r="G5812" s="1"/>
      <c r="N5812" s="1"/>
    </row>
    <row r="5813" spans="7:14" x14ac:dyDescent="0.35">
      <c r="G5813" s="1"/>
      <c r="N5813" s="1"/>
    </row>
    <row r="5814" spans="7:14" x14ac:dyDescent="0.35">
      <c r="G5814" s="1"/>
      <c r="N5814" s="1"/>
    </row>
    <row r="5815" spans="7:14" x14ac:dyDescent="0.35">
      <c r="G5815" s="1"/>
      <c r="N5815" s="1"/>
    </row>
    <row r="5816" spans="7:14" x14ac:dyDescent="0.35">
      <c r="G5816" s="1"/>
      <c r="N5816" s="1"/>
    </row>
    <row r="5817" spans="7:14" x14ac:dyDescent="0.35">
      <c r="G5817" s="1"/>
      <c r="N5817" s="1"/>
    </row>
    <row r="5818" spans="7:14" x14ac:dyDescent="0.35">
      <c r="G5818" s="1"/>
      <c r="N5818" s="1"/>
    </row>
    <row r="5819" spans="7:14" x14ac:dyDescent="0.35">
      <c r="G5819" s="1"/>
      <c r="N5819" s="1"/>
    </row>
    <row r="5820" spans="7:14" x14ac:dyDescent="0.35">
      <c r="G5820" s="1"/>
      <c r="N5820" s="1"/>
    </row>
    <row r="5821" spans="7:14" x14ac:dyDescent="0.35">
      <c r="G5821" s="1"/>
      <c r="N5821" s="1"/>
    </row>
    <row r="5822" spans="7:14" x14ac:dyDescent="0.35">
      <c r="G5822" s="1"/>
      <c r="N5822" s="1"/>
    </row>
    <row r="5823" spans="7:14" x14ac:dyDescent="0.35">
      <c r="G5823" s="1"/>
      <c r="N5823" s="1"/>
    </row>
    <row r="5824" spans="7:14" x14ac:dyDescent="0.35">
      <c r="G5824" s="1"/>
      <c r="N5824" s="1"/>
    </row>
    <row r="5825" spans="7:14" x14ac:dyDescent="0.35">
      <c r="G5825" s="1"/>
      <c r="N5825" s="1"/>
    </row>
    <row r="5826" spans="7:14" x14ac:dyDescent="0.35">
      <c r="G5826" s="1"/>
      <c r="N5826" s="1"/>
    </row>
    <row r="5827" spans="7:14" x14ac:dyDescent="0.35">
      <c r="G5827" s="1"/>
      <c r="N5827" s="1"/>
    </row>
    <row r="5828" spans="7:14" x14ac:dyDescent="0.35">
      <c r="G5828" s="1"/>
      <c r="N5828" s="1"/>
    </row>
    <row r="5829" spans="7:14" x14ac:dyDescent="0.35">
      <c r="G5829" s="1"/>
      <c r="N5829" s="1"/>
    </row>
    <row r="5830" spans="7:14" x14ac:dyDescent="0.35">
      <c r="G5830" s="1"/>
      <c r="N5830" s="1"/>
    </row>
    <row r="5831" spans="7:14" x14ac:dyDescent="0.35">
      <c r="G5831" s="1"/>
      <c r="N5831" s="1"/>
    </row>
    <row r="5832" spans="7:14" x14ac:dyDescent="0.35">
      <c r="G5832" s="1"/>
      <c r="N5832" s="1"/>
    </row>
    <row r="5833" spans="7:14" x14ac:dyDescent="0.35">
      <c r="G5833" s="1"/>
      <c r="N5833" s="1"/>
    </row>
    <row r="5834" spans="7:14" x14ac:dyDescent="0.35">
      <c r="G5834" s="1"/>
      <c r="N5834" s="1"/>
    </row>
    <row r="5835" spans="7:14" x14ac:dyDescent="0.35">
      <c r="G5835" s="1"/>
      <c r="N5835" s="1"/>
    </row>
    <row r="5836" spans="7:14" x14ac:dyDescent="0.35">
      <c r="G5836" s="1"/>
      <c r="N5836" s="1"/>
    </row>
    <row r="5837" spans="7:14" x14ac:dyDescent="0.35">
      <c r="G5837" s="1"/>
      <c r="N5837" s="1"/>
    </row>
    <row r="5838" spans="7:14" x14ac:dyDescent="0.35">
      <c r="G5838" s="1"/>
      <c r="N5838" s="1"/>
    </row>
    <row r="5839" spans="7:14" x14ac:dyDescent="0.35">
      <c r="G5839" s="1"/>
      <c r="N5839" s="1"/>
    </row>
    <row r="5840" spans="7:14" x14ac:dyDescent="0.35">
      <c r="G5840" s="1"/>
      <c r="N5840" s="1"/>
    </row>
    <row r="5841" spans="7:14" x14ac:dyDescent="0.35">
      <c r="G5841" s="1"/>
      <c r="N5841" s="1"/>
    </row>
    <row r="5842" spans="7:14" x14ac:dyDescent="0.35">
      <c r="G5842" s="1"/>
      <c r="N5842" s="1"/>
    </row>
    <row r="5843" spans="7:14" x14ac:dyDescent="0.35">
      <c r="G5843" s="1"/>
      <c r="N5843" s="1"/>
    </row>
    <row r="5844" spans="7:14" x14ac:dyDescent="0.35">
      <c r="G5844" s="1"/>
      <c r="N5844" s="1"/>
    </row>
    <row r="5845" spans="7:14" x14ac:dyDescent="0.35">
      <c r="G5845" s="1"/>
      <c r="N5845" s="1"/>
    </row>
    <row r="5846" spans="7:14" x14ac:dyDescent="0.35">
      <c r="G5846" s="1"/>
      <c r="N5846" s="1"/>
    </row>
    <row r="5847" spans="7:14" x14ac:dyDescent="0.35">
      <c r="G5847" s="1"/>
      <c r="N5847" s="1"/>
    </row>
    <row r="5848" spans="7:14" x14ac:dyDescent="0.35">
      <c r="G5848" s="1"/>
      <c r="N5848" s="1"/>
    </row>
    <row r="5849" spans="7:14" x14ac:dyDescent="0.35">
      <c r="G5849" s="1"/>
      <c r="N5849" s="1"/>
    </row>
    <row r="5850" spans="7:14" x14ac:dyDescent="0.35">
      <c r="G5850" s="1"/>
      <c r="N5850" s="1"/>
    </row>
    <row r="5851" spans="7:14" x14ac:dyDescent="0.35">
      <c r="G5851" s="1"/>
      <c r="N5851" s="1"/>
    </row>
    <row r="5852" spans="7:14" x14ac:dyDescent="0.35">
      <c r="G5852" s="1"/>
      <c r="N5852" s="1"/>
    </row>
    <row r="5853" spans="7:14" x14ac:dyDescent="0.35">
      <c r="G5853" s="1"/>
      <c r="N5853" s="1"/>
    </row>
    <row r="5854" spans="7:14" x14ac:dyDescent="0.35">
      <c r="G5854" s="1"/>
      <c r="N5854" s="1"/>
    </row>
    <row r="5855" spans="7:14" x14ac:dyDescent="0.35">
      <c r="G5855" s="1"/>
      <c r="N5855" s="1"/>
    </row>
    <row r="5856" spans="7:14" x14ac:dyDescent="0.35">
      <c r="G5856" s="1"/>
      <c r="N5856" s="1"/>
    </row>
    <row r="5857" spans="7:14" x14ac:dyDescent="0.35">
      <c r="G5857" s="1"/>
      <c r="N5857" s="1"/>
    </row>
    <row r="5858" spans="7:14" x14ac:dyDescent="0.35">
      <c r="G5858" s="1"/>
      <c r="N5858" s="1"/>
    </row>
    <row r="5859" spans="7:14" x14ac:dyDescent="0.35">
      <c r="G5859" s="1"/>
      <c r="N5859" s="1"/>
    </row>
    <row r="5860" spans="7:14" x14ac:dyDescent="0.35">
      <c r="G5860" s="1"/>
      <c r="N5860" s="1"/>
    </row>
    <row r="5861" spans="7:14" x14ac:dyDescent="0.35">
      <c r="G5861" s="1"/>
      <c r="N5861" s="1"/>
    </row>
    <row r="5862" spans="7:14" x14ac:dyDescent="0.35">
      <c r="G5862" s="1"/>
      <c r="N5862" s="1"/>
    </row>
    <row r="5863" spans="7:14" x14ac:dyDescent="0.35">
      <c r="G5863" s="1"/>
      <c r="N5863" s="1"/>
    </row>
    <row r="5864" spans="7:14" x14ac:dyDescent="0.35">
      <c r="G5864" s="1"/>
      <c r="N5864" s="1"/>
    </row>
    <row r="5865" spans="7:14" x14ac:dyDescent="0.35">
      <c r="G5865" s="1"/>
      <c r="N5865" s="1"/>
    </row>
    <row r="5866" spans="7:14" x14ac:dyDescent="0.35">
      <c r="G5866" s="1"/>
      <c r="N5866" s="1"/>
    </row>
    <row r="5867" spans="7:14" x14ac:dyDescent="0.35">
      <c r="G5867" s="1"/>
      <c r="N5867" s="1"/>
    </row>
    <row r="5868" spans="7:14" x14ac:dyDescent="0.35">
      <c r="G5868" s="1"/>
      <c r="N5868" s="1"/>
    </row>
    <row r="5869" spans="7:14" x14ac:dyDescent="0.35">
      <c r="G5869" s="1"/>
      <c r="N5869" s="1"/>
    </row>
    <row r="5870" spans="7:14" x14ac:dyDescent="0.35">
      <c r="G5870" s="1"/>
      <c r="N5870" s="1"/>
    </row>
    <row r="5871" spans="7:14" x14ac:dyDescent="0.35">
      <c r="G5871" s="1"/>
      <c r="N5871" s="1"/>
    </row>
    <row r="5872" spans="7:14" x14ac:dyDescent="0.35">
      <c r="G5872" s="1"/>
      <c r="N5872" s="1"/>
    </row>
    <row r="5873" spans="7:14" x14ac:dyDescent="0.35">
      <c r="G5873" s="1"/>
      <c r="N5873" s="1"/>
    </row>
    <row r="5874" spans="7:14" x14ac:dyDescent="0.35">
      <c r="G5874" s="1"/>
      <c r="N5874" s="1"/>
    </row>
    <row r="5875" spans="7:14" x14ac:dyDescent="0.35">
      <c r="G5875" s="1"/>
      <c r="N5875" s="1"/>
    </row>
    <row r="5876" spans="7:14" x14ac:dyDescent="0.35">
      <c r="G5876" s="1"/>
      <c r="N5876" s="1"/>
    </row>
    <row r="5877" spans="7:14" x14ac:dyDescent="0.35">
      <c r="G5877" s="1"/>
      <c r="N5877" s="1"/>
    </row>
    <row r="5878" spans="7:14" x14ac:dyDescent="0.35">
      <c r="G5878" s="1"/>
      <c r="N5878" s="1"/>
    </row>
    <row r="5879" spans="7:14" x14ac:dyDescent="0.35">
      <c r="G5879" s="1"/>
      <c r="N5879" s="1"/>
    </row>
    <row r="5880" spans="7:14" x14ac:dyDescent="0.35">
      <c r="G5880" s="1"/>
      <c r="N5880" s="1"/>
    </row>
    <row r="5881" spans="7:14" x14ac:dyDescent="0.35">
      <c r="G5881" s="1"/>
      <c r="N5881" s="1"/>
    </row>
    <row r="5882" spans="7:14" x14ac:dyDescent="0.35">
      <c r="G5882" s="1"/>
      <c r="N5882" s="1"/>
    </row>
    <row r="5883" spans="7:14" x14ac:dyDescent="0.35">
      <c r="G5883" s="1"/>
      <c r="N5883" s="1"/>
    </row>
    <row r="5884" spans="7:14" x14ac:dyDescent="0.35">
      <c r="G5884" s="1"/>
      <c r="N5884" s="1"/>
    </row>
    <row r="5885" spans="7:14" x14ac:dyDescent="0.35">
      <c r="G5885" s="1"/>
      <c r="N5885" s="1"/>
    </row>
    <row r="5886" spans="7:14" x14ac:dyDescent="0.35">
      <c r="G5886" s="1"/>
      <c r="N5886" s="1"/>
    </row>
    <row r="5887" spans="7:14" x14ac:dyDescent="0.35">
      <c r="G5887" s="1"/>
      <c r="N5887" s="1"/>
    </row>
    <row r="5888" spans="7:14" x14ac:dyDescent="0.35">
      <c r="G5888" s="1"/>
      <c r="N5888" s="1"/>
    </row>
    <row r="5889" spans="7:14" x14ac:dyDescent="0.35">
      <c r="G5889" s="1"/>
      <c r="N5889" s="1"/>
    </row>
    <row r="5890" spans="7:14" x14ac:dyDescent="0.35">
      <c r="G5890" s="1"/>
      <c r="N5890" s="1"/>
    </row>
    <row r="5891" spans="7:14" x14ac:dyDescent="0.35">
      <c r="G5891" s="1"/>
      <c r="N5891" s="1"/>
    </row>
    <row r="5892" spans="7:14" x14ac:dyDescent="0.35">
      <c r="G5892" s="1"/>
      <c r="N5892" s="1"/>
    </row>
    <row r="5893" spans="7:14" x14ac:dyDescent="0.35">
      <c r="G5893" s="1"/>
      <c r="N5893" s="1"/>
    </row>
    <row r="5894" spans="7:14" x14ac:dyDescent="0.35">
      <c r="G5894" s="1"/>
      <c r="N5894" s="1"/>
    </row>
    <row r="5895" spans="7:14" x14ac:dyDescent="0.35">
      <c r="G5895" s="1"/>
      <c r="N5895" s="1"/>
    </row>
    <row r="5896" spans="7:14" x14ac:dyDescent="0.35">
      <c r="G5896" s="1"/>
      <c r="N5896" s="1"/>
    </row>
    <row r="5897" spans="7:14" x14ac:dyDescent="0.35">
      <c r="G5897" s="1"/>
      <c r="N5897" s="1"/>
    </row>
    <row r="5898" spans="7:14" x14ac:dyDescent="0.35">
      <c r="G5898" s="1"/>
      <c r="N5898" s="1"/>
    </row>
    <row r="5899" spans="7:14" x14ac:dyDescent="0.35">
      <c r="G5899" s="1"/>
      <c r="N5899" s="1"/>
    </row>
    <row r="5900" spans="7:14" x14ac:dyDescent="0.35">
      <c r="G5900" s="1"/>
      <c r="N5900" s="1"/>
    </row>
    <row r="5901" spans="7:14" x14ac:dyDescent="0.35">
      <c r="G5901" s="1"/>
      <c r="N5901" s="1"/>
    </row>
    <row r="5902" spans="7:14" x14ac:dyDescent="0.35">
      <c r="G5902" s="1"/>
      <c r="N5902" s="1"/>
    </row>
    <row r="5903" spans="7:14" x14ac:dyDescent="0.35">
      <c r="G5903" s="1"/>
      <c r="N5903" s="1"/>
    </row>
    <row r="5904" spans="7:14" x14ac:dyDescent="0.35">
      <c r="G5904" s="1"/>
      <c r="N5904" s="1"/>
    </row>
    <row r="5905" spans="7:14" x14ac:dyDescent="0.35">
      <c r="G5905" s="1"/>
      <c r="N5905" s="1"/>
    </row>
    <row r="5906" spans="7:14" x14ac:dyDescent="0.35">
      <c r="G5906" s="1"/>
      <c r="N5906" s="1"/>
    </row>
    <row r="5907" spans="7:14" x14ac:dyDescent="0.35">
      <c r="G5907" s="1"/>
      <c r="N5907" s="1"/>
    </row>
    <row r="5908" spans="7:14" x14ac:dyDescent="0.35">
      <c r="G5908" s="1"/>
      <c r="N5908" s="1"/>
    </row>
    <row r="5909" spans="7:14" x14ac:dyDescent="0.35">
      <c r="G5909" s="1"/>
      <c r="N5909" s="1"/>
    </row>
    <row r="5910" spans="7:14" x14ac:dyDescent="0.35">
      <c r="G5910" s="1"/>
      <c r="N5910" s="1"/>
    </row>
    <row r="5911" spans="7:14" x14ac:dyDescent="0.35">
      <c r="G5911" s="1"/>
      <c r="N5911" s="1"/>
    </row>
    <row r="5912" spans="7:14" x14ac:dyDescent="0.35">
      <c r="G5912" s="1"/>
      <c r="N5912" s="1"/>
    </row>
    <row r="5913" spans="7:14" x14ac:dyDescent="0.35">
      <c r="G5913" s="1"/>
      <c r="N5913" s="1"/>
    </row>
    <row r="5914" spans="7:14" x14ac:dyDescent="0.35">
      <c r="G5914" s="1"/>
      <c r="N5914" s="1"/>
    </row>
    <row r="5915" spans="7:14" x14ac:dyDescent="0.35">
      <c r="G5915" s="1"/>
      <c r="N5915" s="1"/>
    </row>
    <row r="5916" spans="7:14" x14ac:dyDescent="0.35">
      <c r="G5916" s="1"/>
      <c r="N5916" s="1"/>
    </row>
    <row r="5917" spans="7:14" x14ac:dyDescent="0.35">
      <c r="G5917" s="1"/>
      <c r="N5917" s="1"/>
    </row>
    <row r="5918" spans="7:14" x14ac:dyDescent="0.35">
      <c r="G5918" s="1"/>
      <c r="N5918" s="1"/>
    </row>
    <row r="5919" spans="7:14" x14ac:dyDescent="0.35">
      <c r="G5919" s="1"/>
      <c r="N5919" s="1"/>
    </row>
    <row r="5920" spans="7:14" x14ac:dyDescent="0.35">
      <c r="G5920" s="1"/>
      <c r="N5920" s="1"/>
    </row>
    <row r="5921" spans="7:14" x14ac:dyDescent="0.35">
      <c r="G5921" s="1"/>
      <c r="N5921" s="1"/>
    </row>
    <row r="5922" spans="7:14" x14ac:dyDescent="0.35">
      <c r="G5922" s="1"/>
      <c r="N5922" s="1"/>
    </row>
    <row r="5923" spans="7:14" x14ac:dyDescent="0.35">
      <c r="G5923" s="1"/>
      <c r="N5923" s="1"/>
    </row>
    <row r="5924" spans="7:14" x14ac:dyDescent="0.35">
      <c r="G5924" s="1"/>
      <c r="N5924" s="1"/>
    </row>
    <row r="5925" spans="7:14" x14ac:dyDescent="0.35">
      <c r="G5925" s="1"/>
      <c r="N5925" s="1"/>
    </row>
    <row r="5926" spans="7:14" x14ac:dyDescent="0.35">
      <c r="G5926" s="1"/>
      <c r="N5926" s="1"/>
    </row>
    <row r="5927" spans="7:14" x14ac:dyDescent="0.35">
      <c r="G5927" s="1"/>
      <c r="N5927" s="1"/>
    </row>
    <row r="5928" spans="7:14" x14ac:dyDescent="0.35">
      <c r="G5928" s="1"/>
      <c r="N5928" s="1"/>
    </row>
    <row r="5929" spans="7:14" x14ac:dyDescent="0.35">
      <c r="G5929" s="1"/>
      <c r="N5929" s="1"/>
    </row>
    <row r="5930" spans="7:14" x14ac:dyDescent="0.35">
      <c r="G5930" s="1"/>
      <c r="N5930" s="1"/>
    </row>
    <row r="5931" spans="7:14" x14ac:dyDescent="0.35">
      <c r="G5931" s="1"/>
      <c r="N5931" s="1"/>
    </row>
    <row r="5932" spans="7:14" x14ac:dyDescent="0.35">
      <c r="G5932" s="1"/>
      <c r="N5932" s="1"/>
    </row>
    <row r="5933" spans="7:14" x14ac:dyDescent="0.35">
      <c r="G5933" s="1"/>
      <c r="N5933" s="1"/>
    </row>
    <row r="5934" spans="7:14" x14ac:dyDescent="0.35">
      <c r="G5934" s="1"/>
      <c r="N5934" s="1"/>
    </row>
    <row r="5935" spans="7:14" x14ac:dyDescent="0.35">
      <c r="G5935" s="1"/>
      <c r="N5935" s="1"/>
    </row>
    <row r="5936" spans="7:14" x14ac:dyDescent="0.35">
      <c r="G5936" s="1"/>
      <c r="N5936" s="1"/>
    </row>
    <row r="5937" spans="7:14" x14ac:dyDescent="0.35">
      <c r="G5937" s="1"/>
      <c r="N5937" s="1"/>
    </row>
    <row r="5938" spans="7:14" x14ac:dyDescent="0.35">
      <c r="G5938" s="1"/>
      <c r="N5938" s="1"/>
    </row>
    <row r="5939" spans="7:14" x14ac:dyDescent="0.35">
      <c r="G5939" s="1"/>
      <c r="N5939" s="1"/>
    </row>
    <row r="5940" spans="7:14" x14ac:dyDescent="0.35">
      <c r="G5940" s="1"/>
      <c r="N5940" s="1"/>
    </row>
    <row r="5941" spans="7:14" x14ac:dyDescent="0.35">
      <c r="G5941" s="1"/>
      <c r="N5941" s="1"/>
    </row>
    <row r="5942" spans="7:14" x14ac:dyDescent="0.35">
      <c r="G5942" s="1"/>
      <c r="N5942" s="1"/>
    </row>
    <row r="5943" spans="7:14" x14ac:dyDescent="0.35">
      <c r="G5943" s="1"/>
      <c r="N5943" s="1"/>
    </row>
    <row r="5944" spans="7:14" x14ac:dyDescent="0.35">
      <c r="G5944" s="1"/>
      <c r="N5944" s="1"/>
    </row>
    <row r="5945" spans="7:14" x14ac:dyDescent="0.35">
      <c r="G5945" s="1"/>
      <c r="N5945" s="1"/>
    </row>
    <row r="5946" spans="7:14" x14ac:dyDescent="0.35">
      <c r="G5946" s="1"/>
      <c r="N5946" s="1"/>
    </row>
    <row r="5947" spans="7:14" x14ac:dyDescent="0.35">
      <c r="G5947" s="1"/>
      <c r="N5947" s="1"/>
    </row>
    <row r="5948" spans="7:14" x14ac:dyDescent="0.35">
      <c r="G5948" s="1"/>
      <c r="N5948" s="1"/>
    </row>
    <row r="5949" spans="7:14" x14ac:dyDescent="0.35">
      <c r="G5949" s="1"/>
      <c r="N5949" s="1"/>
    </row>
    <row r="5950" spans="7:14" x14ac:dyDescent="0.35">
      <c r="G5950" s="1"/>
      <c r="N5950" s="1"/>
    </row>
    <row r="5951" spans="7:14" x14ac:dyDescent="0.35">
      <c r="G5951" s="1"/>
      <c r="N5951" s="1"/>
    </row>
    <row r="5952" spans="7:14" x14ac:dyDescent="0.35">
      <c r="G5952" s="1"/>
      <c r="N5952" s="1"/>
    </row>
    <row r="5953" spans="7:14" x14ac:dyDescent="0.35">
      <c r="G5953" s="1"/>
      <c r="N5953" s="1"/>
    </row>
    <row r="5954" spans="7:14" x14ac:dyDescent="0.35">
      <c r="G5954" s="1"/>
      <c r="N5954" s="1"/>
    </row>
    <row r="5955" spans="7:14" x14ac:dyDescent="0.35">
      <c r="G5955" s="1"/>
      <c r="N5955" s="1"/>
    </row>
    <row r="5956" spans="7:14" x14ac:dyDescent="0.35">
      <c r="G5956" s="1"/>
      <c r="N5956" s="1"/>
    </row>
    <row r="5957" spans="7:14" x14ac:dyDescent="0.35">
      <c r="G5957" s="1"/>
      <c r="N5957" s="1"/>
    </row>
    <row r="5958" spans="7:14" x14ac:dyDescent="0.35">
      <c r="G5958" s="1"/>
      <c r="N5958" s="1"/>
    </row>
    <row r="5959" spans="7:14" x14ac:dyDescent="0.35">
      <c r="G5959" s="1"/>
      <c r="N5959" s="1"/>
    </row>
    <row r="5960" spans="7:14" x14ac:dyDescent="0.35">
      <c r="G5960" s="1"/>
      <c r="N5960" s="1"/>
    </row>
    <row r="5961" spans="7:14" x14ac:dyDescent="0.35">
      <c r="G5961" s="1"/>
      <c r="N5961" s="1"/>
    </row>
    <row r="5962" spans="7:14" x14ac:dyDescent="0.35">
      <c r="G5962" s="1"/>
      <c r="N5962" s="1"/>
    </row>
    <row r="5963" spans="7:14" x14ac:dyDescent="0.35">
      <c r="G5963" s="1"/>
      <c r="N5963" s="1"/>
    </row>
    <row r="5964" spans="7:14" x14ac:dyDescent="0.35">
      <c r="G5964" s="1"/>
      <c r="N5964" s="1"/>
    </row>
    <row r="5965" spans="7:14" x14ac:dyDescent="0.35">
      <c r="G5965" s="1"/>
      <c r="N5965" s="1"/>
    </row>
    <row r="5966" spans="7:14" x14ac:dyDescent="0.35">
      <c r="G5966" s="1"/>
      <c r="N5966" s="1"/>
    </row>
    <row r="5967" spans="7:14" x14ac:dyDescent="0.35">
      <c r="G5967" s="1"/>
      <c r="N5967" s="1"/>
    </row>
    <row r="5968" spans="7:14" x14ac:dyDescent="0.35">
      <c r="G5968" s="1"/>
      <c r="N5968" s="1"/>
    </row>
    <row r="5969" spans="7:14" x14ac:dyDescent="0.35">
      <c r="G5969" s="1"/>
      <c r="N5969" s="1"/>
    </row>
    <row r="5970" spans="7:14" x14ac:dyDescent="0.35">
      <c r="G5970" s="1"/>
      <c r="N5970" s="1"/>
    </row>
    <row r="5971" spans="7:14" x14ac:dyDescent="0.35">
      <c r="G5971" s="1"/>
      <c r="N5971" s="1"/>
    </row>
    <row r="5972" spans="7:14" x14ac:dyDescent="0.35">
      <c r="G5972" s="1"/>
      <c r="N5972" s="1"/>
    </row>
    <row r="5973" spans="7:14" x14ac:dyDescent="0.35">
      <c r="G5973" s="1"/>
      <c r="N5973" s="1"/>
    </row>
    <row r="5974" spans="7:14" x14ac:dyDescent="0.35">
      <c r="G5974" s="1"/>
      <c r="N5974" s="1"/>
    </row>
    <row r="5975" spans="7:14" x14ac:dyDescent="0.35">
      <c r="G5975" s="1"/>
      <c r="N5975" s="1"/>
    </row>
    <row r="5976" spans="7:14" x14ac:dyDescent="0.35">
      <c r="G5976" s="1"/>
      <c r="N5976" s="1"/>
    </row>
    <row r="5977" spans="7:14" x14ac:dyDescent="0.35">
      <c r="G5977" s="1"/>
      <c r="N5977" s="1"/>
    </row>
    <row r="5978" spans="7:14" x14ac:dyDescent="0.35">
      <c r="G5978" s="1"/>
      <c r="N5978" s="1"/>
    </row>
    <row r="5979" spans="7:14" x14ac:dyDescent="0.35">
      <c r="G5979" s="1"/>
      <c r="N5979" s="1"/>
    </row>
    <row r="5980" spans="7:14" x14ac:dyDescent="0.35">
      <c r="G5980" s="1"/>
      <c r="N5980" s="1"/>
    </row>
    <row r="5981" spans="7:14" x14ac:dyDescent="0.35">
      <c r="G5981" s="1"/>
      <c r="N5981" s="1"/>
    </row>
    <row r="5982" spans="7:14" x14ac:dyDescent="0.35">
      <c r="G5982" s="1"/>
      <c r="N5982" s="1"/>
    </row>
    <row r="5983" spans="7:14" x14ac:dyDescent="0.35">
      <c r="G5983" s="1"/>
      <c r="N5983" s="1"/>
    </row>
    <row r="5984" spans="7:14" x14ac:dyDescent="0.35">
      <c r="G5984" s="1"/>
      <c r="N5984" s="1"/>
    </row>
    <row r="5985" spans="7:14" x14ac:dyDescent="0.35">
      <c r="G5985" s="1"/>
      <c r="N5985" s="1"/>
    </row>
    <row r="5986" spans="7:14" x14ac:dyDescent="0.35">
      <c r="G5986" s="1"/>
      <c r="N5986" s="1"/>
    </row>
    <row r="5987" spans="7:14" x14ac:dyDescent="0.35">
      <c r="G5987" s="1"/>
      <c r="N5987" s="1"/>
    </row>
    <row r="5988" spans="7:14" x14ac:dyDescent="0.35">
      <c r="G5988" s="1"/>
      <c r="N5988" s="1"/>
    </row>
    <row r="5989" spans="7:14" x14ac:dyDescent="0.35">
      <c r="G5989" s="1"/>
      <c r="N5989" s="1"/>
    </row>
    <row r="5990" spans="7:14" x14ac:dyDescent="0.35">
      <c r="G5990" s="1"/>
      <c r="N5990" s="1"/>
    </row>
    <row r="5991" spans="7:14" x14ac:dyDescent="0.35">
      <c r="G5991" s="1"/>
      <c r="N5991" s="1"/>
    </row>
    <row r="5992" spans="7:14" x14ac:dyDescent="0.35">
      <c r="G5992" s="1"/>
      <c r="N5992" s="1"/>
    </row>
    <row r="5993" spans="7:14" x14ac:dyDescent="0.35">
      <c r="G5993" s="1"/>
      <c r="N5993" s="1"/>
    </row>
    <row r="5994" spans="7:14" x14ac:dyDescent="0.35">
      <c r="G5994" s="1"/>
      <c r="N5994" s="1"/>
    </row>
    <row r="5995" spans="7:14" x14ac:dyDescent="0.35">
      <c r="G5995" s="1"/>
      <c r="N5995" s="1"/>
    </row>
    <row r="5996" spans="7:14" x14ac:dyDescent="0.35">
      <c r="G5996" s="1"/>
      <c r="N5996" s="1"/>
    </row>
    <row r="5997" spans="7:14" x14ac:dyDescent="0.35">
      <c r="G5997" s="1"/>
      <c r="N5997" s="1"/>
    </row>
    <row r="5998" spans="7:14" x14ac:dyDescent="0.35">
      <c r="G5998" s="1"/>
      <c r="N5998" s="1"/>
    </row>
    <row r="5999" spans="7:14" x14ac:dyDescent="0.35">
      <c r="G5999" s="1"/>
      <c r="N5999" s="1"/>
    </row>
    <row r="6000" spans="7:14" x14ac:dyDescent="0.35">
      <c r="G6000" s="1"/>
      <c r="N6000" s="1"/>
    </row>
    <row r="6001" spans="7:14" x14ac:dyDescent="0.35">
      <c r="G6001" s="1"/>
      <c r="N6001" s="1"/>
    </row>
    <row r="6002" spans="7:14" x14ac:dyDescent="0.35">
      <c r="G6002" s="1"/>
      <c r="N6002" s="1"/>
    </row>
    <row r="6003" spans="7:14" x14ac:dyDescent="0.35">
      <c r="G6003" s="1"/>
      <c r="N6003" s="1"/>
    </row>
    <row r="6004" spans="7:14" x14ac:dyDescent="0.35">
      <c r="G6004" s="1"/>
      <c r="N6004" s="1"/>
    </row>
    <row r="6005" spans="7:14" x14ac:dyDescent="0.35">
      <c r="G6005" s="1"/>
      <c r="N6005" s="1"/>
    </row>
    <row r="6006" spans="7:14" x14ac:dyDescent="0.35">
      <c r="G6006" s="1"/>
      <c r="N6006" s="1"/>
    </row>
    <row r="6007" spans="7:14" x14ac:dyDescent="0.35">
      <c r="G6007" s="1"/>
      <c r="N6007" s="1"/>
    </row>
    <row r="6008" spans="7:14" x14ac:dyDescent="0.35">
      <c r="G6008" s="1"/>
      <c r="N6008" s="1"/>
    </row>
    <row r="6009" spans="7:14" x14ac:dyDescent="0.35">
      <c r="G6009" s="1"/>
      <c r="N6009" s="1"/>
    </row>
    <row r="6010" spans="7:14" x14ac:dyDescent="0.35">
      <c r="G6010" s="1"/>
      <c r="N6010" s="1"/>
    </row>
    <row r="6011" spans="7:14" x14ac:dyDescent="0.35">
      <c r="G6011" s="1"/>
      <c r="N6011" s="1"/>
    </row>
    <row r="6012" spans="7:14" x14ac:dyDescent="0.35">
      <c r="G6012" s="1"/>
      <c r="N6012" s="1"/>
    </row>
    <row r="6013" spans="7:14" x14ac:dyDescent="0.35">
      <c r="G6013" s="1"/>
      <c r="N6013" s="1"/>
    </row>
    <row r="6014" spans="7:14" x14ac:dyDescent="0.35">
      <c r="G6014" s="1"/>
      <c r="N6014" s="1"/>
    </row>
    <row r="6015" spans="7:14" x14ac:dyDescent="0.35">
      <c r="G6015" s="1"/>
      <c r="N6015" s="1"/>
    </row>
    <row r="6016" spans="7:14" x14ac:dyDescent="0.35">
      <c r="G6016" s="1"/>
      <c r="N6016" s="1"/>
    </row>
    <row r="6017" spans="7:14" x14ac:dyDescent="0.35">
      <c r="G6017" s="1"/>
      <c r="N6017" s="1"/>
    </row>
    <row r="6018" spans="7:14" x14ac:dyDescent="0.35">
      <c r="G6018" s="1"/>
      <c r="N6018" s="1"/>
    </row>
    <row r="6019" spans="7:14" x14ac:dyDescent="0.35">
      <c r="G6019" s="1"/>
      <c r="N6019" s="1"/>
    </row>
    <row r="6020" spans="7:14" x14ac:dyDescent="0.35">
      <c r="G6020" s="1"/>
      <c r="N6020" s="1"/>
    </row>
    <row r="6021" spans="7:14" x14ac:dyDescent="0.35">
      <c r="G6021" s="1"/>
      <c r="N6021" s="1"/>
    </row>
    <row r="6022" spans="7:14" x14ac:dyDescent="0.35">
      <c r="G6022" s="1"/>
      <c r="N6022" s="1"/>
    </row>
    <row r="6023" spans="7:14" x14ac:dyDescent="0.35">
      <c r="G6023" s="1"/>
      <c r="N6023" s="1"/>
    </row>
    <row r="6024" spans="7:14" x14ac:dyDescent="0.35">
      <c r="G6024" s="1"/>
      <c r="N6024" s="1"/>
    </row>
    <row r="6025" spans="7:14" x14ac:dyDescent="0.35">
      <c r="G6025" s="1"/>
      <c r="N6025" s="1"/>
    </row>
    <row r="6026" spans="7:14" x14ac:dyDescent="0.35">
      <c r="G6026" s="1"/>
      <c r="N6026" s="1"/>
    </row>
    <row r="6027" spans="7:14" x14ac:dyDescent="0.35">
      <c r="G6027" s="1"/>
      <c r="N6027" s="1"/>
    </row>
    <row r="6028" spans="7:14" x14ac:dyDescent="0.35">
      <c r="G6028" s="1"/>
      <c r="N6028" s="1"/>
    </row>
    <row r="6029" spans="7:14" x14ac:dyDescent="0.35">
      <c r="G6029" s="1"/>
      <c r="N6029" s="1"/>
    </row>
    <row r="6030" spans="7:14" x14ac:dyDescent="0.35">
      <c r="G6030" s="1"/>
      <c r="N6030" s="1"/>
    </row>
    <row r="6031" spans="7:14" x14ac:dyDescent="0.35">
      <c r="G6031" s="1"/>
      <c r="N6031" s="1"/>
    </row>
    <row r="6032" spans="7:14" x14ac:dyDescent="0.35">
      <c r="G6032" s="1"/>
      <c r="N6032" s="1"/>
    </row>
    <row r="6033" spans="7:14" x14ac:dyDescent="0.35">
      <c r="G6033" s="1"/>
      <c r="N6033" s="1"/>
    </row>
    <row r="6034" spans="7:14" x14ac:dyDescent="0.35">
      <c r="G6034" s="1"/>
      <c r="N6034" s="1"/>
    </row>
    <row r="6035" spans="7:14" x14ac:dyDescent="0.35">
      <c r="G6035" s="1"/>
      <c r="N6035" s="1"/>
    </row>
    <row r="6036" spans="7:14" x14ac:dyDescent="0.35">
      <c r="G6036" s="1"/>
      <c r="N6036" s="1"/>
    </row>
    <row r="6037" spans="7:14" x14ac:dyDescent="0.35">
      <c r="G6037" s="1"/>
      <c r="N6037" s="1"/>
    </row>
    <row r="6038" spans="7:14" x14ac:dyDescent="0.35">
      <c r="G6038" s="1"/>
      <c r="N6038" s="1"/>
    </row>
    <row r="6039" spans="7:14" x14ac:dyDescent="0.35">
      <c r="G6039" s="1"/>
      <c r="N6039" s="1"/>
    </row>
    <row r="6040" spans="7:14" x14ac:dyDescent="0.35">
      <c r="G6040" s="1"/>
      <c r="N6040" s="1"/>
    </row>
    <row r="6041" spans="7:14" x14ac:dyDescent="0.35">
      <c r="G6041" s="1"/>
      <c r="N6041" s="1"/>
    </row>
    <row r="6042" spans="7:14" x14ac:dyDescent="0.35">
      <c r="G6042" s="1"/>
      <c r="N6042" s="1"/>
    </row>
    <row r="6043" spans="7:14" x14ac:dyDescent="0.35">
      <c r="G6043" s="1"/>
      <c r="N6043" s="1"/>
    </row>
    <row r="6044" spans="7:14" x14ac:dyDescent="0.35">
      <c r="G6044" s="1"/>
      <c r="N6044" s="1"/>
    </row>
    <row r="6045" spans="7:14" x14ac:dyDescent="0.35">
      <c r="G6045" s="1"/>
      <c r="N6045" s="1"/>
    </row>
    <row r="6046" spans="7:14" x14ac:dyDescent="0.35">
      <c r="G6046" s="1"/>
      <c r="N6046" s="1"/>
    </row>
    <row r="6047" spans="7:14" x14ac:dyDescent="0.35">
      <c r="G6047" s="1"/>
      <c r="N6047" s="1"/>
    </row>
    <row r="6048" spans="7:14" x14ac:dyDescent="0.35">
      <c r="G6048" s="1"/>
      <c r="N6048" s="1"/>
    </row>
    <row r="6049" spans="7:14" x14ac:dyDescent="0.35">
      <c r="G6049" s="1"/>
      <c r="N6049" s="1"/>
    </row>
    <row r="6050" spans="7:14" x14ac:dyDescent="0.35">
      <c r="G6050" s="1"/>
      <c r="N6050" s="1"/>
    </row>
    <row r="6051" spans="7:14" x14ac:dyDescent="0.35">
      <c r="G6051" s="1"/>
      <c r="N6051" s="1"/>
    </row>
    <row r="6052" spans="7:14" x14ac:dyDescent="0.35">
      <c r="G6052" s="1"/>
      <c r="N6052" s="1"/>
    </row>
    <row r="6053" spans="7:14" x14ac:dyDescent="0.35">
      <c r="G6053" s="1"/>
      <c r="N6053" s="1"/>
    </row>
    <row r="6054" spans="7:14" x14ac:dyDescent="0.35">
      <c r="G6054" s="1"/>
      <c r="N6054" s="1"/>
    </row>
    <row r="6055" spans="7:14" x14ac:dyDescent="0.35">
      <c r="G6055" s="1"/>
      <c r="N6055" s="1"/>
    </row>
    <row r="6056" spans="7:14" x14ac:dyDescent="0.35">
      <c r="G6056" s="1"/>
      <c r="N6056" s="1"/>
    </row>
    <row r="6057" spans="7:14" x14ac:dyDescent="0.35">
      <c r="G6057" s="1"/>
      <c r="N6057" s="1"/>
    </row>
    <row r="6058" spans="7:14" x14ac:dyDescent="0.35">
      <c r="G6058" s="1"/>
      <c r="N6058" s="1"/>
    </row>
    <row r="6059" spans="7:14" x14ac:dyDescent="0.35">
      <c r="G6059" s="1"/>
      <c r="N6059" s="1"/>
    </row>
    <row r="6060" spans="7:14" x14ac:dyDescent="0.35">
      <c r="G6060" s="1"/>
      <c r="N6060" s="1"/>
    </row>
    <row r="6061" spans="7:14" x14ac:dyDescent="0.35">
      <c r="G6061" s="1"/>
      <c r="N6061" s="1"/>
    </row>
    <row r="6062" spans="7:14" x14ac:dyDescent="0.35">
      <c r="G6062" s="1"/>
      <c r="N6062" s="1"/>
    </row>
    <row r="6063" spans="7:14" x14ac:dyDescent="0.35">
      <c r="G6063" s="1"/>
      <c r="N6063" s="1"/>
    </row>
    <row r="6064" spans="7:14" x14ac:dyDescent="0.35">
      <c r="G6064" s="1"/>
      <c r="N6064" s="1"/>
    </row>
    <row r="6065" spans="7:14" x14ac:dyDescent="0.35">
      <c r="G6065" s="1"/>
      <c r="N6065" s="1"/>
    </row>
    <row r="6066" spans="7:14" x14ac:dyDescent="0.35">
      <c r="G6066" s="1"/>
      <c r="N6066" s="1"/>
    </row>
    <row r="6067" spans="7:14" x14ac:dyDescent="0.35">
      <c r="G6067" s="1"/>
      <c r="N6067" s="1"/>
    </row>
    <row r="6068" spans="7:14" x14ac:dyDescent="0.35">
      <c r="G6068" s="1"/>
      <c r="N6068" s="1"/>
    </row>
    <row r="6069" spans="7:14" x14ac:dyDescent="0.35">
      <c r="G6069" s="1"/>
      <c r="N6069" s="1"/>
    </row>
    <row r="6070" spans="7:14" x14ac:dyDescent="0.35">
      <c r="G6070" s="1"/>
      <c r="N6070" s="1"/>
    </row>
    <row r="6071" spans="7:14" x14ac:dyDescent="0.35">
      <c r="G6071" s="1"/>
      <c r="N6071" s="1"/>
    </row>
    <row r="6072" spans="7:14" x14ac:dyDescent="0.35">
      <c r="G6072" s="1"/>
      <c r="N6072" s="1"/>
    </row>
    <row r="6073" spans="7:14" x14ac:dyDescent="0.35">
      <c r="G6073" s="1"/>
      <c r="N6073" s="1"/>
    </row>
    <row r="6074" spans="7:14" x14ac:dyDescent="0.35">
      <c r="G6074" s="1"/>
      <c r="N6074" s="1"/>
    </row>
    <row r="6075" spans="7:14" x14ac:dyDescent="0.35">
      <c r="G6075" s="1"/>
      <c r="N6075" s="1"/>
    </row>
    <row r="6076" spans="7:14" x14ac:dyDescent="0.35">
      <c r="G6076" s="1"/>
      <c r="N6076" s="1"/>
    </row>
    <row r="6077" spans="7:14" x14ac:dyDescent="0.35">
      <c r="G6077" s="1"/>
      <c r="N6077" s="1"/>
    </row>
    <row r="6078" spans="7:14" x14ac:dyDescent="0.35">
      <c r="G6078" s="1"/>
      <c r="N6078" s="1"/>
    </row>
    <row r="6079" spans="7:14" x14ac:dyDescent="0.35">
      <c r="G6079" s="1"/>
      <c r="N6079" s="1"/>
    </row>
    <row r="6080" spans="7:14" x14ac:dyDescent="0.35">
      <c r="G6080" s="1"/>
      <c r="N6080" s="1"/>
    </row>
    <row r="6081" spans="7:14" x14ac:dyDescent="0.35">
      <c r="G6081" s="1"/>
      <c r="N6081" s="1"/>
    </row>
    <row r="6082" spans="7:14" x14ac:dyDescent="0.35">
      <c r="G6082" s="1"/>
      <c r="N6082" s="1"/>
    </row>
    <row r="6083" spans="7:14" x14ac:dyDescent="0.35">
      <c r="G6083" s="1"/>
      <c r="N6083" s="1"/>
    </row>
    <row r="6084" spans="7:14" x14ac:dyDescent="0.35">
      <c r="G6084" s="1"/>
      <c r="N6084" s="1"/>
    </row>
    <row r="6085" spans="7:14" x14ac:dyDescent="0.35">
      <c r="G6085" s="1"/>
      <c r="N6085" s="1"/>
    </row>
    <row r="6086" spans="7:14" x14ac:dyDescent="0.35">
      <c r="G6086" s="1"/>
      <c r="N6086" s="1"/>
    </row>
    <row r="6087" spans="7:14" x14ac:dyDescent="0.35">
      <c r="G6087" s="1"/>
      <c r="N6087" s="1"/>
    </row>
    <row r="6088" spans="7:14" x14ac:dyDescent="0.35">
      <c r="G6088" s="1"/>
      <c r="N6088" s="1"/>
    </row>
    <row r="6089" spans="7:14" x14ac:dyDescent="0.35">
      <c r="G6089" s="1"/>
      <c r="N6089" s="1"/>
    </row>
    <row r="6090" spans="7:14" x14ac:dyDescent="0.35">
      <c r="G6090" s="1"/>
      <c r="N6090" s="1"/>
    </row>
    <row r="6091" spans="7:14" x14ac:dyDescent="0.35">
      <c r="G6091" s="1"/>
      <c r="N6091" s="1"/>
    </row>
    <row r="6092" spans="7:14" x14ac:dyDescent="0.35">
      <c r="G6092" s="1"/>
      <c r="N6092" s="1"/>
    </row>
    <row r="6093" spans="7:14" x14ac:dyDescent="0.35">
      <c r="G6093" s="1"/>
      <c r="N6093" s="1"/>
    </row>
    <row r="6094" spans="7:14" x14ac:dyDescent="0.35">
      <c r="G6094" s="1"/>
      <c r="N6094" s="1"/>
    </row>
    <row r="6095" spans="7:14" x14ac:dyDescent="0.35">
      <c r="G6095" s="1"/>
      <c r="N6095" s="1"/>
    </row>
    <row r="6096" spans="7:14" x14ac:dyDescent="0.35">
      <c r="G6096" s="1"/>
      <c r="N6096" s="1"/>
    </row>
    <row r="6097" spans="7:14" x14ac:dyDescent="0.35">
      <c r="G6097" s="1"/>
      <c r="N6097" s="1"/>
    </row>
    <row r="6098" spans="7:14" x14ac:dyDescent="0.35">
      <c r="G6098" s="1"/>
      <c r="N6098" s="1"/>
    </row>
    <row r="6099" spans="7:14" x14ac:dyDescent="0.35">
      <c r="G6099" s="1"/>
      <c r="N6099" s="1"/>
    </row>
    <row r="6100" spans="7:14" x14ac:dyDescent="0.35">
      <c r="G6100" s="1"/>
      <c r="N6100" s="1"/>
    </row>
    <row r="6101" spans="7:14" x14ac:dyDescent="0.35">
      <c r="G6101" s="1"/>
      <c r="N6101" s="1"/>
    </row>
    <row r="6102" spans="7:14" x14ac:dyDescent="0.35">
      <c r="G6102" s="1"/>
      <c r="N6102" s="1"/>
    </row>
    <row r="6103" spans="7:14" x14ac:dyDescent="0.35">
      <c r="G6103" s="1"/>
      <c r="N6103" s="1"/>
    </row>
    <row r="6104" spans="7:14" x14ac:dyDescent="0.35">
      <c r="G6104" s="1"/>
      <c r="N6104" s="1"/>
    </row>
    <row r="6105" spans="7:14" x14ac:dyDescent="0.35">
      <c r="G6105" s="1"/>
      <c r="N6105" s="1"/>
    </row>
    <row r="6106" spans="7:14" x14ac:dyDescent="0.35">
      <c r="G6106" s="1"/>
      <c r="N6106" s="1"/>
    </row>
    <row r="6107" spans="7:14" x14ac:dyDescent="0.35">
      <c r="G6107" s="1"/>
      <c r="N6107" s="1"/>
    </row>
    <row r="6108" spans="7:14" x14ac:dyDescent="0.35">
      <c r="G6108" s="1"/>
      <c r="N6108" s="1"/>
    </row>
    <row r="6109" spans="7:14" x14ac:dyDescent="0.35">
      <c r="G6109" s="1"/>
      <c r="N6109" s="1"/>
    </row>
    <row r="6110" spans="7:14" x14ac:dyDescent="0.35">
      <c r="G6110" s="1"/>
      <c r="N6110" s="1"/>
    </row>
    <row r="6111" spans="7:14" x14ac:dyDescent="0.35">
      <c r="G6111" s="1"/>
      <c r="N6111" s="1"/>
    </row>
    <row r="6112" spans="7:14" x14ac:dyDescent="0.35">
      <c r="G6112" s="1"/>
      <c r="N6112" s="1"/>
    </row>
    <row r="6113" spans="7:14" x14ac:dyDescent="0.35">
      <c r="G6113" s="1"/>
      <c r="N6113" s="1"/>
    </row>
    <row r="6114" spans="7:14" x14ac:dyDescent="0.35">
      <c r="G6114" s="1"/>
      <c r="N6114" s="1"/>
    </row>
    <row r="6115" spans="7:14" x14ac:dyDescent="0.35">
      <c r="G6115" s="1"/>
      <c r="N6115" s="1"/>
    </row>
    <row r="6116" spans="7:14" x14ac:dyDescent="0.35">
      <c r="G6116" s="1"/>
      <c r="N6116" s="1"/>
    </row>
    <row r="6117" spans="7:14" x14ac:dyDescent="0.35">
      <c r="G6117" s="1"/>
      <c r="N6117" s="1"/>
    </row>
    <row r="6118" spans="7:14" x14ac:dyDescent="0.35">
      <c r="G6118" s="1"/>
      <c r="N6118" s="1"/>
    </row>
    <row r="6119" spans="7:14" x14ac:dyDescent="0.35">
      <c r="G6119" s="1"/>
      <c r="N6119" s="1"/>
    </row>
    <row r="6120" spans="7:14" x14ac:dyDescent="0.35">
      <c r="G6120" s="1"/>
      <c r="N6120" s="1"/>
    </row>
    <row r="6121" spans="7:14" x14ac:dyDescent="0.35">
      <c r="G6121" s="1"/>
      <c r="N6121" s="1"/>
    </row>
    <row r="6122" spans="7:14" x14ac:dyDescent="0.35">
      <c r="G6122" s="1"/>
      <c r="N6122" s="1"/>
    </row>
    <row r="6123" spans="7:14" x14ac:dyDescent="0.35">
      <c r="G6123" s="1"/>
      <c r="N6123" s="1"/>
    </row>
    <row r="6124" spans="7:14" x14ac:dyDescent="0.35">
      <c r="G6124" s="1"/>
      <c r="N6124" s="1"/>
    </row>
    <row r="6125" spans="7:14" x14ac:dyDescent="0.35">
      <c r="G6125" s="1"/>
      <c r="N6125" s="1"/>
    </row>
    <row r="6126" spans="7:14" x14ac:dyDescent="0.35">
      <c r="G6126" s="1"/>
      <c r="N6126" s="1"/>
    </row>
    <row r="6127" spans="7:14" x14ac:dyDescent="0.35">
      <c r="G6127" s="1"/>
      <c r="N6127" s="1"/>
    </row>
    <row r="6128" spans="7:14" x14ac:dyDescent="0.35">
      <c r="G6128" s="1"/>
      <c r="N6128" s="1"/>
    </row>
    <row r="6129" spans="7:14" x14ac:dyDescent="0.35">
      <c r="G6129" s="1"/>
      <c r="N6129" s="1"/>
    </row>
    <row r="6130" spans="7:14" x14ac:dyDescent="0.35">
      <c r="G6130" s="1"/>
      <c r="N6130" s="1"/>
    </row>
    <row r="6131" spans="7:14" x14ac:dyDescent="0.35">
      <c r="G6131" s="1"/>
      <c r="N6131" s="1"/>
    </row>
    <row r="6132" spans="7:14" x14ac:dyDescent="0.35">
      <c r="G6132" s="1"/>
      <c r="N6132" s="1"/>
    </row>
    <row r="6133" spans="7:14" x14ac:dyDescent="0.35">
      <c r="G6133" s="1"/>
      <c r="N6133" s="1"/>
    </row>
    <row r="6134" spans="7:14" x14ac:dyDescent="0.35">
      <c r="G6134" s="1"/>
      <c r="N6134" s="1"/>
    </row>
    <row r="6135" spans="7:14" x14ac:dyDescent="0.35">
      <c r="G6135" s="1"/>
      <c r="N6135" s="1"/>
    </row>
    <row r="6136" spans="7:14" x14ac:dyDescent="0.35">
      <c r="G6136" s="1"/>
      <c r="N6136" s="1"/>
    </row>
    <row r="6137" spans="7:14" x14ac:dyDescent="0.35">
      <c r="G6137" s="1"/>
      <c r="N6137" s="1"/>
    </row>
    <row r="6138" spans="7:14" x14ac:dyDescent="0.35">
      <c r="G6138" s="1"/>
      <c r="N6138" s="1"/>
    </row>
    <row r="6139" spans="7:14" x14ac:dyDescent="0.35">
      <c r="G6139" s="1"/>
      <c r="N6139" s="1"/>
    </row>
    <row r="6140" spans="7:14" x14ac:dyDescent="0.35">
      <c r="G6140" s="1"/>
      <c r="N6140" s="1"/>
    </row>
    <row r="6141" spans="7:14" x14ac:dyDescent="0.35">
      <c r="G6141" s="1"/>
      <c r="N6141" s="1"/>
    </row>
    <row r="6142" spans="7:14" x14ac:dyDescent="0.35">
      <c r="G6142" s="1"/>
      <c r="N6142" s="1"/>
    </row>
    <row r="6143" spans="7:14" x14ac:dyDescent="0.35">
      <c r="G6143" s="1"/>
      <c r="N6143" s="1"/>
    </row>
    <row r="6144" spans="7:14" x14ac:dyDescent="0.35">
      <c r="G6144" s="1"/>
      <c r="N6144" s="1"/>
    </row>
    <row r="6145" spans="7:14" x14ac:dyDescent="0.35">
      <c r="G6145" s="1"/>
      <c r="N6145" s="1"/>
    </row>
    <row r="6146" spans="7:14" x14ac:dyDescent="0.35">
      <c r="G6146" s="1"/>
      <c r="N6146" s="1"/>
    </row>
    <row r="6147" spans="7:14" x14ac:dyDescent="0.35">
      <c r="G6147" s="1"/>
      <c r="N6147" s="1"/>
    </row>
    <row r="6148" spans="7:14" x14ac:dyDescent="0.35">
      <c r="G6148" s="1"/>
      <c r="N6148" s="1"/>
    </row>
    <row r="6149" spans="7:14" x14ac:dyDescent="0.35">
      <c r="G6149" s="1"/>
      <c r="N6149" s="1"/>
    </row>
    <row r="6150" spans="7:14" x14ac:dyDescent="0.35">
      <c r="G6150" s="1"/>
      <c r="N6150" s="1"/>
    </row>
    <row r="6151" spans="7:14" x14ac:dyDescent="0.35">
      <c r="G6151" s="1"/>
      <c r="N6151" s="1"/>
    </row>
    <row r="6152" spans="7:14" x14ac:dyDescent="0.35">
      <c r="G6152" s="1"/>
      <c r="N6152" s="1"/>
    </row>
    <row r="6153" spans="7:14" x14ac:dyDescent="0.35">
      <c r="G6153" s="1"/>
      <c r="N6153" s="1"/>
    </row>
    <row r="6154" spans="7:14" x14ac:dyDescent="0.35">
      <c r="G6154" s="1"/>
      <c r="N6154" s="1"/>
    </row>
    <row r="6155" spans="7:14" x14ac:dyDescent="0.35">
      <c r="G6155" s="1"/>
      <c r="N6155" s="1"/>
    </row>
    <row r="6156" spans="7:14" x14ac:dyDescent="0.35">
      <c r="G6156" s="1"/>
      <c r="N6156" s="1"/>
    </row>
    <row r="6157" spans="7:14" x14ac:dyDescent="0.35">
      <c r="G6157" s="1"/>
      <c r="N6157" s="1"/>
    </row>
    <row r="6158" spans="7:14" x14ac:dyDescent="0.35">
      <c r="G6158" s="1"/>
      <c r="N6158" s="1"/>
    </row>
    <row r="6159" spans="7:14" x14ac:dyDescent="0.35">
      <c r="G6159" s="1"/>
      <c r="N6159" s="1"/>
    </row>
    <row r="6160" spans="7:14" x14ac:dyDescent="0.35">
      <c r="G6160" s="1"/>
      <c r="N6160" s="1"/>
    </row>
    <row r="6161" spans="7:14" x14ac:dyDescent="0.35">
      <c r="G6161" s="1"/>
      <c r="N6161" s="1"/>
    </row>
    <row r="6162" spans="7:14" x14ac:dyDescent="0.35">
      <c r="G6162" s="1"/>
      <c r="N6162" s="1"/>
    </row>
    <row r="6163" spans="7:14" x14ac:dyDescent="0.35">
      <c r="G6163" s="1"/>
      <c r="N6163" s="1"/>
    </row>
    <row r="6164" spans="7:14" x14ac:dyDescent="0.35">
      <c r="G6164" s="1"/>
      <c r="N6164" s="1"/>
    </row>
    <row r="6165" spans="7:14" x14ac:dyDescent="0.35">
      <c r="G6165" s="1"/>
      <c r="N6165" s="1"/>
    </row>
    <row r="6166" spans="7:14" x14ac:dyDescent="0.35">
      <c r="G6166" s="1"/>
      <c r="N6166" s="1"/>
    </row>
    <row r="6167" spans="7:14" x14ac:dyDescent="0.35">
      <c r="G6167" s="1"/>
      <c r="N6167" s="1"/>
    </row>
    <row r="6168" spans="7:14" x14ac:dyDescent="0.35">
      <c r="G6168" s="1"/>
      <c r="N6168" s="1"/>
    </row>
    <row r="6169" spans="7:14" x14ac:dyDescent="0.35">
      <c r="G6169" s="1"/>
      <c r="N6169" s="1"/>
    </row>
    <row r="6170" spans="7:14" x14ac:dyDescent="0.35">
      <c r="G6170" s="1"/>
      <c r="N6170" s="1"/>
    </row>
    <row r="6171" spans="7:14" x14ac:dyDescent="0.35">
      <c r="G6171" s="1"/>
      <c r="N6171" s="1"/>
    </row>
    <row r="6172" spans="7:14" x14ac:dyDescent="0.35">
      <c r="G6172" s="1"/>
      <c r="N6172" s="1"/>
    </row>
    <row r="6173" spans="7:14" x14ac:dyDescent="0.35">
      <c r="G6173" s="1"/>
      <c r="N6173" s="1"/>
    </row>
    <row r="6174" spans="7:14" x14ac:dyDescent="0.35">
      <c r="G6174" s="1"/>
      <c r="N6174" s="1"/>
    </row>
    <row r="6175" spans="7:14" x14ac:dyDescent="0.35">
      <c r="G6175" s="1"/>
      <c r="N6175" s="1"/>
    </row>
    <row r="6176" spans="7:14" x14ac:dyDescent="0.35">
      <c r="G6176" s="1"/>
      <c r="N6176" s="1"/>
    </row>
    <row r="6177" spans="7:14" x14ac:dyDescent="0.35">
      <c r="G6177" s="1"/>
      <c r="N6177" s="1"/>
    </row>
    <row r="6178" spans="7:14" x14ac:dyDescent="0.35">
      <c r="G6178" s="1"/>
      <c r="N6178" s="1"/>
    </row>
    <row r="6179" spans="7:14" x14ac:dyDescent="0.35">
      <c r="G6179" s="1"/>
      <c r="N6179" s="1"/>
    </row>
    <row r="6180" spans="7:14" x14ac:dyDescent="0.35">
      <c r="G6180" s="1"/>
      <c r="N6180" s="1"/>
    </row>
    <row r="6181" spans="7:14" x14ac:dyDescent="0.35">
      <c r="G6181" s="1"/>
      <c r="N6181" s="1"/>
    </row>
    <row r="6182" spans="7:14" x14ac:dyDescent="0.35">
      <c r="G6182" s="1"/>
      <c r="N6182" s="1"/>
    </row>
    <row r="6183" spans="7:14" x14ac:dyDescent="0.35">
      <c r="G6183" s="1"/>
      <c r="N6183" s="1"/>
    </row>
    <row r="6184" spans="7:14" x14ac:dyDescent="0.35">
      <c r="G6184" s="1"/>
      <c r="N6184" s="1"/>
    </row>
    <row r="6185" spans="7:14" x14ac:dyDescent="0.35">
      <c r="G6185" s="1"/>
      <c r="N6185" s="1"/>
    </row>
    <row r="6186" spans="7:14" x14ac:dyDescent="0.35">
      <c r="G6186" s="1"/>
      <c r="N6186" s="1"/>
    </row>
    <row r="6187" spans="7:14" x14ac:dyDescent="0.35">
      <c r="G6187" s="1"/>
      <c r="N6187" s="1"/>
    </row>
    <row r="6188" spans="7:14" x14ac:dyDescent="0.35">
      <c r="G6188" s="1"/>
      <c r="N6188" s="1"/>
    </row>
    <row r="6189" spans="7:14" x14ac:dyDescent="0.35">
      <c r="G6189" s="1"/>
      <c r="N6189" s="1"/>
    </row>
    <row r="6190" spans="7:14" x14ac:dyDescent="0.35">
      <c r="G6190" s="1"/>
      <c r="N6190" s="1"/>
    </row>
    <row r="6191" spans="7:14" x14ac:dyDescent="0.35">
      <c r="G6191" s="1"/>
      <c r="N6191" s="1"/>
    </row>
    <row r="6192" spans="7:14" x14ac:dyDescent="0.35">
      <c r="G6192" s="1"/>
      <c r="N6192" s="1"/>
    </row>
    <row r="6193" spans="7:14" x14ac:dyDescent="0.35">
      <c r="G6193" s="1"/>
      <c r="N6193" s="1"/>
    </row>
    <row r="6194" spans="7:14" x14ac:dyDescent="0.35">
      <c r="G6194" s="1"/>
      <c r="N6194" s="1"/>
    </row>
    <row r="6195" spans="7:14" x14ac:dyDescent="0.35">
      <c r="G6195" s="1"/>
      <c r="N6195" s="1"/>
    </row>
    <row r="6196" spans="7:14" x14ac:dyDescent="0.35">
      <c r="G6196" s="1"/>
      <c r="N6196" s="1"/>
    </row>
    <row r="6197" spans="7:14" x14ac:dyDescent="0.35">
      <c r="G6197" s="1"/>
      <c r="N6197" s="1"/>
    </row>
    <row r="6198" spans="7:14" x14ac:dyDescent="0.35">
      <c r="G6198" s="1"/>
      <c r="N6198" s="1"/>
    </row>
    <row r="6199" spans="7:14" x14ac:dyDescent="0.35">
      <c r="G6199" s="1"/>
      <c r="N6199" s="1"/>
    </row>
    <row r="6200" spans="7:14" x14ac:dyDescent="0.35">
      <c r="G6200" s="1"/>
      <c r="N6200" s="1"/>
    </row>
    <row r="6201" spans="7:14" x14ac:dyDescent="0.35">
      <c r="G6201" s="1"/>
      <c r="N6201" s="1"/>
    </row>
    <row r="6202" spans="7:14" x14ac:dyDescent="0.35">
      <c r="G6202" s="1"/>
      <c r="N6202" s="1"/>
    </row>
    <row r="6203" spans="7:14" x14ac:dyDescent="0.35">
      <c r="G6203" s="1"/>
      <c r="N6203" s="1"/>
    </row>
    <row r="6204" spans="7:14" x14ac:dyDescent="0.35">
      <c r="G6204" s="1"/>
      <c r="N6204" s="1"/>
    </row>
    <row r="6205" spans="7:14" x14ac:dyDescent="0.35">
      <c r="G6205" s="1"/>
      <c r="N6205" s="1"/>
    </row>
    <row r="6206" spans="7:14" x14ac:dyDescent="0.35">
      <c r="G6206" s="1"/>
      <c r="N6206" s="1"/>
    </row>
    <row r="6207" spans="7:14" x14ac:dyDescent="0.35">
      <c r="G6207" s="1"/>
      <c r="N6207" s="1"/>
    </row>
    <row r="6208" spans="7:14" x14ac:dyDescent="0.35">
      <c r="G6208" s="1"/>
      <c r="N6208" s="1"/>
    </row>
    <row r="6209" spans="7:14" x14ac:dyDescent="0.35">
      <c r="G6209" s="1"/>
      <c r="N6209" s="1"/>
    </row>
    <row r="6210" spans="7:14" x14ac:dyDescent="0.35">
      <c r="G6210" s="1"/>
      <c r="N6210" s="1"/>
    </row>
    <row r="6211" spans="7:14" x14ac:dyDescent="0.35">
      <c r="G6211" s="1"/>
      <c r="N6211" s="1"/>
    </row>
    <row r="6212" spans="7:14" x14ac:dyDescent="0.35">
      <c r="G6212" s="1"/>
      <c r="N6212" s="1"/>
    </row>
    <row r="6213" spans="7:14" x14ac:dyDescent="0.35">
      <c r="G6213" s="1"/>
      <c r="N6213" s="1"/>
    </row>
    <row r="6214" spans="7:14" x14ac:dyDescent="0.35">
      <c r="G6214" s="1"/>
      <c r="N6214" s="1"/>
    </row>
    <row r="6215" spans="7:14" x14ac:dyDescent="0.35">
      <c r="G6215" s="1"/>
      <c r="N6215" s="1"/>
    </row>
    <row r="6216" spans="7:14" x14ac:dyDescent="0.35">
      <c r="G6216" s="1"/>
      <c r="N6216" s="1"/>
    </row>
    <row r="6217" spans="7:14" x14ac:dyDescent="0.35">
      <c r="G6217" s="1"/>
      <c r="N6217" s="1"/>
    </row>
    <row r="6218" spans="7:14" x14ac:dyDescent="0.35">
      <c r="G6218" s="1"/>
      <c r="N6218" s="1"/>
    </row>
    <row r="6219" spans="7:14" x14ac:dyDescent="0.35">
      <c r="G6219" s="1"/>
      <c r="N6219" s="1"/>
    </row>
    <row r="6220" spans="7:14" x14ac:dyDescent="0.35">
      <c r="G6220" s="1"/>
      <c r="N6220" s="1"/>
    </row>
    <row r="6221" spans="7:14" x14ac:dyDescent="0.35">
      <c r="G6221" s="1"/>
      <c r="N6221" s="1"/>
    </row>
    <row r="6222" spans="7:14" x14ac:dyDescent="0.35">
      <c r="G6222" s="1"/>
      <c r="N6222" s="1"/>
    </row>
    <row r="6223" spans="7:14" x14ac:dyDescent="0.35">
      <c r="G6223" s="1"/>
      <c r="N6223" s="1"/>
    </row>
    <row r="6224" spans="7:14" x14ac:dyDescent="0.35">
      <c r="G6224" s="1"/>
      <c r="N6224" s="1"/>
    </row>
    <row r="6225" spans="7:14" x14ac:dyDescent="0.35">
      <c r="G6225" s="1"/>
      <c r="N6225" s="1"/>
    </row>
    <row r="6226" spans="7:14" x14ac:dyDescent="0.35">
      <c r="G6226" s="1"/>
      <c r="N6226" s="1"/>
    </row>
    <row r="6227" spans="7:14" x14ac:dyDescent="0.35">
      <c r="G6227" s="1"/>
      <c r="N6227" s="1"/>
    </row>
    <row r="6228" spans="7:14" x14ac:dyDescent="0.35">
      <c r="G6228" s="1"/>
      <c r="N6228" s="1"/>
    </row>
    <row r="6229" spans="7:14" x14ac:dyDescent="0.35">
      <c r="G6229" s="1"/>
      <c r="N6229" s="1"/>
    </row>
    <row r="6230" spans="7:14" x14ac:dyDescent="0.35">
      <c r="G6230" s="1"/>
      <c r="N6230" s="1"/>
    </row>
    <row r="6231" spans="7:14" x14ac:dyDescent="0.35">
      <c r="G6231" s="1"/>
      <c r="N6231" s="1"/>
    </row>
    <row r="6232" spans="7:14" x14ac:dyDescent="0.35">
      <c r="G6232" s="1"/>
      <c r="N6232" s="1"/>
    </row>
    <row r="6233" spans="7:14" x14ac:dyDescent="0.35">
      <c r="G6233" s="1"/>
      <c r="N6233" s="1"/>
    </row>
    <row r="6234" spans="7:14" x14ac:dyDescent="0.35">
      <c r="G6234" s="1"/>
      <c r="N6234" s="1"/>
    </row>
    <row r="6235" spans="7:14" x14ac:dyDescent="0.35">
      <c r="G6235" s="1"/>
      <c r="N6235" s="1"/>
    </row>
    <row r="6236" spans="7:14" x14ac:dyDescent="0.35">
      <c r="G6236" s="1"/>
      <c r="N6236" s="1"/>
    </row>
    <row r="6237" spans="7:14" x14ac:dyDescent="0.35">
      <c r="G6237" s="1"/>
      <c r="N6237" s="1"/>
    </row>
    <row r="6238" spans="7:14" x14ac:dyDescent="0.35">
      <c r="G6238" s="1"/>
      <c r="N6238" s="1"/>
    </row>
    <row r="6239" spans="7:14" x14ac:dyDescent="0.35">
      <c r="G6239" s="1"/>
      <c r="N6239" s="1"/>
    </row>
    <row r="6240" spans="7:14" x14ac:dyDescent="0.35">
      <c r="G6240" s="1"/>
      <c r="N6240" s="1"/>
    </row>
    <row r="6241" spans="7:14" x14ac:dyDescent="0.35">
      <c r="G6241" s="1"/>
      <c r="N6241" s="1"/>
    </row>
    <row r="6242" spans="7:14" x14ac:dyDescent="0.35">
      <c r="G6242" s="1"/>
      <c r="N6242" s="1"/>
    </row>
    <row r="6243" spans="7:14" x14ac:dyDescent="0.35">
      <c r="G6243" s="1"/>
      <c r="N6243" s="1"/>
    </row>
    <row r="6244" spans="7:14" x14ac:dyDescent="0.35">
      <c r="G6244" s="1"/>
      <c r="N6244" s="1"/>
    </row>
    <row r="6245" spans="7:14" x14ac:dyDescent="0.35">
      <c r="G6245" s="1"/>
      <c r="N6245" s="1"/>
    </row>
    <row r="6246" spans="7:14" x14ac:dyDescent="0.35">
      <c r="G6246" s="1"/>
      <c r="N6246" s="1"/>
    </row>
    <row r="6247" spans="7:14" x14ac:dyDescent="0.35">
      <c r="G6247" s="1"/>
      <c r="N6247" s="1"/>
    </row>
    <row r="6248" spans="7:14" x14ac:dyDescent="0.35">
      <c r="G6248" s="1"/>
      <c r="N6248" s="1"/>
    </row>
    <row r="6249" spans="7:14" x14ac:dyDescent="0.35">
      <c r="G6249" s="1"/>
      <c r="N6249" s="1"/>
    </row>
    <row r="6250" spans="7:14" x14ac:dyDescent="0.35">
      <c r="G6250" s="1"/>
      <c r="N6250" s="1"/>
    </row>
    <row r="6251" spans="7:14" x14ac:dyDescent="0.35">
      <c r="G6251" s="1"/>
      <c r="N6251" s="1"/>
    </row>
    <row r="6252" spans="7:14" x14ac:dyDescent="0.35">
      <c r="G6252" s="1"/>
      <c r="N6252" s="1"/>
    </row>
    <row r="6253" spans="7:14" x14ac:dyDescent="0.35">
      <c r="G6253" s="1"/>
      <c r="N6253" s="1"/>
    </row>
    <row r="6254" spans="7:14" x14ac:dyDescent="0.35">
      <c r="G6254" s="1"/>
      <c r="N6254" s="1"/>
    </row>
    <row r="6255" spans="7:14" x14ac:dyDescent="0.35">
      <c r="G6255" s="1"/>
      <c r="N6255" s="1"/>
    </row>
    <row r="6256" spans="7:14" x14ac:dyDescent="0.35">
      <c r="G6256" s="1"/>
      <c r="N6256" s="1"/>
    </row>
    <row r="6257" spans="7:14" x14ac:dyDescent="0.35">
      <c r="G6257" s="1"/>
      <c r="N6257" s="1"/>
    </row>
    <row r="6258" spans="7:14" x14ac:dyDescent="0.35">
      <c r="G6258" s="1"/>
      <c r="N6258" s="1"/>
    </row>
    <row r="6259" spans="7:14" x14ac:dyDescent="0.35">
      <c r="G6259" s="1"/>
      <c r="N6259" s="1"/>
    </row>
    <row r="6260" spans="7:14" x14ac:dyDescent="0.35">
      <c r="G6260" s="1"/>
      <c r="N6260" s="1"/>
    </row>
    <row r="6261" spans="7:14" x14ac:dyDescent="0.35">
      <c r="G6261" s="1"/>
      <c r="N6261" s="1"/>
    </row>
    <row r="6262" spans="7:14" x14ac:dyDescent="0.35">
      <c r="G6262" s="1"/>
      <c r="N6262" s="1"/>
    </row>
    <row r="6263" spans="7:14" x14ac:dyDescent="0.35">
      <c r="G6263" s="1"/>
      <c r="N6263" s="1"/>
    </row>
    <row r="6264" spans="7:14" x14ac:dyDescent="0.35">
      <c r="G6264" s="1"/>
      <c r="N6264" s="1"/>
    </row>
    <row r="6265" spans="7:14" x14ac:dyDescent="0.35">
      <c r="G6265" s="1"/>
      <c r="N6265" s="1"/>
    </row>
    <row r="6266" spans="7:14" x14ac:dyDescent="0.35">
      <c r="G6266" s="1"/>
      <c r="N6266" s="1"/>
    </row>
    <row r="6267" spans="7:14" x14ac:dyDescent="0.35">
      <c r="G6267" s="1"/>
      <c r="N6267" s="1"/>
    </row>
    <row r="6268" spans="7:14" x14ac:dyDescent="0.35">
      <c r="G6268" s="1"/>
      <c r="N6268" s="1"/>
    </row>
    <row r="6269" spans="7:14" x14ac:dyDescent="0.35">
      <c r="G6269" s="1"/>
      <c r="N6269" s="1"/>
    </row>
    <row r="6270" spans="7:14" x14ac:dyDescent="0.35">
      <c r="G6270" s="1"/>
      <c r="N6270" s="1"/>
    </row>
    <row r="6271" spans="7:14" x14ac:dyDescent="0.35">
      <c r="G6271" s="1"/>
      <c r="N6271" s="1"/>
    </row>
    <row r="6272" spans="7:14" x14ac:dyDescent="0.35">
      <c r="G6272" s="1"/>
      <c r="N6272" s="1"/>
    </row>
    <row r="6273" spans="7:14" x14ac:dyDescent="0.35">
      <c r="G6273" s="1"/>
      <c r="N6273" s="1"/>
    </row>
    <row r="6274" spans="7:14" x14ac:dyDescent="0.35">
      <c r="G6274" s="1"/>
      <c r="N6274" s="1"/>
    </row>
    <row r="6275" spans="7:14" x14ac:dyDescent="0.35">
      <c r="G6275" s="1"/>
      <c r="N6275" s="1"/>
    </row>
    <row r="6276" spans="7:14" x14ac:dyDescent="0.35">
      <c r="G6276" s="1"/>
      <c r="N6276" s="1"/>
    </row>
    <row r="6277" spans="7:14" x14ac:dyDescent="0.35">
      <c r="G6277" s="1"/>
      <c r="N6277" s="1"/>
    </row>
    <row r="6278" spans="7:14" x14ac:dyDescent="0.35">
      <c r="G6278" s="1"/>
      <c r="N6278" s="1"/>
    </row>
    <row r="6279" spans="7:14" x14ac:dyDescent="0.35">
      <c r="G6279" s="1"/>
      <c r="N6279" s="1"/>
    </row>
    <row r="6280" spans="7:14" x14ac:dyDescent="0.35">
      <c r="G6280" s="1"/>
      <c r="N6280" s="1"/>
    </row>
    <row r="6281" spans="7:14" x14ac:dyDescent="0.35">
      <c r="G6281" s="1"/>
      <c r="N6281" s="1"/>
    </row>
    <row r="6282" spans="7:14" x14ac:dyDescent="0.35">
      <c r="G6282" s="1"/>
      <c r="N6282" s="1"/>
    </row>
    <row r="6283" spans="7:14" x14ac:dyDescent="0.35">
      <c r="G6283" s="1"/>
      <c r="N6283" s="1"/>
    </row>
    <row r="6284" spans="7:14" x14ac:dyDescent="0.35">
      <c r="G6284" s="1"/>
      <c r="N6284" s="1"/>
    </row>
    <row r="6285" spans="7:14" x14ac:dyDescent="0.35">
      <c r="G6285" s="1"/>
      <c r="N6285" s="1"/>
    </row>
    <row r="6286" spans="7:14" x14ac:dyDescent="0.35">
      <c r="G6286" s="1"/>
      <c r="N6286" s="1"/>
    </row>
    <row r="6287" spans="7:14" x14ac:dyDescent="0.35">
      <c r="G6287" s="1"/>
      <c r="N6287" s="1"/>
    </row>
    <row r="6288" spans="7:14" x14ac:dyDescent="0.35">
      <c r="G6288" s="1"/>
      <c r="N6288" s="1"/>
    </row>
    <row r="6289" spans="7:14" x14ac:dyDescent="0.35">
      <c r="G6289" s="1"/>
      <c r="N6289" s="1"/>
    </row>
    <row r="6290" spans="7:14" x14ac:dyDescent="0.35">
      <c r="G6290" s="1"/>
      <c r="N6290" s="1"/>
    </row>
    <row r="6291" spans="7:14" x14ac:dyDescent="0.35">
      <c r="G6291" s="1"/>
      <c r="N6291" s="1"/>
    </row>
    <row r="6292" spans="7:14" x14ac:dyDescent="0.35">
      <c r="G6292" s="1"/>
      <c r="N6292" s="1"/>
    </row>
    <row r="6293" spans="7:14" x14ac:dyDescent="0.35">
      <c r="G6293" s="1"/>
      <c r="N6293" s="1"/>
    </row>
    <row r="6294" spans="7:14" x14ac:dyDescent="0.35">
      <c r="G6294" s="1"/>
      <c r="N6294" s="1"/>
    </row>
    <row r="6295" spans="7:14" x14ac:dyDescent="0.35">
      <c r="G6295" s="1"/>
      <c r="N6295" s="1"/>
    </row>
    <row r="6296" spans="7:14" x14ac:dyDescent="0.35">
      <c r="G6296" s="1"/>
      <c r="N6296" s="1"/>
    </row>
    <row r="6297" spans="7:14" x14ac:dyDescent="0.35">
      <c r="G6297" s="1"/>
      <c r="N6297" s="1"/>
    </row>
    <row r="6298" spans="7:14" x14ac:dyDescent="0.35">
      <c r="G6298" s="1"/>
      <c r="N6298" s="1"/>
    </row>
    <row r="6299" spans="7:14" x14ac:dyDescent="0.35">
      <c r="G6299" s="1"/>
      <c r="N6299" s="1"/>
    </row>
    <row r="6300" spans="7:14" x14ac:dyDescent="0.35">
      <c r="G6300" s="1"/>
      <c r="N6300" s="1"/>
    </row>
    <row r="6301" spans="7:14" x14ac:dyDescent="0.35">
      <c r="G6301" s="1"/>
      <c r="N6301" s="1"/>
    </row>
    <row r="6302" spans="7:14" x14ac:dyDescent="0.35">
      <c r="G6302" s="1"/>
      <c r="N6302" s="1"/>
    </row>
    <row r="6303" spans="7:14" x14ac:dyDescent="0.35">
      <c r="G6303" s="1"/>
      <c r="N6303" s="1"/>
    </row>
    <row r="6304" spans="7:14" x14ac:dyDescent="0.35">
      <c r="G6304" s="1"/>
      <c r="N6304" s="1"/>
    </row>
    <row r="6305" spans="7:14" x14ac:dyDescent="0.35">
      <c r="G6305" s="1"/>
      <c r="N6305" s="1"/>
    </row>
    <row r="6306" spans="7:14" x14ac:dyDescent="0.35">
      <c r="G6306" s="1"/>
      <c r="N6306" s="1"/>
    </row>
    <row r="6307" spans="7:14" x14ac:dyDescent="0.35">
      <c r="G6307" s="1"/>
      <c r="N6307" s="1"/>
    </row>
    <row r="6308" spans="7:14" x14ac:dyDescent="0.35">
      <c r="G6308" s="1"/>
      <c r="N6308" s="1"/>
    </row>
    <row r="6309" spans="7:14" x14ac:dyDescent="0.35">
      <c r="G6309" s="1"/>
      <c r="N6309" s="1"/>
    </row>
    <row r="6310" spans="7:14" x14ac:dyDescent="0.35">
      <c r="G6310" s="1"/>
      <c r="N6310" s="1"/>
    </row>
    <row r="6311" spans="7:14" x14ac:dyDescent="0.35">
      <c r="G6311" s="1"/>
      <c r="N6311" s="1"/>
    </row>
    <row r="6312" spans="7:14" x14ac:dyDescent="0.35">
      <c r="G6312" s="1"/>
      <c r="N6312" s="1"/>
    </row>
    <row r="6313" spans="7:14" x14ac:dyDescent="0.35">
      <c r="G6313" s="1"/>
      <c r="N6313" s="1"/>
    </row>
    <row r="6314" spans="7:14" x14ac:dyDescent="0.35">
      <c r="G6314" s="1"/>
      <c r="N6314" s="1"/>
    </row>
    <row r="6315" spans="7:14" x14ac:dyDescent="0.35">
      <c r="G6315" s="1"/>
      <c r="N6315" s="1"/>
    </row>
    <row r="6316" spans="7:14" x14ac:dyDescent="0.35">
      <c r="G6316" s="1"/>
      <c r="N6316" s="1"/>
    </row>
    <row r="6317" spans="7:14" x14ac:dyDescent="0.35">
      <c r="G6317" s="1"/>
      <c r="N6317" s="1"/>
    </row>
    <row r="6318" spans="7:14" x14ac:dyDescent="0.35">
      <c r="G6318" s="1"/>
      <c r="N6318" s="1"/>
    </row>
    <row r="6319" spans="7:14" x14ac:dyDescent="0.35">
      <c r="G6319" s="1"/>
      <c r="N6319" s="1"/>
    </row>
    <row r="6320" spans="7:14" x14ac:dyDescent="0.35">
      <c r="G6320" s="1"/>
      <c r="N6320" s="1"/>
    </row>
    <row r="6321" spans="7:14" x14ac:dyDescent="0.35">
      <c r="G6321" s="1"/>
      <c r="N6321" s="1"/>
    </row>
    <row r="6322" spans="7:14" x14ac:dyDescent="0.35">
      <c r="G6322" s="1"/>
      <c r="N6322" s="1"/>
    </row>
    <row r="6323" spans="7:14" x14ac:dyDescent="0.35">
      <c r="G6323" s="1"/>
      <c r="N6323" s="1"/>
    </row>
    <row r="6324" spans="7:14" x14ac:dyDescent="0.35">
      <c r="G6324" s="1"/>
      <c r="N6324" s="1"/>
    </row>
    <row r="6325" spans="7:14" x14ac:dyDescent="0.35">
      <c r="G6325" s="1"/>
      <c r="N6325" s="1"/>
    </row>
    <row r="6326" spans="7:14" x14ac:dyDescent="0.35">
      <c r="G6326" s="1"/>
      <c r="N6326" s="1"/>
    </row>
    <row r="6327" spans="7:14" x14ac:dyDescent="0.35">
      <c r="G6327" s="1"/>
      <c r="N6327" s="1"/>
    </row>
    <row r="6328" spans="7:14" x14ac:dyDescent="0.35">
      <c r="G6328" s="1"/>
      <c r="N6328" s="1"/>
    </row>
    <row r="6329" spans="7:14" x14ac:dyDescent="0.35">
      <c r="G6329" s="1"/>
      <c r="N6329" s="1"/>
    </row>
    <row r="6330" spans="7:14" x14ac:dyDescent="0.35">
      <c r="G6330" s="1"/>
      <c r="N6330" s="1"/>
    </row>
    <row r="6331" spans="7:14" x14ac:dyDescent="0.35">
      <c r="G6331" s="1"/>
      <c r="N6331" s="1"/>
    </row>
    <row r="6332" spans="7:14" x14ac:dyDescent="0.35">
      <c r="G6332" s="1"/>
      <c r="N6332" s="1"/>
    </row>
    <row r="6333" spans="7:14" x14ac:dyDescent="0.35">
      <c r="G6333" s="1"/>
      <c r="N6333" s="1"/>
    </row>
    <row r="6334" spans="7:14" x14ac:dyDescent="0.35">
      <c r="G6334" s="1"/>
      <c r="N6334" s="1"/>
    </row>
    <row r="6335" spans="7:14" x14ac:dyDescent="0.35">
      <c r="G6335" s="1"/>
      <c r="N6335" s="1"/>
    </row>
    <row r="6336" spans="7:14" x14ac:dyDescent="0.35">
      <c r="G6336" s="1"/>
      <c r="N6336" s="1"/>
    </row>
    <row r="6337" spans="7:14" x14ac:dyDescent="0.35">
      <c r="G6337" s="1"/>
      <c r="N6337" s="1"/>
    </row>
    <row r="6338" spans="7:14" x14ac:dyDescent="0.35">
      <c r="G6338" s="1"/>
      <c r="N6338" s="1"/>
    </row>
    <row r="6339" spans="7:14" x14ac:dyDescent="0.35">
      <c r="G6339" s="1"/>
      <c r="N6339" s="1"/>
    </row>
    <row r="6340" spans="7:14" x14ac:dyDescent="0.35">
      <c r="G6340" s="1"/>
      <c r="N6340" s="1"/>
    </row>
    <row r="6341" spans="7:14" x14ac:dyDescent="0.35">
      <c r="G6341" s="1"/>
      <c r="N6341" s="1"/>
    </row>
    <row r="6342" spans="7:14" x14ac:dyDescent="0.35">
      <c r="G6342" s="1"/>
      <c r="N6342" s="1"/>
    </row>
    <row r="6343" spans="7:14" x14ac:dyDescent="0.35">
      <c r="G6343" s="1"/>
      <c r="N6343" s="1"/>
    </row>
    <row r="6344" spans="7:14" x14ac:dyDescent="0.35">
      <c r="G6344" s="1"/>
      <c r="N6344" s="1"/>
    </row>
    <row r="6345" spans="7:14" x14ac:dyDescent="0.35">
      <c r="G6345" s="1"/>
      <c r="N6345" s="1"/>
    </row>
    <row r="6346" spans="7:14" x14ac:dyDescent="0.35">
      <c r="G6346" s="1"/>
      <c r="N6346" s="1"/>
    </row>
    <row r="6347" spans="7:14" x14ac:dyDescent="0.35">
      <c r="G6347" s="1"/>
      <c r="N6347" s="1"/>
    </row>
    <row r="6348" spans="7:14" x14ac:dyDescent="0.35">
      <c r="G6348" s="1"/>
      <c r="N6348" s="1"/>
    </row>
    <row r="6349" spans="7:14" x14ac:dyDescent="0.35">
      <c r="G6349" s="1"/>
      <c r="N6349" s="1"/>
    </row>
    <row r="6350" spans="7:14" x14ac:dyDescent="0.35">
      <c r="G6350" s="1"/>
      <c r="N6350" s="1"/>
    </row>
    <row r="6351" spans="7:14" x14ac:dyDescent="0.35">
      <c r="G6351" s="1"/>
      <c r="N6351" s="1"/>
    </row>
    <row r="6352" spans="7:14" x14ac:dyDescent="0.35">
      <c r="G6352" s="1"/>
      <c r="N6352" s="1"/>
    </row>
    <row r="6353" spans="7:14" x14ac:dyDescent="0.35">
      <c r="G6353" s="1"/>
      <c r="N6353" s="1"/>
    </row>
    <row r="6354" spans="7:14" x14ac:dyDescent="0.35">
      <c r="G6354" s="1"/>
      <c r="N6354" s="1"/>
    </row>
    <row r="6355" spans="7:14" x14ac:dyDescent="0.35">
      <c r="G6355" s="1"/>
      <c r="N6355" s="1"/>
    </row>
    <row r="6356" spans="7:14" x14ac:dyDescent="0.35">
      <c r="G6356" s="1"/>
      <c r="N6356" s="1"/>
    </row>
    <row r="6357" spans="7:14" x14ac:dyDescent="0.35">
      <c r="G6357" s="1"/>
      <c r="N6357" s="1"/>
    </row>
    <row r="6358" spans="7:14" x14ac:dyDescent="0.35">
      <c r="G6358" s="1"/>
      <c r="N6358" s="1"/>
    </row>
    <row r="6359" spans="7:14" x14ac:dyDescent="0.35">
      <c r="G6359" s="1"/>
      <c r="N6359" s="1"/>
    </row>
    <row r="6360" spans="7:14" x14ac:dyDescent="0.35">
      <c r="G6360" s="1"/>
      <c r="N6360" s="1"/>
    </row>
    <row r="6361" spans="7:14" x14ac:dyDescent="0.35">
      <c r="G6361" s="1"/>
      <c r="N6361" s="1"/>
    </row>
    <row r="6362" spans="7:14" x14ac:dyDescent="0.35">
      <c r="G6362" s="1"/>
      <c r="N6362" s="1"/>
    </row>
    <row r="6363" spans="7:14" x14ac:dyDescent="0.35">
      <c r="G6363" s="1"/>
      <c r="N6363" s="1"/>
    </row>
    <row r="6364" spans="7:14" x14ac:dyDescent="0.35">
      <c r="G6364" s="1"/>
      <c r="N6364" s="1"/>
    </row>
    <row r="6365" spans="7:14" x14ac:dyDescent="0.35">
      <c r="G6365" s="1"/>
      <c r="N6365" s="1"/>
    </row>
    <row r="6366" spans="7:14" x14ac:dyDescent="0.35">
      <c r="G6366" s="1"/>
      <c r="N6366" s="1"/>
    </row>
    <row r="6367" spans="7:14" x14ac:dyDescent="0.35">
      <c r="G6367" s="1"/>
      <c r="N6367" s="1"/>
    </row>
    <row r="6368" spans="7:14" x14ac:dyDescent="0.35">
      <c r="G6368" s="1"/>
      <c r="N6368" s="1"/>
    </row>
    <row r="6369" spans="7:14" x14ac:dyDescent="0.35">
      <c r="G6369" s="1"/>
      <c r="N6369" s="1"/>
    </row>
    <row r="6370" spans="7:14" x14ac:dyDescent="0.35">
      <c r="G6370" s="1"/>
      <c r="N6370" s="1"/>
    </row>
    <row r="6371" spans="7:14" x14ac:dyDescent="0.35">
      <c r="G6371" s="1"/>
      <c r="N6371" s="1"/>
    </row>
    <row r="6372" spans="7:14" x14ac:dyDescent="0.35">
      <c r="G6372" s="1"/>
      <c r="N6372" s="1"/>
    </row>
    <row r="6373" spans="7:14" x14ac:dyDescent="0.35">
      <c r="G6373" s="1"/>
      <c r="N6373" s="1"/>
    </row>
    <row r="6374" spans="7:14" x14ac:dyDescent="0.35">
      <c r="G6374" s="1"/>
      <c r="N6374" s="1"/>
    </row>
    <row r="6375" spans="7:14" x14ac:dyDescent="0.35">
      <c r="G6375" s="1"/>
      <c r="N6375" s="1"/>
    </row>
    <row r="6376" spans="7:14" x14ac:dyDescent="0.35">
      <c r="G6376" s="1"/>
      <c r="N6376" s="1"/>
    </row>
    <row r="6377" spans="7:14" x14ac:dyDescent="0.35">
      <c r="G6377" s="1"/>
      <c r="N6377" s="1"/>
    </row>
    <row r="6378" spans="7:14" x14ac:dyDescent="0.35">
      <c r="G6378" s="1"/>
      <c r="N6378" s="1"/>
    </row>
    <row r="6379" spans="7:14" x14ac:dyDescent="0.35">
      <c r="G6379" s="1"/>
      <c r="N6379" s="1"/>
    </row>
    <row r="6380" spans="7:14" x14ac:dyDescent="0.35">
      <c r="G6380" s="1"/>
      <c r="N6380" s="1"/>
    </row>
    <row r="6381" spans="7:14" x14ac:dyDescent="0.35">
      <c r="G6381" s="1"/>
      <c r="N6381" s="1"/>
    </row>
    <row r="6382" spans="7:14" x14ac:dyDescent="0.35">
      <c r="G6382" s="1"/>
      <c r="N6382" s="1"/>
    </row>
    <row r="6383" spans="7:14" x14ac:dyDescent="0.35">
      <c r="G6383" s="1"/>
      <c r="N6383" s="1"/>
    </row>
    <row r="6384" spans="7:14" x14ac:dyDescent="0.35">
      <c r="G6384" s="1"/>
      <c r="N6384" s="1"/>
    </row>
    <row r="6385" spans="7:14" x14ac:dyDescent="0.35">
      <c r="G6385" s="1"/>
      <c r="N6385" s="1"/>
    </row>
    <row r="6386" spans="7:14" x14ac:dyDescent="0.35">
      <c r="G6386" s="1"/>
      <c r="N6386" s="1"/>
    </row>
    <row r="6387" spans="7:14" x14ac:dyDescent="0.35">
      <c r="G6387" s="1"/>
      <c r="N6387" s="1"/>
    </row>
    <row r="6388" spans="7:14" x14ac:dyDescent="0.35">
      <c r="G6388" s="1"/>
      <c r="N6388" s="1"/>
    </row>
    <row r="6389" spans="7:14" x14ac:dyDescent="0.35">
      <c r="G6389" s="1"/>
      <c r="N6389" s="1"/>
    </row>
    <row r="6390" spans="7:14" x14ac:dyDescent="0.35">
      <c r="G6390" s="1"/>
      <c r="N6390" s="1"/>
    </row>
    <row r="6391" spans="7:14" x14ac:dyDescent="0.35">
      <c r="G6391" s="1"/>
      <c r="N6391" s="1"/>
    </row>
    <row r="6392" spans="7:14" x14ac:dyDescent="0.35">
      <c r="G6392" s="1"/>
      <c r="N6392" s="1"/>
    </row>
    <row r="6393" spans="7:14" x14ac:dyDescent="0.35">
      <c r="G6393" s="1"/>
      <c r="N6393" s="1"/>
    </row>
    <row r="6394" spans="7:14" x14ac:dyDescent="0.35">
      <c r="G6394" s="1"/>
      <c r="N6394" s="1"/>
    </row>
    <row r="6395" spans="7:14" x14ac:dyDescent="0.35">
      <c r="G6395" s="1"/>
      <c r="N6395" s="1"/>
    </row>
    <row r="6396" spans="7:14" x14ac:dyDescent="0.35">
      <c r="G6396" s="1"/>
      <c r="N6396" s="1"/>
    </row>
    <row r="6397" spans="7:14" x14ac:dyDescent="0.35">
      <c r="G6397" s="1"/>
      <c r="N6397" s="1"/>
    </row>
    <row r="6398" spans="7:14" x14ac:dyDescent="0.35">
      <c r="G6398" s="1"/>
      <c r="N6398" s="1"/>
    </row>
    <row r="6399" spans="7:14" x14ac:dyDescent="0.35">
      <c r="G6399" s="1"/>
      <c r="N6399" s="1"/>
    </row>
    <row r="6400" spans="7:14" x14ac:dyDescent="0.35">
      <c r="G6400" s="1"/>
      <c r="N6400" s="1"/>
    </row>
    <row r="6401" spans="7:14" x14ac:dyDescent="0.35">
      <c r="G6401" s="1"/>
      <c r="N6401" s="1"/>
    </row>
    <row r="6402" spans="7:14" x14ac:dyDescent="0.35">
      <c r="G6402" s="1"/>
      <c r="N6402" s="1"/>
    </row>
    <row r="6403" spans="7:14" x14ac:dyDescent="0.35">
      <c r="G6403" s="1"/>
      <c r="N6403" s="1"/>
    </row>
    <row r="6404" spans="7:14" x14ac:dyDescent="0.35">
      <c r="G6404" s="1"/>
      <c r="N6404" s="1"/>
    </row>
    <row r="6405" spans="7:14" x14ac:dyDescent="0.35">
      <c r="G6405" s="1"/>
      <c r="N6405" s="1"/>
    </row>
    <row r="6406" spans="7:14" x14ac:dyDescent="0.35">
      <c r="G6406" s="1"/>
      <c r="N6406" s="1"/>
    </row>
    <row r="6407" spans="7:14" x14ac:dyDescent="0.35">
      <c r="G6407" s="1"/>
      <c r="N6407" s="1"/>
    </row>
    <row r="6408" spans="7:14" x14ac:dyDescent="0.35">
      <c r="G6408" s="1"/>
      <c r="N6408" s="1"/>
    </row>
    <row r="6409" spans="7:14" x14ac:dyDescent="0.35">
      <c r="G6409" s="1"/>
      <c r="N6409" s="1"/>
    </row>
    <row r="6410" spans="7:14" x14ac:dyDescent="0.35">
      <c r="G6410" s="1"/>
      <c r="N6410" s="1"/>
    </row>
    <row r="6411" spans="7:14" x14ac:dyDescent="0.35">
      <c r="G6411" s="1"/>
      <c r="N6411" s="1"/>
    </row>
    <row r="6412" spans="7:14" x14ac:dyDescent="0.35">
      <c r="G6412" s="1"/>
      <c r="N6412" s="1"/>
    </row>
    <row r="6413" spans="7:14" x14ac:dyDescent="0.35">
      <c r="G6413" s="1"/>
      <c r="N6413" s="1"/>
    </row>
    <row r="6414" spans="7:14" x14ac:dyDescent="0.35">
      <c r="G6414" s="1"/>
      <c r="N6414" s="1"/>
    </row>
    <row r="6415" spans="7:14" x14ac:dyDescent="0.35">
      <c r="G6415" s="1"/>
      <c r="N6415" s="1"/>
    </row>
    <row r="6416" spans="7:14" x14ac:dyDescent="0.35">
      <c r="G6416" s="1"/>
      <c r="N6416" s="1"/>
    </row>
    <row r="6417" spans="7:14" x14ac:dyDescent="0.35">
      <c r="G6417" s="1"/>
      <c r="N6417" s="1"/>
    </row>
    <row r="6418" spans="7:14" x14ac:dyDescent="0.35">
      <c r="G6418" s="1"/>
      <c r="N6418" s="1"/>
    </row>
    <row r="6419" spans="7:14" x14ac:dyDescent="0.35">
      <c r="G6419" s="1"/>
      <c r="N6419" s="1"/>
    </row>
    <row r="6420" spans="7:14" x14ac:dyDescent="0.35">
      <c r="G6420" s="1"/>
      <c r="N6420" s="1"/>
    </row>
    <row r="6421" spans="7:14" x14ac:dyDescent="0.35">
      <c r="G6421" s="1"/>
      <c r="N6421" s="1"/>
    </row>
    <row r="6422" spans="7:14" x14ac:dyDescent="0.35">
      <c r="G6422" s="1"/>
      <c r="N6422" s="1"/>
    </row>
    <row r="6423" spans="7:14" x14ac:dyDescent="0.35">
      <c r="G6423" s="1"/>
      <c r="N6423" s="1"/>
    </row>
    <row r="6424" spans="7:14" x14ac:dyDescent="0.35">
      <c r="G6424" s="1"/>
      <c r="N6424" s="1"/>
    </row>
    <row r="6425" spans="7:14" x14ac:dyDescent="0.35">
      <c r="G6425" s="1"/>
      <c r="N6425" s="1"/>
    </row>
    <row r="6426" spans="7:14" x14ac:dyDescent="0.35">
      <c r="G6426" s="1"/>
      <c r="N6426" s="1"/>
    </row>
    <row r="6427" spans="7:14" x14ac:dyDescent="0.35">
      <c r="G6427" s="1"/>
      <c r="N6427" s="1"/>
    </row>
    <row r="6428" spans="7:14" x14ac:dyDescent="0.35">
      <c r="G6428" s="1"/>
      <c r="N6428" s="1"/>
    </row>
    <row r="6429" spans="7:14" x14ac:dyDescent="0.35">
      <c r="G6429" s="1"/>
      <c r="N6429" s="1"/>
    </row>
    <row r="6430" spans="7:14" x14ac:dyDescent="0.35">
      <c r="G6430" s="1"/>
      <c r="N6430" s="1"/>
    </row>
    <row r="6431" spans="7:14" x14ac:dyDescent="0.35">
      <c r="G6431" s="1"/>
      <c r="N6431" s="1"/>
    </row>
    <row r="6432" spans="7:14" x14ac:dyDescent="0.35">
      <c r="G6432" s="1"/>
      <c r="N6432" s="1"/>
    </row>
    <row r="6433" spans="7:14" x14ac:dyDescent="0.35">
      <c r="G6433" s="1"/>
      <c r="N6433" s="1"/>
    </row>
    <row r="6434" spans="7:14" x14ac:dyDescent="0.35">
      <c r="G6434" s="1"/>
      <c r="N6434" s="1"/>
    </row>
    <row r="6435" spans="7:14" x14ac:dyDescent="0.35">
      <c r="G6435" s="1"/>
      <c r="N6435" s="1"/>
    </row>
    <row r="6436" spans="7:14" x14ac:dyDescent="0.35">
      <c r="G6436" s="1"/>
      <c r="N6436" s="1"/>
    </row>
    <row r="6437" spans="7:14" x14ac:dyDescent="0.35">
      <c r="G6437" s="1"/>
      <c r="N6437" s="1"/>
    </row>
    <row r="6438" spans="7:14" x14ac:dyDescent="0.35">
      <c r="G6438" s="1"/>
      <c r="N6438" s="1"/>
    </row>
    <row r="6439" spans="7:14" x14ac:dyDescent="0.35">
      <c r="G6439" s="1"/>
      <c r="N6439" s="1"/>
    </row>
    <row r="6440" spans="7:14" x14ac:dyDescent="0.35">
      <c r="G6440" s="1"/>
      <c r="N6440" s="1"/>
    </row>
    <row r="6441" spans="7:14" x14ac:dyDescent="0.35">
      <c r="G6441" s="1"/>
      <c r="N6441" s="1"/>
    </row>
    <row r="6442" spans="7:14" x14ac:dyDescent="0.35">
      <c r="G6442" s="1"/>
      <c r="N6442" s="1"/>
    </row>
    <row r="6443" spans="7:14" x14ac:dyDescent="0.35">
      <c r="G6443" s="1"/>
      <c r="N6443" s="1"/>
    </row>
    <row r="6444" spans="7:14" x14ac:dyDescent="0.35">
      <c r="G6444" s="1"/>
      <c r="N6444" s="1"/>
    </row>
    <row r="6445" spans="7:14" x14ac:dyDescent="0.35">
      <c r="G6445" s="1"/>
      <c r="N6445" s="1"/>
    </row>
    <row r="6446" spans="7:14" x14ac:dyDescent="0.35">
      <c r="G6446" s="1"/>
      <c r="N6446" s="1"/>
    </row>
    <row r="6447" spans="7:14" x14ac:dyDescent="0.35">
      <c r="G6447" s="1"/>
      <c r="N6447" s="1"/>
    </row>
    <row r="6448" spans="7:14" x14ac:dyDescent="0.35">
      <c r="G6448" s="1"/>
      <c r="N6448" s="1"/>
    </row>
    <row r="6449" spans="7:14" x14ac:dyDescent="0.35">
      <c r="G6449" s="1"/>
      <c r="N6449" s="1"/>
    </row>
    <row r="6450" spans="7:14" x14ac:dyDescent="0.35">
      <c r="G6450" s="1"/>
      <c r="N6450" s="1"/>
    </row>
    <row r="6451" spans="7:14" x14ac:dyDescent="0.35">
      <c r="G6451" s="1"/>
      <c r="N6451" s="1"/>
    </row>
    <row r="6452" spans="7:14" x14ac:dyDescent="0.35">
      <c r="G6452" s="1"/>
      <c r="N6452" s="1"/>
    </row>
    <row r="6453" spans="7:14" x14ac:dyDescent="0.35">
      <c r="G6453" s="1"/>
      <c r="N6453" s="1"/>
    </row>
    <row r="6454" spans="7:14" x14ac:dyDescent="0.35">
      <c r="G6454" s="1"/>
      <c r="N6454" s="1"/>
    </row>
    <row r="6455" spans="7:14" x14ac:dyDescent="0.35">
      <c r="G6455" s="1"/>
      <c r="N6455" s="1"/>
    </row>
    <row r="6456" spans="7:14" x14ac:dyDescent="0.35">
      <c r="G6456" s="1"/>
      <c r="N6456" s="1"/>
    </row>
    <row r="6457" spans="7:14" x14ac:dyDescent="0.35">
      <c r="G6457" s="1"/>
      <c r="N6457" s="1"/>
    </row>
    <row r="6458" spans="7:14" x14ac:dyDescent="0.35">
      <c r="G6458" s="1"/>
      <c r="N6458" s="1"/>
    </row>
    <row r="6459" spans="7:14" x14ac:dyDescent="0.35">
      <c r="G6459" s="1"/>
      <c r="N6459" s="1"/>
    </row>
    <row r="6460" spans="7:14" x14ac:dyDescent="0.35">
      <c r="G6460" s="1"/>
      <c r="N6460" s="1"/>
    </row>
    <row r="6461" spans="7:14" x14ac:dyDescent="0.35">
      <c r="G6461" s="1"/>
      <c r="N6461" s="1"/>
    </row>
    <row r="6462" spans="7:14" x14ac:dyDescent="0.35">
      <c r="G6462" s="1"/>
      <c r="N6462" s="1"/>
    </row>
    <row r="6463" spans="7:14" x14ac:dyDescent="0.35">
      <c r="G6463" s="1"/>
      <c r="N6463" s="1"/>
    </row>
    <row r="6464" spans="7:14" x14ac:dyDescent="0.35">
      <c r="G6464" s="1"/>
      <c r="N6464" s="1"/>
    </row>
    <row r="6465" spans="7:14" x14ac:dyDescent="0.35">
      <c r="G6465" s="1"/>
      <c r="N6465" s="1"/>
    </row>
    <row r="6466" spans="7:14" x14ac:dyDescent="0.35">
      <c r="G6466" s="1"/>
      <c r="N6466" s="1"/>
    </row>
    <row r="6467" spans="7:14" x14ac:dyDescent="0.35">
      <c r="G6467" s="1"/>
      <c r="N6467" s="1"/>
    </row>
    <row r="6468" spans="7:14" x14ac:dyDescent="0.35">
      <c r="G6468" s="1"/>
      <c r="N6468" s="1"/>
    </row>
    <row r="6469" spans="7:14" x14ac:dyDescent="0.35">
      <c r="G6469" s="1"/>
      <c r="N6469" s="1"/>
    </row>
    <row r="6470" spans="7:14" x14ac:dyDescent="0.35">
      <c r="G6470" s="1"/>
      <c r="N6470" s="1"/>
    </row>
    <row r="6471" spans="7:14" x14ac:dyDescent="0.35">
      <c r="G6471" s="1"/>
      <c r="N6471" s="1"/>
    </row>
    <row r="6472" spans="7:14" x14ac:dyDescent="0.35">
      <c r="G6472" s="1"/>
      <c r="N6472" s="1"/>
    </row>
    <row r="6473" spans="7:14" x14ac:dyDescent="0.35">
      <c r="G6473" s="1"/>
      <c r="N6473" s="1"/>
    </row>
    <row r="6474" spans="7:14" x14ac:dyDescent="0.35">
      <c r="G6474" s="1"/>
      <c r="N6474" s="1"/>
    </row>
    <row r="6475" spans="7:14" x14ac:dyDescent="0.35">
      <c r="G6475" s="1"/>
      <c r="N6475" s="1"/>
    </row>
    <row r="6476" spans="7:14" x14ac:dyDescent="0.35">
      <c r="G6476" s="1"/>
      <c r="N6476" s="1"/>
    </row>
    <row r="6477" spans="7:14" x14ac:dyDescent="0.35">
      <c r="G6477" s="1"/>
      <c r="N6477" s="1"/>
    </row>
    <row r="6478" spans="7:14" x14ac:dyDescent="0.35">
      <c r="G6478" s="1"/>
      <c r="N6478" s="1"/>
    </row>
    <row r="6479" spans="7:14" x14ac:dyDescent="0.35">
      <c r="G6479" s="1"/>
      <c r="N6479" s="1"/>
    </row>
    <row r="6480" spans="7:14" x14ac:dyDescent="0.35">
      <c r="G6480" s="1"/>
      <c r="N6480" s="1"/>
    </row>
    <row r="6481" spans="7:14" x14ac:dyDescent="0.35">
      <c r="G6481" s="1"/>
      <c r="N6481" s="1"/>
    </row>
    <row r="6482" spans="7:14" x14ac:dyDescent="0.35">
      <c r="G6482" s="1"/>
      <c r="N6482" s="1"/>
    </row>
    <row r="6483" spans="7:14" x14ac:dyDescent="0.35">
      <c r="G6483" s="1"/>
      <c r="N6483" s="1"/>
    </row>
    <row r="6484" spans="7:14" x14ac:dyDescent="0.35">
      <c r="G6484" s="1"/>
      <c r="N6484" s="1"/>
    </row>
    <row r="6485" spans="7:14" x14ac:dyDescent="0.35">
      <c r="G6485" s="1"/>
      <c r="N6485" s="1"/>
    </row>
    <row r="6486" spans="7:14" x14ac:dyDescent="0.35">
      <c r="G6486" s="1"/>
      <c r="N6486" s="1"/>
    </row>
    <row r="6487" spans="7:14" x14ac:dyDescent="0.35">
      <c r="G6487" s="1"/>
      <c r="N6487" s="1"/>
    </row>
    <row r="6488" spans="7:14" x14ac:dyDescent="0.35">
      <c r="G6488" s="1"/>
      <c r="N6488" s="1"/>
    </row>
    <row r="6489" spans="7:14" x14ac:dyDescent="0.35">
      <c r="G6489" s="1"/>
      <c r="N6489" s="1"/>
    </row>
    <row r="6490" spans="7:14" x14ac:dyDescent="0.35">
      <c r="G6490" s="1"/>
      <c r="N6490" s="1"/>
    </row>
    <row r="6491" spans="7:14" x14ac:dyDescent="0.35">
      <c r="G6491" s="1"/>
      <c r="N6491" s="1"/>
    </row>
    <row r="6492" spans="7:14" x14ac:dyDescent="0.35">
      <c r="G6492" s="1"/>
      <c r="N6492" s="1"/>
    </row>
    <row r="6493" spans="7:14" x14ac:dyDescent="0.35">
      <c r="G6493" s="1"/>
      <c r="N6493" s="1"/>
    </row>
    <row r="6494" spans="7:14" x14ac:dyDescent="0.35">
      <c r="G6494" s="1"/>
      <c r="N6494" s="1"/>
    </row>
    <row r="6495" spans="7:14" x14ac:dyDescent="0.35">
      <c r="G6495" s="1"/>
      <c r="N6495" s="1"/>
    </row>
    <row r="6496" spans="7:14" x14ac:dyDescent="0.35">
      <c r="G6496" s="1"/>
      <c r="N6496" s="1"/>
    </row>
    <row r="6497" spans="7:14" x14ac:dyDescent="0.35">
      <c r="G6497" s="1"/>
      <c r="N6497" s="1"/>
    </row>
    <row r="6498" spans="7:14" x14ac:dyDescent="0.35">
      <c r="G6498" s="1"/>
      <c r="N6498" s="1"/>
    </row>
    <row r="6499" spans="7:14" x14ac:dyDescent="0.35">
      <c r="G6499" s="1"/>
      <c r="N6499" s="1"/>
    </row>
    <row r="6500" spans="7:14" x14ac:dyDescent="0.35">
      <c r="G6500" s="1"/>
      <c r="N6500" s="1"/>
    </row>
    <row r="6501" spans="7:14" x14ac:dyDescent="0.35">
      <c r="G6501" s="1"/>
      <c r="N6501" s="1"/>
    </row>
    <row r="6502" spans="7:14" x14ac:dyDescent="0.35">
      <c r="G6502" s="1"/>
      <c r="N6502" s="1"/>
    </row>
    <row r="6503" spans="7:14" x14ac:dyDescent="0.35">
      <c r="G6503" s="1"/>
      <c r="N6503" s="1"/>
    </row>
    <row r="6504" spans="7:14" x14ac:dyDescent="0.35">
      <c r="G6504" s="1"/>
      <c r="N6504" s="1"/>
    </row>
    <row r="6505" spans="7:14" x14ac:dyDescent="0.35">
      <c r="G6505" s="1"/>
      <c r="N6505" s="1"/>
    </row>
    <row r="6506" spans="7:14" x14ac:dyDescent="0.35">
      <c r="G6506" s="1"/>
      <c r="N6506" s="1"/>
    </row>
    <row r="6507" spans="7:14" x14ac:dyDescent="0.35">
      <c r="G6507" s="1"/>
      <c r="N6507" s="1"/>
    </row>
    <row r="6508" spans="7:14" x14ac:dyDescent="0.35">
      <c r="G6508" s="1"/>
      <c r="N6508" s="1"/>
    </row>
    <row r="6509" spans="7:14" x14ac:dyDescent="0.35">
      <c r="G6509" s="1"/>
      <c r="N6509" s="1"/>
    </row>
    <row r="6510" spans="7:14" x14ac:dyDescent="0.35">
      <c r="G6510" s="1"/>
      <c r="N6510" s="1"/>
    </row>
    <row r="6511" spans="7:14" x14ac:dyDescent="0.35">
      <c r="G6511" s="1"/>
      <c r="N6511" s="1"/>
    </row>
    <row r="6512" spans="7:14" x14ac:dyDescent="0.35">
      <c r="G6512" s="1"/>
      <c r="N6512" s="1"/>
    </row>
    <row r="6513" spans="7:14" x14ac:dyDescent="0.35">
      <c r="G6513" s="1"/>
      <c r="N6513" s="1"/>
    </row>
    <row r="6514" spans="7:14" x14ac:dyDescent="0.35">
      <c r="G6514" s="1"/>
      <c r="N6514" s="1"/>
    </row>
    <row r="6515" spans="7:14" x14ac:dyDescent="0.35">
      <c r="G6515" s="1"/>
      <c r="N6515" s="1"/>
    </row>
    <row r="6516" spans="7:14" x14ac:dyDescent="0.35">
      <c r="G6516" s="1"/>
      <c r="N6516" s="1"/>
    </row>
    <row r="6517" spans="7:14" x14ac:dyDescent="0.35">
      <c r="G6517" s="1"/>
      <c r="N6517" s="1"/>
    </row>
    <row r="6518" spans="7:14" x14ac:dyDescent="0.35">
      <c r="G6518" s="1"/>
      <c r="N6518" s="1"/>
    </row>
    <row r="6519" spans="7:14" x14ac:dyDescent="0.35">
      <c r="G6519" s="1"/>
      <c r="N6519" s="1"/>
    </row>
    <row r="6520" spans="7:14" x14ac:dyDescent="0.35">
      <c r="G6520" s="1"/>
      <c r="N6520" s="1"/>
    </row>
    <row r="6521" spans="7:14" x14ac:dyDescent="0.35">
      <c r="G6521" s="1"/>
      <c r="N6521" s="1"/>
    </row>
    <row r="6522" spans="7:14" x14ac:dyDescent="0.35">
      <c r="G6522" s="1"/>
      <c r="N6522" s="1"/>
    </row>
    <row r="6523" spans="7:14" x14ac:dyDescent="0.35">
      <c r="G6523" s="1"/>
      <c r="N6523" s="1"/>
    </row>
    <row r="6524" spans="7:14" x14ac:dyDescent="0.35">
      <c r="G6524" s="1"/>
      <c r="N6524" s="1"/>
    </row>
    <row r="6525" spans="7:14" x14ac:dyDescent="0.35">
      <c r="G6525" s="1"/>
      <c r="N6525" s="1"/>
    </row>
    <row r="6526" spans="7:14" x14ac:dyDescent="0.35">
      <c r="G6526" s="1"/>
      <c r="N6526" s="1"/>
    </row>
    <row r="6527" spans="7:14" x14ac:dyDescent="0.35">
      <c r="G6527" s="1"/>
      <c r="N6527" s="1"/>
    </row>
    <row r="6528" spans="7:14" x14ac:dyDescent="0.35">
      <c r="G6528" s="1"/>
      <c r="N6528" s="1"/>
    </row>
    <row r="6529" spans="7:14" x14ac:dyDescent="0.35">
      <c r="G6529" s="1"/>
      <c r="N6529" s="1"/>
    </row>
    <row r="6530" spans="7:14" x14ac:dyDescent="0.35">
      <c r="G6530" s="1"/>
      <c r="N6530" s="1"/>
    </row>
    <row r="6531" spans="7:14" x14ac:dyDescent="0.35">
      <c r="G6531" s="1"/>
      <c r="N6531" s="1"/>
    </row>
    <row r="6532" spans="7:14" x14ac:dyDescent="0.35">
      <c r="G6532" s="1"/>
      <c r="N6532" s="1"/>
    </row>
    <row r="6533" spans="7:14" x14ac:dyDescent="0.35">
      <c r="G6533" s="1"/>
      <c r="N6533" s="1"/>
    </row>
    <row r="6534" spans="7:14" x14ac:dyDescent="0.35">
      <c r="G6534" s="1"/>
      <c r="N6534" s="1"/>
    </row>
    <row r="6535" spans="7:14" x14ac:dyDescent="0.35">
      <c r="G6535" s="1"/>
      <c r="N6535" s="1"/>
    </row>
    <row r="6536" spans="7:14" x14ac:dyDescent="0.35">
      <c r="G6536" s="1"/>
      <c r="N6536" s="1"/>
    </row>
    <row r="6537" spans="7:14" x14ac:dyDescent="0.35">
      <c r="G6537" s="1"/>
      <c r="N6537" s="1"/>
    </row>
    <row r="6538" spans="7:14" x14ac:dyDescent="0.35">
      <c r="G6538" s="1"/>
      <c r="N6538" s="1"/>
    </row>
    <row r="6539" spans="7:14" x14ac:dyDescent="0.35">
      <c r="G6539" s="1"/>
      <c r="N6539" s="1"/>
    </row>
    <row r="6540" spans="7:14" x14ac:dyDescent="0.35">
      <c r="G6540" s="1"/>
      <c r="N6540" s="1"/>
    </row>
    <row r="6541" spans="7:14" x14ac:dyDescent="0.35">
      <c r="G6541" s="1"/>
      <c r="N6541" s="1"/>
    </row>
    <row r="6542" spans="7:14" x14ac:dyDescent="0.35">
      <c r="G6542" s="1"/>
      <c r="N6542" s="1"/>
    </row>
    <row r="6543" spans="7:14" x14ac:dyDescent="0.35">
      <c r="G6543" s="1"/>
      <c r="N6543" s="1"/>
    </row>
    <row r="6544" spans="7:14" x14ac:dyDescent="0.35">
      <c r="G6544" s="1"/>
      <c r="N6544" s="1"/>
    </row>
    <row r="6545" spans="7:14" x14ac:dyDescent="0.35">
      <c r="G6545" s="1"/>
      <c r="N6545" s="1"/>
    </row>
    <row r="6546" spans="7:14" x14ac:dyDescent="0.35">
      <c r="G6546" s="1"/>
      <c r="N6546" s="1"/>
    </row>
    <row r="6547" spans="7:14" x14ac:dyDescent="0.35">
      <c r="G6547" s="1"/>
      <c r="N6547" s="1"/>
    </row>
    <row r="6548" spans="7:14" x14ac:dyDescent="0.35">
      <c r="G6548" s="1"/>
      <c r="N6548" s="1"/>
    </row>
    <row r="6549" spans="7:14" x14ac:dyDescent="0.35">
      <c r="G6549" s="1"/>
      <c r="N6549" s="1"/>
    </row>
    <row r="6550" spans="7:14" x14ac:dyDescent="0.35">
      <c r="G6550" s="1"/>
      <c r="N6550" s="1"/>
    </row>
    <row r="6551" spans="7:14" x14ac:dyDescent="0.35">
      <c r="G6551" s="1"/>
      <c r="N6551" s="1"/>
    </row>
    <row r="6552" spans="7:14" x14ac:dyDescent="0.35">
      <c r="G6552" s="1"/>
      <c r="N6552" s="1"/>
    </row>
    <row r="6553" spans="7:14" x14ac:dyDescent="0.35">
      <c r="G6553" s="1"/>
      <c r="N6553" s="1"/>
    </row>
    <row r="6554" spans="7:14" x14ac:dyDescent="0.35">
      <c r="G6554" s="1"/>
      <c r="N6554" s="1"/>
    </row>
    <row r="6555" spans="7:14" x14ac:dyDescent="0.35">
      <c r="G6555" s="1"/>
      <c r="N6555" s="1"/>
    </row>
    <row r="6556" spans="7:14" x14ac:dyDescent="0.35">
      <c r="G6556" s="1"/>
      <c r="N6556" s="1"/>
    </row>
    <row r="6557" spans="7:14" x14ac:dyDescent="0.35">
      <c r="G6557" s="1"/>
      <c r="N6557" s="1"/>
    </row>
    <row r="6558" spans="7:14" x14ac:dyDescent="0.35">
      <c r="G6558" s="1"/>
      <c r="N6558" s="1"/>
    </row>
    <row r="6559" spans="7:14" x14ac:dyDescent="0.35">
      <c r="G6559" s="1"/>
      <c r="N6559" s="1"/>
    </row>
    <row r="6560" spans="7:14" x14ac:dyDescent="0.35">
      <c r="G6560" s="1"/>
      <c r="N6560" s="1"/>
    </row>
    <row r="6561" spans="7:14" x14ac:dyDescent="0.35">
      <c r="G6561" s="1"/>
      <c r="N6561" s="1"/>
    </row>
    <row r="6562" spans="7:14" x14ac:dyDescent="0.35">
      <c r="G6562" s="1"/>
      <c r="N6562" s="1"/>
    </row>
    <row r="6563" spans="7:14" x14ac:dyDescent="0.35">
      <c r="G6563" s="1"/>
      <c r="N6563" s="1"/>
    </row>
    <row r="6564" spans="7:14" x14ac:dyDescent="0.35">
      <c r="G6564" s="1"/>
      <c r="N6564" s="1"/>
    </row>
    <row r="6565" spans="7:14" x14ac:dyDescent="0.35">
      <c r="G6565" s="1"/>
      <c r="N6565" s="1"/>
    </row>
    <row r="6566" spans="7:14" x14ac:dyDescent="0.35">
      <c r="G6566" s="1"/>
      <c r="N6566" s="1"/>
    </row>
    <row r="6567" spans="7:14" x14ac:dyDescent="0.35">
      <c r="G6567" s="1"/>
      <c r="N6567" s="1"/>
    </row>
    <row r="6568" spans="7:14" x14ac:dyDescent="0.35">
      <c r="G6568" s="1"/>
      <c r="N6568" s="1"/>
    </row>
    <row r="6569" spans="7:14" x14ac:dyDescent="0.35">
      <c r="G6569" s="1"/>
      <c r="N6569" s="1"/>
    </row>
    <row r="6570" spans="7:14" x14ac:dyDescent="0.35">
      <c r="G6570" s="1"/>
      <c r="N6570" s="1"/>
    </row>
    <row r="6571" spans="7:14" x14ac:dyDescent="0.35">
      <c r="G6571" s="1"/>
      <c r="N6571" s="1"/>
    </row>
    <row r="6572" spans="7:14" x14ac:dyDescent="0.35">
      <c r="G6572" s="1"/>
      <c r="N6572" s="1"/>
    </row>
    <row r="6573" spans="7:14" x14ac:dyDescent="0.35">
      <c r="G6573" s="1"/>
      <c r="N6573" s="1"/>
    </row>
    <row r="6574" spans="7:14" x14ac:dyDescent="0.35">
      <c r="G6574" s="1"/>
      <c r="N6574" s="1"/>
    </row>
    <row r="6575" spans="7:14" x14ac:dyDescent="0.35">
      <c r="G6575" s="1"/>
      <c r="N6575" s="1"/>
    </row>
    <row r="6576" spans="7:14" x14ac:dyDescent="0.35">
      <c r="G6576" s="1"/>
      <c r="N6576" s="1"/>
    </row>
    <row r="6577" spans="7:14" x14ac:dyDescent="0.35">
      <c r="G6577" s="1"/>
      <c r="N6577" s="1"/>
    </row>
    <row r="6578" spans="7:14" x14ac:dyDescent="0.35">
      <c r="G6578" s="1"/>
      <c r="N6578" s="1"/>
    </row>
    <row r="6579" spans="7:14" x14ac:dyDescent="0.35">
      <c r="G6579" s="1"/>
      <c r="N6579" s="1"/>
    </row>
    <row r="6580" spans="7:14" x14ac:dyDescent="0.35">
      <c r="G6580" s="1"/>
      <c r="N6580" s="1"/>
    </row>
    <row r="6581" spans="7:14" x14ac:dyDescent="0.35">
      <c r="G6581" s="1"/>
      <c r="N6581" s="1"/>
    </row>
    <row r="6582" spans="7:14" x14ac:dyDescent="0.35">
      <c r="G6582" s="1"/>
      <c r="N6582" s="1"/>
    </row>
    <row r="6583" spans="7:14" x14ac:dyDescent="0.35">
      <c r="G6583" s="1"/>
      <c r="N6583" s="1"/>
    </row>
    <row r="6584" spans="7:14" x14ac:dyDescent="0.35">
      <c r="G6584" s="1"/>
      <c r="N6584" s="1"/>
    </row>
    <row r="6585" spans="7:14" x14ac:dyDescent="0.35">
      <c r="G6585" s="1"/>
      <c r="N6585" s="1"/>
    </row>
    <row r="6586" spans="7:14" x14ac:dyDescent="0.35">
      <c r="G6586" s="1"/>
      <c r="N6586" s="1"/>
    </row>
    <row r="6587" spans="7:14" x14ac:dyDescent="0.35">
      <c r="G6587" s="1"/>
      <c r="N6587" s="1"/>
    </row>
    <row r="6588" spans="7:14" x14ac:dyDescent="0.35">
      <c r="G6588" s="1"/>
      <c r="N6588" s="1"/>
    </row>
    <row r="6589" spans="7:14" x14ac:dyDescent="0.35">
      <c r="G6589" s="1"/>
      <c r="N6589" s="1"/>
    </row>
    <row r="6590" spans="7:14" x14ac:dyDescent="0.35">
      <c r="G6590" s="1"/>
      <c r="N6590" s="1"/>
    </row>
    <row r="6591" spans="7:14" x14ac:dyDescent="0.35">
      <c r="G6591" s="1"/>
      <c r="N6591" s="1"/>
    </row>
    <row r="6592" spans="7:14" x14ac:dyDescent="0.35">
      <c r="G6592" s="1"/>
      <c r="N6592" s="1"/>
    </row>
    <row r="6593" spans="7:14" x14ac:dyDescent="0.35">
      <c r="G6593" s="1"/>
      <c r="N6593" s="1"/>
    </row>
    <row r="6594" spans="7:14" x14ac:dyDescent="0.35">
      <c r="G6594" s="1"/>
      <c r="N6594" s="1"/>
    </row>
    <row r="6595" spans="7:14" x14ac:dyDescent="0.35">
      <c r="G6595" s="1"/>
      <c r="N6595" s="1"/>
    </row>
    <row r="6596" spans="7:14" x14ac:dyDescent="0.35">
      <c r="G6596" s="1"/>
      <c r="N6596" s="1"/>
    </row>
    <row r="6597" spans="7:14" x14ac:dyDescent="0.35">
      <c r="G6597" s="1"/>
      <c r="N6597" s="1"/>
    </row>
    <row r="6598" spans="7:14" x14ac:dyDescent="0.35">
      <c r="G6598" s="1"/>
      <c r="N6598" s="1"/>
    </row>
    <row r="6599" spans="7:14" x14ac:dyDescent="0.35">
      <c r="G6599" s="1"/>
      <c r="N6599" s="1"/>
    </row>
    <row r="6600" spans="7:14" x14ac:dyDescent="0.35">
      <c r="G6600" s="1"/>
      <c r="N6600" s="1"/>
    </row>
    <row r="6601" spans="7:14" x14ac:dyDescent="0.35">
      <c r="G6601" s="1"/>
      <c r="N6601" s="1"/>
    </row>
    <row r="6602" spans="7:14" x14ac:dyDescent="0.35">
      <c r="G6602" s="1"/>
      <c r="N6602" s="1"/>
    </row>
    <row r="6603" spans="7:14" x14ac:dyDescent="0.35">
      <c r="G6603" s="1"/>
      <c r="N6603" s="1"/>
    </row>
    <row r="6604" spans="7:14" x14ac:dyDescent="0.35">
      <c r="G6604" s="1"/>
      <c r="N6604" s="1"/>
    </row>
    <row r="6605" spans="7:14" x14ac:dyDescent="0.35">
      <c r="G6605" s="1"/>
      <c r="N6605" s="1"/>
    </row>
    <row r="6606" spans="7:14" x14ac:dyDescent="0.35">
      <c r="G6606" s="1"/>
      <c r="N6606" s="1"/>
    </row>
    <row r="6607" spans="7:14" x14ac:dyDescent="0.35">
      <c r="G6607" s="1"/>
      <c r="N6607" s="1"/>
    </row>
    <row r="6608" spans="7:14" x14ac:dyDescent="0.35">
      <c r="G6608" s="1"/>
      <c r="N6608" s="1"/>
    </row>
    <row r="6609" spans="7:14" x14ac:dyDescent="0.35">
      <c r="G6609" s="1"/>
      <c r="N6609" s="1"/>
    </row>
    <row r="6610" spans="7:14" x14ac:dyDescent="0.35">
      <c r="G6610" s="1"/>
      <c r="N6610" s="1"/>
    </row>
    <row r="6611" spans="7:14" x14ac:dyDescent="0.35">
      <c r="G6611" s="1"/>
      <c r="N6611" s="1"/>
    </row>
    <row r="6612" spans="7:14" x14ac:dyDescent="0.35">
      <c r="G6612" s="1"/>
      <c r="N6612" s="1"/>
    </row>
    <row r="6613" spans="7:14" x14ac:dyDescent="0.35">
      <c r="G6613" s="1"/>
      <c r="N6613" s="1"/>
    </row>
    <row r="6614" spans="7:14" x14ac:dyDescent="0.35">
      <c r="G6614" s="1"/>
      <c r="N6614" s="1"/>
    </row>
    <row r="6615" spans="7:14" x14ac:dyDescent="0.35">
      <c r="G6615" s="1"/>
      <c r="N6615" s="1"/>
    </row>
    <row r="6616" spans="7:14" x14ac:dyDescent="0.35">
      <c r="G6616" s="1"/>
      <c r="N6616" s="1"/>
    </row>
    <row r="6617" spans="7:14" x14ac:dyDescent="0.35">
      <c r="G6617" s="1"/>
      <c r="N6617" s="1"/>
    </row>
    <row r="6618" spans="7:14" x14ac:dyDescent="0.35">
      <c r="G6618" s="1"/>
      <c r="N6618" s="1"/>
    </row>
    <row r="6619" spans="7:14" x14ac:dyDescent="0.35">
      <c r="G6619" s="1"/>
      <c r="N6619" s="1"/>
    </row>
    <row r="6620" spans="7:14" x14ac:dyDescent="0.35">
      <c r="G6620" s="1"/>
      <c r="N6620" s="1"/>
    </row>
    <row r="6621" spans="7:14" x14ac:dyDescent="0.35">
      <c r="G6621" s="1"/>
      <c r="N6621" s="1"/>
    </row>
    <row r="6622" spans="7:14" x14ac:dyDescent="0.35">
      <c r="G6622" s="1"/>
      <c r="N6622" s="1"/>
    </row>
    <row r="6623" spans="7:14" x14ac:dyDescent="0.35">
      <c r="G6623" s="1"/>
      <c r="N6623" s="1"/>
    </row>
    <row r="6624" spans="7:14" x14ac:dyDescent="0.35">
      <c r="G6624" s="1"/>
      <c r="N6624" s="1"/>
    </row>
    <row r="6625" spans="7:14" x14ac:dyDescent="0.35">
      <c r="G6625" s="1"/>
      <c r="N6625" s="1"/>
    </row>
    <row r="6626" spans="7:14" x14ac:dyDescent="0.35">
      <c r="G6626" s="1"/>
      <c r="N6626" s="1"/>
    </row>
    <row r="6627" spans="7:14" x14ac:dyDescent="0.35">
      <c r="G6627" s="1"/>
      <c r="N6627" s="1"/>
    </row>
    <row r="6628" spans="7:14" x14ac:dyDescent="0.35">
      <c r="G6628" s="1"/>
      <c r="N6628" s="1"/>
    </row>
    <row r="6629" spans="7:14" x14ac:dyDescent="0.35">
      <c r="G6629" s="1"/>
      <c r="N6629" s="1"/>
    </row>
    <row r="6630" spans="7:14" x14ac:dyDescent="0.35">
      <c r="G6630" s="1"/>
      <c r="N6630" s="1"/>
    </row>
    <row r="6631" spans="7:14" x14ac:dyDescent="0.35">
      <c r="G6631" s="1"/>
      <c r="N6631" s="1"/>
    </row>
    <row r="6632" spans="7:14" x14ac:dyDescent="0.35">
      <c r="G6632" s="1"/>
      <c r="N6632" s="1"/>
    </row>
    <row r="6633" spans="7:14" x14ac:dyDescent="0.35">
      <c r="G6633" s="1"/>
      <c r="N6633" s="1"/>
    </row>
    <row r="6634" spans="7:14" x14ac:dyDescent="0.35">
      <c r="G6634" s="1"/>
      <c r="N6634" s="1"/>
    </row>
    <row r="6635" spans="7:14" x14ac:dyDescent="0.35">
      <c r="G6635" s="1"/>
      <c r="N6635" s="1"/>
    </row>
    <row r="6636" spans="7:14" x14ac:dyDescent="0.35">
      <c r="G6636" s="1"/>
      <c r="N6636" s="1"/>
    </row>
    <row r="6637" spans="7:14" x14ac:dyDescent="0.35">
      <c r="G6637" s="1"/>
      <c r="N6637" s="1"/>
    </row>
    <row r="6638" spans="7:14" x14ac:dyDescent="0.35">
      <c r="G6638" s="1"/>
      <c r="N6638" s="1"/>
    </row>
    <row r="6639" spans="7:14" x14ac:dyDescent="0.35">
      <c r="G6639" s="1"/>
      <c r="N6639" s="1"/>
    </row>
    <row r="6640" spans="7:14" x14ac:dyDescent="0.35">
      <c r="G6640" s="1"/>
      <c r="N6640" s="1"/>
    </row>
    <row r="6641" spans="7:14" x14ac:dyDescent="0.35">
      <c r="G6641" s="1"/>
      <c r="N6641" s="1"/>
    </row>
    <row r="6642" spans="7:14" x14ac:dyDescent="0.35">
      <c r="G6642" s="1"/>
      <c r="N6642" s="1"/>
    </row>
    <row r="6643" spans="7:14" x14ac:dyDescent="0.35">
      <c r="G6643" s="1"/>
      <c r="N6643" s="1"/>
    </row>
    <row r="6644" spans="7:14" x14ac:dyDescent="0.35">
      <c r="G6644" s="1"/>
      <c r="N6644" s="1"/>
    </row>
    <row r="6645" spans="7:14" x14ac:dyDescent="0.35">
      <c r="G6645" s="1"/>
      <c r="N6645" s="1"/>
    </row>
    <row r="6646" spans="7:14" x14ac:dyDescent="0.35">
      <c r="G6646" s="1"/>
      <c r="N6646" s="1"/>
    </row>
    <row r="6647" spans="7:14" x14ac:dyDescent="0.35">
      <c r="G6647" s="1"/>
      <c r="N6647" s="1"/>
    </row>
    <row r="6648" spans="7:14" x14ac:dyDescent="0.35">
      <c r="G6648" s="1"/>
      <c r="N6648" s="1"/>
    </row>
    <row r="6649" spans="7:14" x14ac:dyDescent="0.35">
      <c r="G6649" s="1"/>
      <c r="N6649" s="1"/>
    </row>
    <row r="6650" spans="7:14" x14ac:dyDescent="0.35">
      <c r="G6650" s="1"/>
      <c r="N6650" s="1"/>
    </row>
    <row r="6651" spans="7:14" x14ac:dyDescent="0.35">
      <c r="G6651" s="1"/>
      <c r="N6651" s="1"/>
    </row>
    <row r="6652" spans="7:14" x14ac:dyDescent="0.35">
      <c r="G6652" s="1"/>
      <c r="N6652" s="1"/>
    </row>
    <row r="6653" spans="7:14" x14ac:dyDescent="0.35">
      <c r="G6653" s="1"/>
      <c r="N6653" s="1"/>
    </row>
    <row r="6654" spans="7:14" x14ac:dyDescent="0.35">
      <c r="G6654" s="1"/>
      <c r="N6654" s="1"/>
    </row>
    <row r="6655" spans="7:14" x14ac:dyDescent="0.35">
      <c r="G6655" s="1"/>
      <c r="N6655" s="1"/>
    </row>
    <row r="6656" spans="7:14" x14ac:dyDescent="0.35">
      <c r="G6656" s="1"/>
      <c r="N6656" s="1"/>
    </row>
    <row r="6657" spans="7:14" x14ac:dyDescent="0.35">
      <c r="G6657" s="1"/>
      <c r="N6657" s="1"/>
    </row>
    <row r="6658" spans="7:14" x14ac:dyDescent="0.35">
      <c r="G6658" s="1"/>
      <c r="N6658" s="1"/>
    </row>
    <row r="6659" spans="7:14" x14ac:dyDescent="0.35">
      <c r="G6659" s="1"/>
      <c r="N6659" s="1"/>
    </row>
    <row r="6660" spans="7:14" x14ac:dyDescent="0.35">
      <c r="G6660" s="1"/>
      <c r="N6660" s="1"/>
    </row>
    <row r="6661" spans="7:14" x14ac:dyDescent="0.35">
      <c r="G6661" s="1"/>
      <c r="N6661" s="1"/>
    </row>
    <row r="6662" spans="7:14" x14ac:dyDescent="0.35">
      <c r="G6662" s="1"/>
      <c r="N6662" s="1"/>
    </row>
    <row r="6663" spans="7:14" x14ac:dyDescent="0.35">
      <c r="G6663" s="1"/>
      <c r="N6663" s="1"/>
    </row>
    <row r="6664" spans="7:14" x14ac:dyDescent="0.35">
      <c r="G6664" s="1"/>
      <c r="N6664" s="1"/>
    </row>
    <row r="6665" spans="7:14" x14ac:dyDescent="0.35">
      <c r="G6665" s="1"/>
      <c r="N6665" s="1"/>
    </row>
    <row r="6666" spans="7:14" x14ac:dyDescent="0.35">
      <c r="G6666" s="1"/>
      <c r="N6666" s="1"/>
    </row>
    <row r="6667" spans="7:14" x14ac:dyDescent="0.35">
      <c r="G6667" s="1"/>
      <c r="N6667" s="1"/>
    </row>
    <row r="6668" spans="7:14" x14ac:dyDescent="0.35">
      <c r="G6668" s="1"/>
      <c r="N6668" s="1"/>
    </row>
    <row r="6669" spans="7:14" x14ac:dyDescent="0.35">
      <c r="G6669" s="1"/>
      <c r="N6669" s="1"/>
    </row>
    <row r="6670" spans="7:14" x14ac:dyDescent="0.35">
      <c r="G6670" s="1"/>
      <c r="N6670" s="1"/>
    </row>
    <row r="6671" spans="7:14" x14ac:dyDescent="0.35">
      <c r="G6671" s="1"/>
      <c r="N6671" s="1"/>
    </row>
    <row r="6672" spans="7:14" x14ac:dyDescent="0.35">
      <c r="G6672" s="1"/>
      <c r="N6672" s="1"/>
    </row>
    <row r="6673" spans="7:14" x14ac:dyDescent="0.35">
      <c r="G6673" s="1"/>
      <c r="N6673" s="1"/>
    </row>
    <row r="6674" spans="7:14" x14ac:dyDescent="0.35">
      <c r="G6674" s="1"/>
      <c r="N6674" s="1"/>
    </row>
    <row r="6675" spans="7:14" x14ac:dyDescent="0.35">
      <c r="G6675" s="1"/>
      <c r="N6675" s="1"/>
    </row>
    <row r="6676" spans="7:14" x14ac:dyDescent="0.35">
      <c r="G6676" s="1"/>
      <c r="N6676" s="1"/>
    </row>
    <row r="6677" spans="7:14" x14ac:dyDescent="0.35">
      <c r="G6677" s="1"/>
      <c r="N6677" s="1"/>
    </row>
    <row r="6678" spans="7:14" x14ac:dyDescent="0.35">
      <c r="G6678" s="1"/>
      <c r="N6678" s="1"/>
    </row>
    <row r="6679" spans="7:14" x14ac:dyDescent="0.35">
      <c r="G6679" s="1"/>
      <c r="N6679" s="1"/>
    </row>
    <row r="6680" spans="7:14" x14ac:dyDescent="0.35">
      <c r="G6680" s="1"/>
      <c r="N6680" s="1"/>
    </row>
    <row r="6681" spans="7:14" x14ac:dyDescent="0.35">
      <c r="G6681" s="1"/>
      <c r="N6681" s="1"/>
    </row>
    <row r="6682" spans="7:14" x14ac:dyDescent="0.35">
      <c r="G6682" s="1"/>
      <c r="N6682" s="1"/>
    </row>
    <row r="6683" spans="7:14" x14ac:dyDescent="0.35">
      <c r="G6683" s="1"/>
      <c r="N6683" s="1"/>
    </row>
    <row r="6684" spans="7:14" x14ac:dyDescent="0.35">
      <c r="G6684" s="1"/>
      <c r="N6684" s="1"/>
    </row>
    <row r="6685" spans="7:14" x14ac:dyDescent="0.35">
      <c r="G6685" s="1"/>
      <c r="N6685" s="1"/>
    </row>
    <row r="6686" spans="7:14" x14ac:dyDescent="0.35">
      <c r="G6686" s="1"/>
      <c r="N6686" s="1"/>
    </row>
    <row r="6687" spans="7:14" x14ac:dyDescent="0.35">
      <c r="G6687" s="1"/>
      <c r="N6687" s="1"/>
    </row>
    <row r="6688" spans="7:14" x14ac:dyDescent="0.35">
      <c r="G6688" s="1"/>
      <c r="N6688" s="1"/>
    </row>
    <row r="6689" spans="7:14" x14ac:dyDescent="0.35">
      <c r="G6689" s="1"/>
      <c r="N6689" s="1"/>
    </row>
    <row r="6690" spans="7:14" x14ac:dyDescent="0.35">
      <c r="G6690" s="1"/>
      <c r="N6690" s="1"/>
    </row>
    <row r="6691" spans="7:14" x14ac:dyDescent="0.35">
      <c r="G6691" s="1"/>
      <c r="N6691" s="1"/>
    </row>
    <row r="6692" spans="7:14" x14ac:dyDescent="0.35">
      <c r="G6692" s="1"/>
      <c r="N6692" s="1"/>
    </row>
    <row r="6693" spans="7:14" x14ac:dyDescent="0.35">
      <c r="G6693" s="1"/>
      <c r="N6693" s="1"/>
    </row>
    <row r="6694" spans="7:14" x14ac:dyDescent="0.35">
      <c r="G6694" s="1"/>
      <c r="N6694" s="1"/>
    </row>
    <row r="6695" spans="7:14" x14ac:dyDescent="0.35">
      <c r="G6695" s="1"/>
      <c r="N6695" s="1"/>
    </row>
    <row r="6696" spans="7:14" x14ac:dyDescent="0.35">
      <c r="G6696" s="1"/>
      <c r="N6696" s="1"/>
    </row>
    <row r="6697" spans="7:14" x14ac:dyDescent="0.35">
      <c r="G6697" s="1"/>
      <c r="N6697" s="1"/>
    </row>
    <row r="6698" spans="7:14" x14ac:dyDescent="0.35">
      <c r="G6698" s="1"/>
      <c r="N6698" s="1"/>
    </row>
    <row r="6699" spans="7:14" x14ac:dyDescent="0.35">
      <c r="G6699" s="1"/>
      <c r="N6699" s="1"/>
    </row>
    <row r="6700" spans="7:14" x14ac:dyDescent="0.35">
      <c r="G6700" s="1"/>
      <c r="N6700" s="1"/>
    </row>
    <row r="6701" spans="7:14" x14ac:dyDescent="0.35">
      <c r="G6701" s="1"/>
      <c r="N6701" s="1"/>
    </row>
    <row r="6702" spans="7:14" x14ac:dyDescent="0.35">
      <c r="G6702" s="1"/>
      <c r="N6702" s="1"/>
    </row>
    <row r="6703" spans="7:14" x14ac:dyDescent="0.35">
      <c r="G6703" s="1"/>
      <c r="N6703" s="1"/>
    </row>
    <row r="6704" spans="7:14" x14ac:dyDescent="0.35">
      <c r="G6704" s="1"/>
      <c r="N6704" s="1"/>
    </row>
    <row r="6705" spans="7:14" x14ac:dyDescent="0.35">
      <c r="G6705" s="1"/>
      <c r="N6705" s="1"/>
    </row>
    <row r="6706" spans="7:14" x14ac:dyDescent="0.35">
      <c r="G6706" s="1"/>
      <c r="N6706" s="1"/>
    </row>
    <row r="6707" spans="7:14" x14ac:dyDescent="0.35">
      <c r="G6707" s="1"/>
      <c r="N6707" s="1"/>
    </row>
    <row r="6708" spans="7:14" x14ac:dyDescent="0.35">
      <c r="G6708" s="1"/>
      <c r="N6708" s="1"/>
    </row>
    <row r="6709" spans="7:14" x14ac:dyDescent="0.35">
      <c r="G6709" s="1"/>
      <c r="N6709" s="1"/>
    </row>
    <row r="6710" spans="7:14" x14ac:dyDescent="0.35">
      <c r="G6710" s="1"/>
      <c r="N6710" s="1"/>
    </row>
    <row r="6711" spans="7:14" x14ac:dyDescent="0.35">
      <c r="G6711" s="1"/>
      <c r="N6711" s="1"/>
    </row>
    <row r="6712" spans="7:14" x14ac:dyDescent="0.35">
      <c r="G6712" s="1"/>
      <c r="N6712" s="1"/>
    </row>
    <row r="6713" spans="7:14" x14ac:dyDescent="0.35">
      <c r="G6713" s="1"/>
      <c r="N6713" s="1"/>
    </row>
    <row r="6714" spans="7:14" x14ac:dyDescent="0.35">
      <c r="G6714" s="1"/>
      <c r="N6714" s="1"/>
    </row>
    <row r="6715" spans="7:14" x14ac:dyDescent="0.35">
      <c r="G6715" s="1"/>
      <c r="N6715" s="1"/>
    </row>
    <row r="6716" spans="7:14" x14ac:dyDescent="0.35">
      <c r="G6716" s="1"/>
      <c r="N6716" s="1"/>
    </row>
    <row r="6717" spans="7:14" x14ac:dyDescent="0.35">
      <c r="G6717" s="1"/>
      <c r="N6717" s="1"/>
    </row>
    <row r="6718" spans="7:14" x14ac:dyDescent="0.35">
      <c r="G6718" s="1"/>
      <c r="N6718" s="1"/>
    </row>
    <row r="6719" spans="7:14" x14ac:dyDescent="0.35">
      <c r="G6719" s="1"/>
      <c r="N6719" s="1"/>
    </row>
    <row r="6720" spans="7:14" x14ac:dyDescent="0.35">
      <c r="G6720" s="1"/>
      <c r="N6720" s="1"/>
    </row>
    <row r="6721" spans="7:14" x14ac:dyDescent="0.35">
      <c r="G6721" s="1"/>
      <c r="N6721" s="1"/>
    </row>
    <row r="6722" spans="7:14" x14ac:dyDescent="0.35">
      <c r="G6722" s="1"/>
      <c r="N6722" s="1"/>
    </row>
    <row r="6723" spans="7:14" x14ac:dyDescent="0.35">
      <c r="G6723" s="1"/>
      <c r="N6723" s="1"/>
    </row>
    <row r="6724" spans="7:14" x14ac:dyDescent="0.35">
      <c r="G6724" s="1"/>
      <c r="N6724" s="1"/>
    </row>
    <row r="6725" spans="7:14" x14ac:dyDescent="0.35">
      <c r="G6725" s="1"/>
      <c r="N6725" s="1"/>
    </row>
    <row r="6726" spans="7:14" x14ac:dyDescent="0.35">
      <c r="G6726" s="1"/>
      <c r="N6726" s="1"/>
    </row>
    <row r="6727" spans="7:14" x14ac:dyDescent="0.35">
      <c r="G6727" s="1"/>
      <c r="N6727" s="1"/>
    </row>
    <row r="6728" spans="7:14" x14ac:dyDescent="0.35">
      <c r="G6728" s="1"/>
      <c r="N6728" s="1"/>
    </row>
    <row r="6729" spans="7:14" x14ac:dyDescent="0.35">
      <c r="G6729" s="1"/>
      <c r="N6729" s="1"/>
    </row>
    <row r="6730" spans="7:14" x14ac:dyDescent="0.35">
      <c r="G6730" s="1"/>
      <c r="N6730" s="1"/>
    </row>
    <row r="6731" spans="7:14" x14ac:dyDescent="0.35">
      <c r="G6731" s="1"/>
      <c r="N6731" s="1"/>
    </row>
    <row r="6732" spans="7:14" x14ac:dyDescent="0.35">
      <c r="G6732" s="1"/>
      <c r="N6732" s="1"/>
    </row>
    <row r="6733" spans="7:14" x14ac:dyDescent="0.35">
      <c r="G6733" s="1"/>
      <c r="N6733" s="1"/>
    </row>
    <row r="6734" spans="7:14" x14ac:dyDescent="0.35">
      <c r="G6734" s="1"/>
      <c r="N6734" s="1"/>
    </row>
    <row r="6735" spans="7:14" x14ac:dyDescent="0.35">
      <c r="G6735" s="1"/>
      <c r="N6735" s="1"/>
    </row>
    <row r="6736" spans="7:14" x14ac:dyDescent="0.35">
      <c r="G6736" s="1"/>
      <c r="N6736" s="1"/>
    </row>
    <row r="6737" spans="7:14" x14ac:dyDescent="0.35">
      <c r="G6737" s="1"/>
      <c r="N6737" s="1"/>
    </row>
    <row r="6738" spans="7:14" x14ac:dyDescent="0.35">
      <c r="G6738" s="1"/>
      <c r="N6738" s="1"/>
    </row>
    <row r="6739" spans="7:14" x14ac:dyDescent="0.35">
      <c r="G6739" s="1"/>
      <c r="N6739" s="1"/>
    </row>
    <row r="6740" spans="7:14" x14ac:dyDescent="0.35">
      <c r="G6740" s="1"/>
      <c r="N6740" s="1"/>
    </row>
    <row r="6741" spans="7:14" x14ac:dyDescent="0.35">
      <c r="G6741" s="1"/>
      <c r="N6741" s="1"/>
    </row>
    <row r="6742" spans="7:14" x14ac:dyDescent="0.35">
      <c r="G6742" s="1"/>
      <c r="N6742" s="1"/>
    </row>
    <row r="6743" spans="7:14" x14ac:dyDescent="0.35">
      <c r="G6743" s="1"/>
      <c r="N6743" s="1"/>
    </row>
    <row r="6744" spans="7:14" x14ac:dyDescent="0.35">
      <c r="G6744" s="1"/>
      <c r="N6744" s="1"/>
    </row>
    <row r="6745" spans="7:14" x14ac:dyDescent="0.35">
      <c r="G6745" s="1"/>
      <c r="N6745" s="1"/>
    </row>
    <row r="6746" spans="7:14" x14ac:dyDescent="0.35">
      <c r="G6746" s="1"/>
      <c r="N6746" s="1"/>
    </row>
    <row r="6747" spans="7:14" x14ac:dyDescent="0.35">
      <c r="G6747" s="1"/>
      <c r="N6747" s="1"/>
    </row>
    <row r="6748" spans="7:14" x14ac:dyDescent="0.35">
      <c r="G6748" s="1"/>
      <c r="N6748" s="1"/>
    </row>
    <row r="6749" spans="7:14" x14ac:dyDescent="0.35">
      <c r="G6749" s="1"/>
      <c r="N6749" s="1"/>
    </row>
    <row r="6750" spans="7:14" x14ac:dyDescent="0.35">
      <c r="G6750" s="1"/>
      <c r="N6750" s="1"/>
    </row>
    <row r="6751" spans="7:14" x14ac:dyDescent="0.35">
      <c r="G6751" s="1"/>
      <c r="N6751" s="1"/>
    </row>
    <row r="6752" spans="7:14" x14ac:dyDescent="0.35">
      <c r="G6752" s="1"/>
      <c r="N6752" s="1"/>
    </row>
    <row r="6753" spans="7:14" x14ac:dyDescent="0.35">
      <c r="G6753" s="1"/>
      <c r="N6753" s="1"/>
    </row>
    <row r="6754" spans="7:14" x14ac:dyDescent="0.35">
      <c r="G6754" s="1"/>
      <c r="N6754" s="1"/>
    </row>
    <row r="6755" spans="7:14" x14ac:dyDescent="0.35">
      <c r="G6755" s="1"/>
      <c r="N6755" s="1"/>
    </row>
    <row r="6756" spans="7:14" x14ac:dyDescent="0.35">
      <c r="G6756" s="1"/>
      <c r="N6756" s="1"/>
    </row>
    <row r="6757" spans="7:14" x14ac:dyDescent="0.35">
      <c r="G6757" s="1"/>
      <c r="N6757" s="1"/>
    </row>
    <row r="6758" spans="7:14" x14ac:dyDescent="0.35">
      <c r="G6758" s="1"/>
      <c r="N6758" s="1"/>
    </row>
    <row r="6759" spans="7:14" x14ac:dyDescent="0.35">
      <c r="G6759" s="1"/>
      <c r="N6759" s="1"/>
    </row>
    <row r="6760" spans="7:14" x14ac:dyDescent="0.35">
      <c r="G6760" s="1"/>
      <c r="N6760" s="1"/>
    </row>
    <row r="6761" spans="7:14" x14ac:dyDescent="0.35">
      <c r="G6761" s="1"/>
      <c r="N6761" s="1"/>
    </row>
    <row r="6762" spans="7:14" x14ac:dyDescent="0.35">
      <c r="G6762" s="1"/>
      <c r="N6762" s="1"/>
    </row>
    <row r="6763" spans="7:14" x14ac:dyDescent="0.35">
      <c r="G6763" s="1"/>
      <c r="N6763" s="1"/>
    </row>
    <row r="6764" spans="7:14" x14ac:dyDescent="0.35">
      <c r="G6764" s="1"/>
      <c r="N6764" s="1"/>
    </row>
    <row r="6765" spans="7:14" x14ac:dyDescent="0.35">
      <c r="G6765" s="1"/>
      <c r="N6765" s="1"/>
    </row>
    <row r="6766" spans="7:14" x14ac:dyDescent="0.35">
      <c r="G6766" s="1"/>
      <c r="N6766" s="1"/>
    </row>
    <row r="6767" spans="7:14" x14ac:dyDescent="0.35">
      <c r="G6767" s="1"/>
      <c r="N6767" s="1"/>
    </row>
    <row r="6768" spans="7:14" x14ac:dyDescent="0.35">
      <c r="G6768" s="1"/>
      <c r="N6768" s="1"/>
    </row>
    <row r="6769" spans="7:14" x14ac:dyDescent="0.35">
      <c r="G6769" s="1"/>
      <c r="N6769" s="1"/>
    </row>
    <row r="6770" spans="7:14" x14ac:dyDescent="0.35">
      <c r="G6770" s="1"/>
      <c r="N6770" s="1"/>
    </row>
    <row r="6771" spans="7:14" x14ac:dyDescent="0.35">
      <c r="G6771" s="1"/>
      <c r="N6771" s="1"/>
    </row>
    <row r="6772" spans="7:14" x14ac:dyDescent="0.35">
      <c r="G6772" s="1"/>
      <c r="N6772" s="1"/>
    </row>
    <row r="6773" spans="7:14" x14ac:dyDescent="0.35">
      <c r="G6773" s="1"/>
      <c r="N6773" s="1"/>
    </row>
    <row r="6774" spans="7:14" x14ac:dyDescent="0.35">
      <c r="G6774" s="1"/>
      <c r="N6774" s="1"/>
    </row>
    <row r="6775" spans="7:14" x14ac:dyDescent="0.35">
      <c r="G6775" s="1"/>
      <c r="N6775" s="1"/>
    </row>
    <row r="6776" spans="7:14" x14ac:dyDescent="0.35">
      <c r="G6776" s="1"/>
      <c r="N6776" s="1"/>
    </row>
    <row r="6777" spans="7:14" x14ac:dyDescent="0.35">
      <c r="G6777" s="1"/>
      <c r="N6777" s="1"/>
    </row>
    <row r="6778" spans="7:14" x14ac:dyDescent="0.35">
      <c r="G6778" s="1"/>
      <c r="N6778" s="1"/>
    </row>
    <row r="6779" spans="7:14" x14ac:dyDescent="0.35">
      <c r="G6779" s="1"/>
      <c r="N6779" s="1"/>
    </row>
    <row r="6780" spans="7:14" x14ac:dyDescent="0.35">
      <c r="G6780" s="1"/>
      <c r="N6780" s="1"/>
    </row>
    <row r="6781" spans="7:14" x14ac:dyDescent="0.35">
      <c r="G6781" s="1"/>
      <c r="N6781" s="1"/>
    </row>
    <row r="6782" spans="7:14" x14ac:dyDescent="0.35">
      <c r="G6782" s="1"/>
      <c r="N6782" s="1"/>
    </row>
    <row r="6783" spans="7:14" x14ac:dyDescent="0.35">
      <c r="G6783" s="1"/>
      <c r="N6783" s="1"/>
    </row>
    <row r="6784" spans="7:14" x14ac:dyDescent="0.35">
      <c r="G6784" s="1"/>
      <c r="N6784" s="1"/>
    </row>
    <row r="6785" spans="7:14" x14ac:dyDescent="0.35">
      <c r="G6785" s="1"/>
      <c r="N6785" s="1"/>
    </row>
    <row r="6786" spans="7:14" x14ac:dyDescent="0.35">
      <c r="G6786" s="1"/>
      <c r="N6786" s="1"/>
    </row>
    <row r="6787" spans="7:14" x14ac:dyDescent="0.35">
      <c r="G6787" s="1"/>
      <c r="N6787" s="1"/>
    </row>
    <row r="6788" spans="7:14" x14ac:dyDescent="0.35">
      <c r="G6788" s="1"/>
      <c r="N6788" s="1"/>
    </row>
    <row r="6789" spans="7:14" x14ac:dyDescent="0.35">
      <c r="G6789" s="1"/>
      <c r="N6789" s="1"/>
    </row>
    <row r="6790" spans="7:14" x14ac:dyDescent="0.35">
      <c r="G6790" s="1"/>
      <c r="N6790" s="1"/>
    </row>
    <row r="6791" spans="7:14" x14ac:dyDescent="0.35">
      <c r="G6791" s="1"/>
      <c r="N6791" s="1"/>
    </row>
    <row r="6792" spans="7:14" x14ac:dyDescent="0.35">
      <c r="G6792" s="1"/>
      <c r="N6792" s="1"/>
    </row>
    <row r="6793" spans="7:14" x14ac:dyDescent="0.35">
      <c r="G6793" s="1"/>
      <c r="N6793" s="1"/>
    </row>
    <row r="6794" spans="7:14" x14ac:dyDescent="0.35">
      <c r="G6794" s="1"/>
      <c r="N6794" s="1"/>
    </row>
    <row r="6795" spans="7:14" x14ac:dyDescent="0.35">
      <c r="G6795" s="1"/>
      <c r="N6795" s="1"/>
    </row>
    <row r="6796" spans="7:14" x14ac:dyDescent="0.35">
      <c r="G6796" s="1"/>
      <c r="N6796" s="1"/>
    </row>
    <row r="6797" spans="7:14" x14ac:dyDescent="0.35">
      <c r="G6797" s="1"/>
      <c r="N6797" s="1"/>
    </row>
    <row r="6798" spans="7:14" x14ac:dyDescent="0.35">
      <c r="G6798" s="1"/>
      <c r="N6798" s="1"/>
    </row>
    <row r="6799" spans="7:14" x14ac:dyDescent="0.35">
      <c r="G6799" s="1"/>
      <c r="N6799" s="1"/>
    </row>
    <row r="6800" spans="7:14" x14ac:dyDescent="0.35">
      <c r="G6800" s="1"/>
      <c r="N6800" s="1"/>
    </row>
    <row r="6801" spans="7:14" x14ac:dyDescent="0.35">
      <c r="G6801" s="1"/>
      <c r="N6801" s="1"/>
    </row>
    <row r="6802" spans="7:14" x14ac:dyDescent="0.35">
      <c r="G6802" s="1"/>
      <c r="N6802" s="1"/>
    </row>
    <row r="6803" spans="7:14" x14ac:dyDescent="0.35">
      <c r="G6803" s="1"/>
      <c r="N6803" s="1"/>
    </row>
    <row r="6804" spans="7:14" x14ac:dyDescent="0.35">
      <c r="G6804" s="1"/>
      <c r="N6804" s="1"/>
    </row>
    <row r="6805" spans="7:14" x14ac:dyDescent="0.35">
      <c r="G6805" s="1"/>
      <c r="N6805" s="1"/>
    </row>
    <row r="6806" spans="7:14" x14ac:dyDescent="0.35">
      <c r="G6806" s="1"/>
      <c r="N6806" s="1"/>
    </row>
    <row r="6807" spans="7:14" x14ac:dyDescent="0.35">
      <c r="G6807" s="1"/>
      <c r="N6807" s="1"/>
    </row>
    <row r="6808" spans="7:14" x14ac:dyDescent="0.35">
      <c r="G6808" s="1"/>
      <c r="N6808" s="1"/>
    </row>
    <row r="6809" spans="7:14" x14ac:dyDescent="0.35">
      <c r="G6809" s="1"/>
      <c r="N6809" s="1"/>
    </row>
    <row r="6810" spans="7:14" x14ac:dyDescent="0.35">
      <c r="G6810" s="1"/>
      <c r="N6810" s="1"/>
    </row>
    <row r="6811" spans="7:14" x14ac:dyDescent="0.35">
      <c r="G6811" s="1"/>
      <c r="N6811" s="1"/>
    </row>
    <row r="6812" spans="7:14" x14ac:dyDescent="0.35">
      <c r="G6812" s="1"/>
      <c r="N6812" s="1"/>
    </row>
    <row r="6813" spans="7:14" x14ac:dyDescent="0.35">
      <c r="G6813" s="1"/>
      <c r="N6813" s="1"/>
    </row>
    <row r="6814" spans="7:14" x14ac:dyDescent="0.35">
      <c r="G6814" s="1"/>
      <c r="N6814" s="1"/>
    </row>
    <row r="6815" spans="7:14" x14ac:dyDescent="0.35">
      <c r="G6815" s="1"/>
      <c r="N6815" s="1"/>
    </row>
    <row r="6816" spans="7:14" x14ac:dyDescent="0.35">
      <c r="G6816" s="1"/>
      <c r="N6816" s="1"/>
    </row>
    <row r="6817" spans="7:14" x14ac:dyDescent="0.35">
      <c r="G6817" s="1"/>
      <c r="N6817" s="1"/>
    </row>
    <row r="6818" spans="7:14" x14ac:dyDescent="0.35">
      <c r="G6818" s="1"/>
      <c r="N6818" s="1"/>
    </row>
    <row r="6819" spans="7:14" x14ac:dyDescent="0.35">
      <c r="G6819" s="1"/>
      <c r="N6819" s="1"/>
    </row>
    <row r="6820" spans="7:14" x14ac:dyDescent="0.35">
      <c r="G6820" s="1"/>
      <c r="N6820" s="1"/>
    </row>
    <row r="6821" spans="7:14" x14ac:dyDescent="0.35">
      <c r="G6821" s="1"/>
      <c r="N6821" s="1"/>
    </row>
    <row r="6822" spans="7:14" x14ac:dyDescent="0.35">
      <c r="G6822" s="1"/>
      <c r="N6822" s="1"/>
    </row>
    <row r="6823" spans="7:14" x14ac:dyDescent="0.35">
      <c r="G6823" s="1"/>
      <c r="N6823" s="1"/>
    </row>
    <row r="6824" spans="7:14" x14ac:dyDescent="0.35">
      <c r="G6824" s="1"/>
      <c r="N6824" s="1"/>
    </row>
    <row r="6825" spans="7:14" x14ac:dyDescent="0.35">
      <c r="G6825" s="1"/>
      <c r="N6825" s="1"/>
    </row>
    <row r="6826" spans="7:14" x14ac:dyDescent="0.35">
      <c r="G6826" s="1"/>
      <c r="N6826" s="1"/>
    </row>
    <row r="6827" spans="7:14" x14ac:dyDescent="0.35">
      <c r="G6827" s="1"/>
      <c r="N6827" s="1"/>
    </row>
    <row r="6828" spans="7:14" x14ac:dyDescent="0.35">
      <c r="G6828" s="1"/>
      <c r="N6828" s="1"/>
    </row>
    <row r="6829" spans="7:14" x14ac:dyDescent="0.35">
      <c r="G6829" s="1"/>
      <c r="N6829" s="1"/>
    </row>
    <row r="6830" spans="7:14" x14ac:dyDescent="0.35">
      <c r="G6830" s="1"/>
      <c r="N6830" s="1"/>
    </row>
    <row r="6831" spans="7:14" x14ac:dyDescent="0.35">
      <c r="G6831" s="1"/>
      <c r="N6831" s="1"/>
    </row>
    <row r="6832" spans="7:14" x14ac:dyDescent="0.35">
      <c r="G6832" s="1"/>
      <c r="N6832" s="1"/>
    </row>
    <row r="6833" spans="7:14" x14ac:dyDescent="0.35">
      <c r="G6833" s="1"/>
      <c r="N6833" s="1"/>
    </row>
    <row r="6834" spans="7:14" x14ac:dyDescent="0.35">
      <c r="G6834" s="1"/>
      <c r="N6834" s="1"/>
    </row>
    <row r="6835" spans="7:14" x14ac:dyDescent="0.35">
      <c r="G6835" s="1"/>
      <c r="N6835" s="1"/>
    </row>
    <row r="6836" spans="7:14" x14ac:dyDescent="0.35">
      <c r="G6836" s="1"/>
      <c r="N6836" s="1"/>
    </row>
    <row r="6837" spans="7:14" x14ac:dyDescent="0.35">
      <c r="G6837" s="1"/>
      <c r="N6837" s="1"/>
    </row>
    <row r="6838" spans="7:14" x14ac:dyDescent="0.35">
      <c r="G6838" s="1"/>
      <c r="N6838" s="1"/>
    </row>
    <row r="6839" spans="7:14" x14ac:dyDescent="0.35">
      <c r="G6839" s="1"/>
      <c r="N6839" s="1"/>
    </row>
    <row r="6840" spans="7:14" x14ac:dyDescent="0.35">
      <c r="G6840" s="1"/>
      <c r="N6840" s="1"/>
    </row>
    <row r="6841" spans="7:14" x14ac:dyDescent="0.35">
      <c r="G6841" s="1"/>
      <c r="N6841" s="1"/>
    </row>
    <row r="6842" spans="7:14" x14ac:dyDescent="0.35">
      <c r="G6842" s="1"/>
      <c r="N6842" s="1"/>
    </row>
    <row r="6843" spans="7:14" x14ac:dyDescent="0.35">
      <c r="G6843" s="1"/>
      <c r="N6843" s="1"/>
    </row>
    <row r="6844" spans="7:14" x14ac:dyDescent="0.35">
      <c r="G6844" s="1"/>
      <c r="N6844" s="1"/>
    </row>
    <row r="6845" spans="7:14" x14ac:dyDescent="0.35">
      <c r="G6845" s="1"/>
      <c r="N6845" s="1"/>
    </row>
    <row r="6846" spans="7:14" x14ac:dyDescent="0.35">
      <c r="G6846" s="1"/>
      <c r="N6846" s="1"/>
    </row>
    <row r="6847" spans="7:14" x14ac:dyDescent="0.35">
      <c r="G6847" s="1"/>
      <c r="N6847" s="1"/>
    </row>
    <row r="6848" spans="7:14" x14ac:dyDescent="0.35">
      <c r="G6848" s="1"/>
      <c r="N6848" s="1"/>
    </row>
    <row r="6849" spans="7:14" x14ac:dyDescent="0.35">
      <c r="G6849" s="1"/>
      <c r="N6849" s="1"/>
    </row>
    <row r="6850" spans="7:14" x14ac:dyDescent="0.35">
      <c r="G6850" s="1"/>
      <c r="N6850" s="1"/>
    </row>
    <row r="6851" spans="7:14" x14ac:dyDescent="0.35">
      <c r="G6851" s="1"/>
      <c r="N6851" s="1"/>
    </row>
    <row r="6852" spans="7:14" x14ac:dyDescent="0.35">
      <c r="G6852" s="1"/>
      <c r="N6852" s="1"/>
    </row>
    <row r="6853" spans="7:14" x14ac:dyDescent="0.35">
      <c r="G6853" s="1"/>
      <c r="N6853" s="1"/>
    </row>
    <row r="6854" spans="7:14" x14ac:dyDescent="0.35">
      <c r="G6854" s="1"/>
      <c r="N6854" s="1"/>
    </row>
    <row r="6855" spans="7:14" x14ac:dyDescent="0.35">
      <c r="G6855" s="1"/>
      <c r="N6855" s="1"/>
    </row>
    <row r="6856" spans="7:14" x14ac:dyDescent="0.35">
      <c r="G6856" s="1"/>
      <c r="N6856" s="1"/>
    </row>
    <row r="6857" spans="7:14" x14ac:dyDescent="0.35">
      <c r="G6857" s="1"/>
      <c r="N6857" s="1"/>
    </row>
    <row r="6858" spans="7:14" x14ac:dyDescent="0.35">
      <c r="G6858" s="1"/>
      <c r="N6858" s="1"/>
    </row>
    <row r="6859" spans="7:14" x14ac:dyDescent="0.35">
      <c r="G6859" s="1"/>
      <c r="N6859" s="1"/>
    </row>
    <row r="6860" spans="7:14" x14ac:dyDescent="0.35">
      <c r="G6860" s="1"/>
      <c r="N6860" s="1"/>
    </row>
    <row r="6861" spans="7:14" x14ac:dyDescent="0.35">
      <c r="G6861" s="1"/>
      <c r="N6861" s="1"/>
    </row>
    <row r="6862" spans="7:14" x14ac:dyDescent="0.35">
      <c r="G6862" s="1"/>
      <c r="N6862" s="1"/>
    </row>
    <row r="6863" spans="7:14" x14ac:dyDescent="0.35">
      <c r="G6863" s="1"/>
      <c r="N6863" s="1"/>
    </row>
    <row r="6864" spans="7:14" x14ac:dyDescent="0.35">
      <c r="G6864" s="1"/>
      <c r="N6864" s="1"/>
    </row>
    <row r="6865" spans="7:14" x14ac:dyDescent="0.35">
      <c r="G6865" s="1"/>
      <c r="N6865" s="1"/>
    </row>
    <row r="6866" spans="7:14" x14ac:dyDescent="0.35">
      <c r="G6866" s="1"/>
      <c r="N6866" s="1"/>
    </row>
    <row r="6867" spans="7:14" x14ac:dyDescent="0.35">
      <c r="G6867" s="1"/>
      <c r="N6867" s="1"/>
    </row>
    <row r="6868" spans="7:14" x14ac:dyDescent="0.35">
      <c r="G6868" s="1"/>
      <c r="N6868" s="1"/>
    </row>
    <row r="6869" spans="7:14" x14ac:dyDescent="0.35">
      <c r="G6869" s="1"/>
      <c r="N6869" s="1"/>
    </row>
    <row r="6870" spans="7:14" x14ac:dyDescent="0.35">
      <c r="G6870" s="1"/>
      <c r="N6870" s="1"/>
    </row>
    <row r="6871" spans="7:14" x14ac:dyDescent="0.35">
      <c r="G6871" s="1"/>
      <c r="N6871" s="1"/>
    </row>
    <row r="6872" spans="7:14" x14ac:dyDescent="0.35">
      <c r="G6872" s="1"/>
      <c r="N6872" s="1"/>
    </row>
    <row r="6873" spans="7:14" x14ac:dyDescent="0.35">
      <c r="G6873" s="1"/>
      <c r="N6873" s="1"/>
    </row>
    <row r="6874" spans="7:14" x14ac:dyDescent="0.35">
      <c r="G6874" s="1"/>
      <c r="N6874" s="1"/>
    </row>
    <row r="6875" spans="7:14" x14ac:dyDescent="0.35">
      <c r="G6875" s="1"/>
      <c r="N6875" s="1"/>
    </row>
    <row r="6876" spans="7:14" x14ac:dyDescent="0.35">
      <c r="G6876" s="1"/>
      <c r="N6876" s="1"/>
    </row>
    <row r="6877" spans="7:14" x14ac:dyDescent="0.35">
      <c r="G6877" s="1"/>
      <c r="N6877" s="1"/>
    </row>
    <row r="6878" spans="7:14" x14ac:dyDescent="0.35">
      <c r="G6878" s="1"/>
      <c r="N6878" s="1"/>
    </row>
    <row r="6879" spans="7:14" x14ac:dyDescent="0.35">
      <c r="G6879" s="1"/>
      <c r="N6879" s="1"/>
    </row>
    <row r="6880" spans="7:14" x14ac:dyDescent="0.35">
      <c r="G6880" s="1"/>
      <c r="N6880" s="1"/>
    </row>
    <row r="6881" spans="7:14" x14ac:dyDescent="0.35">
      <c r="G6881" s="1"/>
      <c r="N6881" s="1"/>
    </row>
    <row r="6882" spans="7:14" x14ac:dyDescent="0.35">
      <c r="G6882" s="1"/>
      <c r="N6882" s="1"/>
    </row>
    <row r="6883" spans="7:14" x14ac:dyDescent="0.35">
      <c r="G6883" s="1"/>
      <c r="N6883" s="1"/>
    </row>
    <row r="6884" spans="7:14" x14ac:dyDescent="0.35">
      <c r="G6884" s="1"/>
      <c r="N6884" s="1"/>
    </row>
    <row r="6885" spans="7:14" x14ac:dyDescent="0.35">
      <c r="G6885" s="1"/>
      <c r="N6885" s="1"/>
    </row>
    <row r="6886" spans="7:14" x14ac:dyDescent="0.35">
      <c r="G6886" s="1"/>
      <c r="N6886" s="1"/>
    </row>
    <row r="6887" spans="7:14" x14ac:dyDescent="0.35">
      <c r="G6887" s="1"/>
      <c r="N6887" s="1"/>
    </row>
    <row r="6888" spans="7:14" x14ac:dyDescent="0.35">
      <c r="G6888" s="1"/>
      <c r="N6888" s="1"/>
    </row>
    <row r="6889" spans="7:14" x14ac:dyDescent="0.35">
      <c r="G6889" s="1"/>
      <c r="N6889" s="1"/>
    </row>
    <row r="6890" spans="7:14" x14ac:dyDescent="0.35">
      <c r="G6890" s="1"/>
      <c r="N6890" s="1"/>
    </row>
    <row r="6891" spans="7:14" x14ac:dyDescent="0.35">
      <c r="G6891" s="1"/>
      <c r="N6891" s="1"/>
    </row>
    <row r="6892" spans="7:14" x14ac:dyDescent="0.35">
      <c r="G6892" s="1"/>
      <c r="N6892" s="1"/>
    </row>
    <row r="6893" spans="7:14" x14ac:dyDescent="0.35">
      <c r="G6893" s="1"/>
      <c r="N6893" s="1"/>
    </row>
    <row r="6894" spans="7:14" x14ac:dyDescent="0.35">
      <c r="G6894" s="1"/>
      <c r="N6894" s="1"/>
    </row>
    <row r="6895" spans="7:14" x14ac:dyDescent="0.35">
      <c r="G6895" s="1"/>
      <c r="N6895" s="1"/>
    </row>
    <row r="6896" spans="7:14" x14ac:dyDescent="0.35">
      <c r="G6896" s="1"/>
      <c r="N6896" s="1"/>
    </row>
    <row r="6897" spans="7:14" x14ac:dyDescent="0.35">
      <c r="G6897" s="1"/>
      <c r="N6897" s="1"/>
    </row>
    <row r="6898" spans="7:14" x14ac:dyDescent="0.35">
      <c r="G6898" s="1"/>
      <c r="N6898" s="1"/>
    </row>
    <row r="6899" spans="7:14" x14ac:dyDescent="0.35">
      <c r="G6899" s="1"/>
      <c r="N6899" s="1"/>
    </row>
    <row r="6900" spans="7:14" x14ac:dyDescent="0.35">
      <c r="G6900" s="1"/>
      <c r="N6900" s="1"/>
    </row>
    <row r="6901" spans="7:14" x14ac:dyDescent="0.35">
      <c r="G6901" s="1"/>
      <c r="N6901" s="1"/>
    </row>
    <row r="6902" spans="7:14" x14ac:dyDescent="0.35">
      <c r="G6902" s="1"/>
      <c r="N6902" s="1"/>
    </row>
    <row r="6903" spans="7:14" x14ac:dyDescent="0.35">
      <c r="G6903" s="1"/>
      <c r="N6903" s="1"/>
    </row>
    <row r="6904" spans="7:14" x14ac:dyDescent="0.35">
      <c r="G6904" s="1"/>
      <c r="N6904" s="1"/>
    </row>
    <row r="6905" spans="7:14" x14ac:dyDescent="0.35">
      <c r="G6905" s="1"/>
      <c r="N6905" s="1"/>
    </row>
    <row r="6906" spans="7:14" x14ac:dyDescent="0.35">
      <c r="G6906" s="1"/>
      <c r="N6906" s="1"/>
    </row>
    <row r="6907" spans="7:14" x14ac:dyDescent="0.35">
      <c r="G6907" s="1"/>
      <c r="N6907" s="1"/>
    </row>
    <row r="6908" spans="7:14" x14ac:dyDescent="0.35">
      <c r="G6908" s="1"/>
      <c r="N6908" s="1"/>
    </row>
    <row r="6909" spans="7:14" x14ac:dyDescent="0.35">
      <c r="G6909" s="1"/>
      <c r="N6909" s="1"/>
    </row>
    <row r="6910" spans="7:14" x14ac:dyDescent="0.35">
      <c r="G6910" s="1"/>
      <c r="N6910" s="1"/>
    </row>
    <row r="6911" spans="7:14" x14ac:dyDescent="0.35">
      <c r="G6911" s="1"/>
      <c r="N6911" s="1"/>
    </row>
    <row r="6912" spans="7:14" x14ac:dyDescent="0.35">
      <c r="G6912" s="1"/>
      <c r="N6912" s="1"/>
    </row>
    <row r="6913" spans="7:14" x14ac:dyDescent="0.35">
      <c r="G6913" s="1"/>
      <c r="N6913" s="1"/>
    </row>
    <row r="6914" spans="7:14" x14ac:dyDescent="0.35">
      <c r="G6914" s="1"/>
      <c r="N6914" s="1"/>
    </row>
    <row r="6915" spans="7:14" x14ac:dyDescent="0.35">
      <c r="G6915" s="1"/>
      <c r="N6915" s="1"/>
    </row>
    <row r="6916" spans="7:14" x14ac:dyDescent="0.35">
      <c r="G6916" s="1"/>
      <c r="N6916" s="1"/>
    </row>
    <row r="6917" spans="7:14" x14ac:dyDescent="0.35">
      <c r="G6917" s="1"/>
      <c r="N6917" s="1"/>
    </row>
    <row r="6918" spans="7:14" x14ac:dyDescent="0.35">
      <c r="G6918" s="1"/>
      <c r="N6918" s="1"/>
    </row>
    <row r="6919" spans="7:14" x14ac:dyDescent="0.35">
      <c r="G6919" s="1"/>
      <c r="N6919" s="1"/>
    </row>
    <row r="6920" spans="7:14" x14ac:dyDescent="0.35">
      <c r="G6920" s="1"/>
      <c r="N6920" s="1"/>
    </row>
    <row r="6921" spans="7:14" x14ac:dyDescent="0.35">
      <c r="G6921" s="1"/>
      <c r="N6921" s="1"/>
    </row>
    <row r="6922" spans="7:14" x14ac:dyDescent="0.35">
      <c r="G6922" s="1"/>
      <c r="N6922" s="1"/>
    </row>
    <row r="6923" spans="7:14" x14ac:dyDescent="0.35">
      <c r="G6923" s="1"/>
      <c r="N6923" s="1"/>
    </row>
    <row r="6924" spans="7:14" x14ac:dyDescent="0.35">
      <c r="G6924" s="1"/>
      <c r="N6924" s="1"/>
    </row>
    <row r="6925" spans="7:14" x14ac:dyDescent="0.35">
      <c r="G6925" s="1"/>
      <c r="N6925" s="1"/>
    </row>
    <row r="6926" spans="7:14" x14ac:dyDescent="0.35">
      <c r="G6926" s="1"/>
      <c r="N6926" s="1"/>
    </row>
    <row r="6927" spans="7:14" x14ac:dyDescent="0.35">
      <c r="G6927" s="1"/>
      <c r="N6927" s="1"/>
    </row>
    <row r="6928" spans="7:14" x14ac:dyDescent="0.35">
      <c r="G6928" s="1"/>
      <c r="N6928" s="1"/>
    </row>
    <row r="6929" spans="7:14" x14ac:dyDescent="0.35">
      <c r="G6929" s="1"/>
      <c r="N6929" s="1"/>
    </row>
    <row r="6930" spans="7:14" x14ac:dyDescent="0.35">
      <c r="G6930" s="1"/>
      <c r="N6930" s="1"/>
    </row>
    <row r="6931" spans="7:14" x14ac:dyDescent="0.35">
      <c r="G6931" s="1"/>
      <c r="N6931" s="1"/>
    </row>
    <row r="6932" spans="7:14" x14ac:dyDescent="0.35">
      <c r="G6932" s="1"/>
      <c r="N6932" s="1"/>
    </row>
    <row r="6933" spans="7:14" x14ac:dyDescent="0.35">
      <c r="G6933" s="1"/>
      <c r="N6933" s="1"/>
    </row>
    <row r="6934" spans="7:14" x14ac:dyDescent="0.35">
      <c r="G6934" s="1"/>
      <c r="N6934" s="1"/>
    </row>
    <row r="6935" spans="7:14" x14ac:dyDescent="0.35">
      <c r="G6935" s="1"/>
      <c r="N6935" s="1"/>
    </row>
    <row r="6936" spans="7:14" x14ac:dyDescent="0.35">
      <c r="G6936" s="1"/>
      <c r="N6936" s="1"/>
    </row>
    <row r="6937" spans="7:14" x14ac:dyDescent="0.35">
      <c r="G6937" s="1"/>
      <c r="N6937" s="1"/>
    </row>
    <row r="6938" spans="7:14" x14ac:dyDescent="0.35">
      <c r="G6938" s="1"/>
      <c r="N6938" s="1"/>
    </row>
    <row r="6939" spans="7:14" x14ac:dyDescent="0.35">
      <c r="G6939" s="1"/>
      <c r="N6939" s="1"/>
    </row>
    <row r="6940" spans="7:14" x14ac:dyDescent="0.35">
      <c r="G6940" s="1"/>
      <c r="N6940" s="1"/>
    </row>
    <row r="6941" spans="7:14" x14ac:dyDescent="0.35">
      <c r="G6941" s="1"/>
      <c r="N6941" s="1"/>
    </row>
    <row r="6942" spans="7:14" x14ac:dyDescent="0.35">
      <c r="G6942" s="1"/>
      <c r="N6942" s="1"/>
    </row>
    <row r="6943" spans="7:14" x14ac:dyDescent="0.35">
      <c r="G6943" s="1"/>
      <c r="N6943" s="1"/>
    </row>
    <row r="6944" spans="7:14" x14ac:dyDescent="0.35">
      <c r="G6944" s="1"/>
      <c r="N6944" s="1"/>
    </row>
    <row r="6945" spans="7:14" x14ac:dyDescent="0.35">
      <c r="G6945" s="1"/>
      <c r="N6945" s="1"/>
    </row>
    <row r="6946" spans="7:14" x14ac:dyDescent="0.35">
      <c r="G6946" s="1"/>
      <c r="N6946" s="1"/>
    </row>
    <row r="6947" spans="7:14" x14ac:dyDescent="0.35">
      <c r="G6947" s="1"/>
      <c r="N6947" s="1"/>
    </row>
    <row r="6948" spans="7:14" x14ac:dyDescent="0.35">
      <c r="G6948" s="1"/>
      <c r="N6948" s="1"/>
    </row>
    <row r="6949" spans="7:14" x14ac:dyDescent="0.35">
      <c r="G6949" s="1"/>
      <c r="N6949" s="1"/>
    </row>
    <row r="6950" spans="7:14" x14ac:dyDescent="0.35">
      <c r="G6950" s="1"/>
      <c r="N6950" s="1"/>
    </row>
    <row r="6951" spans="7:14" x14ac:dyDescent="0.35">
      <c r="G6951" s="1"/>
      <c r="N6951" s="1"/>
    </row>
    <row r="6952" spans="7:14" x14ac:dyDescent="0.35">
      <c r="G6952" s="1"/>
      <c r="N6952" s="1"/>
    </row>
    <row r="6953" spans="7:14" x14ac:dyDescent="0.35">
      <c r="G6953" s="1"/>
      <c r="N6953" s="1"/>
    </row>
    <row r="6954" spans="7:14" x14ac:dyDescent="0.35">
      <c r="G6954" s="1"/>
      <c r="N6954" s="1"/>
    </row>
    <row r="6955" spans="7:14" x14ac:dyDescent="0.35">
      <c r="G6955" s="1"/>
      <c r="N6955" s="1"/>
    </row>
    <row r="6956" spans="7:14" x14ac:dyDescent="0.35">
      <c r="G6956" s="1"/>
      <c r="N6956" s="1"/>
    </row>
    <row r="6957" spans="7:14" x14ac:dyDescent="0.35">
      <c r="G6957" s="1"/>
      <c r="N6957" s="1"/>
    </row>
    <row r="6958" spans="7:14" x14ac:dyDescent="0.35">
      <c r="G6958" s="1"/>
      <c r="N6958" s="1"/>
    </row>
    <row r="6959" spans="7:14" x14ac:dyDescent="0.35">
      <c r="G6959" s="1"/>
      <c r="N6959" s="1"/>
    </row>
    <row r="6960" spans="7:14" x14ac:dyDescent="0.35">
      <c r="G6960" s="1"/>
      <c r="N6960" s="1"/>
    </row>
    <row r="6961" spans="7:14" x14ac:dyDescent="0.35">
      <c r="G6961" s="1"/>
      <c r="N6961" s="1"/>
    </row>
    <row r="6962" spans="7:14" x14ac:dyDescent="0.35">
      <c r="G6962" s="1"/>
      <c r="N6962" s="1"/>
    </row>
    <row r="6963" spans="7:14" x14ac:dyDescent="0.35">
      <c r="G6963" s="1"/>
      <c r="N6963" s="1"/>
    </row>
    <row r="6964" spans="7:14" x14ac:dyDescent="0.35">
      <c r="G6964" s="1"/>
      <c r="N6964" s="1"/>
    </row>
    <row r="6965" spans="7:14" x14ac:dyDescent="0.35">
      <c r="G6965" s="1"/>
      <c r="N6965" s="1"/>
    </row>
    <row r="6966" spans="7:14" x14ac:dyDescent="0.35">
      <c r="G6966" s="1"/>
      <c r="N6966" s="1"/>
    </row>
    <row r="6967" spans="7:14" x14ac:dyDescent="0.35">
      <c r="G6967" s="1"/>
      <c r="N6967" s="1"/>
    </row>
    <row r="6968" spans="7:14" x14ac:dyDescent="0.35">
      <c r="G6968" s="1"/>
      <c r="N6968" s="1"/>
    </row>
    <row r="6969" spans="7:14" x14ac:dyDescent="0.35">
      <c r="G6969" s="1"/>
      <c r="N6969" s="1"/>
    </row>
    <row r="6970" spans="7:14" x14ac:dyDescent="0.35">
      <c r="G6970" s="1"/>
      <c r="N6970" s="1"/>
    </row>
    <row r="6971" spans="7:14" x14ac:dyDescent="0.35">
      <c r="G6971" s="1"/>
      <c r="N6971" s="1"/>
    </row>
    <row r="6972" spans="7:14" x14ac:dyDescent="0.35">
      <c r="G6972" s="1"/>
      <c r="N6972" s="1"/>
    </row>
    <row r="6973" spans="7:14" x14ac:dyDescent="0.35">
      <c r="G6973" s="1"/>
      <c r="N6973" s="1"/>
    </row>
    <row r="6974" spans="7:14" x14ac:dyDescent="0.35">
      <c r="G6974" s="1"/>
      <c r="N6974" s="1"/>
    </row>
    <row r="6975" spans="7:14" x14ac:dyDescent="0.35">
      <c r="G6975" s="1"/>
      <c r="N6975" s="1"/>
    </row>
    <row r="6976" spans="7:14" x14ac:dyDescent="0.35">
      <c r="G6976" s="1"/>
      <c r="N6976" s="1"/>
    </row>
    <row r="6977" spans="7:14" x14ac:dyDescent="0.35">
      <c r="G6977" s="1"/>
      <c r="N6977" s="1"/>
    </row>
    <row r="6978" spans="7:14" x14ac:dyDescent="0.35">
      <c r="G6978" s="1"/>
      <c r="N6978" s="1"/>
    </row>
    <row r="6979" spans="7:14" x14ac:dyDescent="0.35">
      <c r="G6979" s="1"/>
      <c r="N6979" s="1"/>
    </row>
    <row r="6980" spans="7:14" x14ac:dyDescent="0.35">
      <c r="G6980" s="1"/>
      <c r="N6980" s="1"/>
    </row>
    <row r="6981" spans="7:14" x14ac:dyDescent="0.35">
      <c r="G6981" s="1"/>
      <c r="N6981" s="1"/>
    </row>
    <row r="6982" spans="7:14" x14ac:dyDescent="0.35">
      <c r="G6982" s="1"/>
      <c r="N6982" s="1"/>
    </row>
    <row r="6983" spans="7:14" x14ac:dyDescent="0.35">
      <c r="G6983" s="1"/>
      <c r="N6983" s="1"/>
    </row>
    <row r="6984" spans="7:14" x14ac:dyDescent="0.35">
      <c r="G6984" s="1"/>
      <c r="N6984" s="1"/>
    </row>
    <row r="6985" spans="7:14" x14ac:dyDescent="0.35">
      <c r="G6985" s="1"/>
      <c r="N6985" s="1"/>
    </row>
    <row r="6986" spans="7:14" x14ac:dyDescent="0.35">
      <c r="G6986" s="1"/>
      <c r="N6986" s="1"/>
    </row>
    <row r="6987" spans="7:14" x14ac:dyDescent="0.35">
      <c r="G6987" s="1"/>
      <c r="N6987" s="1"/>
    </row>
    <row r="6988" spans="7:14" x14ac:dyDescent="0.35">
      <c r="G6988" s="1"/>
      <c r="N6988" s="1"/>
    </row>
    <row r="6989" spans="7:14" x14ac:dyDescent="0.35">
      <c r="G6989" s="1"/>
      <c r="N6989" s="1"/>
    </row>
    <row r="6990" spans="7:14" x14ac:dyDescent="0.35">
      <c r="G6990" s="1"/>
      <c r="N6990" s="1"/>
    </row>
    <row r="6991" spans="7:14" x14ac:dyDescent="0.35">
      <c r="G6991" s="1"/>
      <c r="N6991" s="1"/>
    </row>
    <row r="6992" spans="7:14" x14ac:dyDescent="0.35">
      <c r="G6992" s="1"/>
      <c r="N6992" s="1"/>
    </row>
    <row r="6993" spans="7:14" x14ac:dyDescent="0.35">
      <c r="G6993" s="1"/>
      <c r="N6993" s="1"/>
    </row>
    <row r="6994" spans="7:14" x14ac:dyDescent="0.35">
      <c r="G6994" s="1"/>
      <c r="N6994" s="1"/>
    </row>
    <row r="6995" spans="7:14" x14ac:dyDescent="0.35">
      <c r="G6995" s="1"/>
      <c r="N6995" s="1"/>
    </row>
    <row r="6996" spans="7:14" x14ac:dyDescent="0.35">
      <c r="G6996" s="1"/>
      <c r="N6996" s="1"/>
    </row>
    <row r="6997" spans="7:14" x14ac:dyDescent="0.35">
      <c r="G6997" s="1"/>
      <c r="N6997" s="1"/>
    </row>
    <row r="6998" spans="7:14" x14ac:dyDescent="0.35">
      <c r="G6998" s="1"/>
      <c r="N6998" s="1"/>
    </row>
    <row r="6999" spans="7:14" x14ac:dyDescent="0.35">
      <c r="G6999" s="1"/>
      <c r="N6999" s="1"/>
    </row>
    <row r="7000" spans="7:14" x14ac:dyDescent="0.35">
      <c r="G7000" s="1"/>
      <c r="N7000" s="1"/>
    </row>
    <row r="7001" spans="7:14" x14ac:dyDescent="0.35">
      <c r="G7001" s="1"/>
      <c r="N7001" s="1"/>
    </row>
    <row r="7002" spans="7:14" x14ac:dyDescent="0.35">
      <c r="G7002" s="1"/>
      <c r="N7002" s="1"/>
    </row>
    <row r="7003" spans="7:14" x14ac:dyDescent="0.35">
      <c r="G7003" s="1"/>
      <c r="N7003" s="1"/>
    </row>
    <row r="7004" spans="7:14" x14ac:dyDescent="0.35">
      <c r="G7004" s="1"/>
      <c r="N7004" s="1"/>
    </row>
    <row r="7005" spans="7:14" x14ac:dyDescent="0.35">
      <c r="G7005" s="1"/>
      <c r="N7005" s="1"/>
    </row>
    <row r="7006" spans="7:14" x14ac:dyDescent="0.35">
      <c r="G7006" s="1"/>
      <c r="N7006" s="1"/>
    </row>
    <row r="7007" spans="7:14" x14ac:dyDescent="0.35">
      <c r="G7007" s="1"/>
      <c r="N7007" s="1"/>
    </row>
    <row r="7008" spans="7:14" x14ac:dyDescent="0.35">
      <c r="G7008" s="1"/>
      <c r="N7008" s="1"/>
    </row>
    <row r="7009" spans="7:14" x14ac:dyDescent="0.35">
      <c r="G7009" s="1"/>
      <c r="N7009" s="1"/>
    </row>
    <row r="7010" spans="7:14" x14ac:dyDescent="0.35">
      <c r="G7010" s="1"/>
      <c r="N7010" s="1"/>
    </row>
    <row r="7011" spans="7:14" x14ac:dyDescent="0.35">
      <c r="G7011" s="1"/>
      <c r="N7011" s="1"/>
    </row>
    <row r="7012" spans="7:14" x14ac:dyDescent="0.35">
      <c r="G7012" s="1"/>
      <c r="N7012" s="1"/>
    </row>
    <row r="7013" spans="7:14" x14ac:dyDescent="0.35">
      <c r="G7013" s="1"/>
      <c r="N7013" s="1"/>
    </row>
    <row r="7014" spans="7:14" x14ac:dyDescent="0.35">
      <c r="G7014" s="1"/>
      <c r="N7014" s="1"/>
    </row>
    <row r="7015" spans="7:14" x14ac:dyDescent="0.35">
      <c r="G7015" s="1"/>
      <c r="N7015" s="1"/>
    </row>
    <row r="7016" spans="7:14" x14ac:dyDescent="0.35">
      <c r="G7016" s="1"/>
      <c r="N7016" s="1"/>
    </row>
    <row r="7017" spans="7:14" x14ac:dyDescent="0.35">
      <c r="G7017" s="1"/>
      <c r="N7017" s="1"/>
    </row>
    <row r="7018" spans="7:14" x14ac:dyDescent="0.35">
      <c r="G7018" s="1"/>
      <c r="N7018" s="1"/>
    </row>
    <row r="7019" spans="7:14" x14ac:dyDescent="0.35">
      <c r="G7019" s="1"/>
      <c r="N7019" s="1"/>
    </row>
    <row r="7020" spans="7:14" x14ac:dyDescent="0.35">
      <c r="G7020" s="1"/>
      <c r="N7020" s="1"/>
    </row>
    <row r="7021" spans="7:14" x14ac:dyDescent="0.35">
      <c r="G7021" s="1"/>
      <c r="N7021" s="1"/>
    </row>
    <row r="7022" spans="7:14" x14ac:dyDescent="0.35">
      <c r="G7022" s="1"/>
      <c r="N7022" s="1"/>
    </row>
    <row r="7023" spans="7:14" x14ac:dyDescent="0.35">
      <c r="G7023" s="1"/>
      <c r="N7023" s="1"/>
    </row>
    <row r="7024" spans="7:14" x14ac:dyDescent="0.35">
      <c r="G7024" s="1"/>
      <c r="N7024" s="1"/>
    </row>
    <row r="7025" spans="7:14" x14ac:dyDescent="0.35">
      <c r="G7025" s="1"/>
      <c r="N7025" s="1"/>
    </row>
    <row r="7026" spans="7:14" x14ac:dyDescent="0.35">
      <c r="G7026" s="1"/>
      <c r="N7026" s="1"/>
    </row>
    <row r="7027" spans="7:14" x14ac:dyDescent="0.35">
      <c r="G7027" s="1"/>
      <c r="N7027" s="1"/>
    </row>
    <row r="7028" spans="7:14" x14ac:dyDescent="0.35">
      <c r="G7028" s="1"/>
      <c r="N7028" s="1"/>
    </row>
    <row r="7029" spans="7:14" x14ac:dyDescent="0.35">
      <c r="G7029" s="1"/>
      <c r="N7029" s="1"/>
    </row>
    <row r="7030" spans="7:14" x14ac:dyDescent="0.35">
      <c r="G7030" s="1"/>
      <c r="N7030" s="1"/>
    </row>
    <row r="7031" spans="7:14" x14ac:dyDescent="0.35">
      <c r="G7031" s="1"/>
      <c r="N7031" s="1"/>
    </row>
    <row r="7032" spans="7:14" x14ac:dyDescent="0.35">
      <c r="G7032" s="1"/>
      <c r="N7032" s="1"/>
    </row>
    <row r="7033" spans="7:14" x14ac:dyDescent="0.35">
      <c r="G7033" s="1"/>
      <c r="N7033" s="1"/>
    </row>
    <row r="7034" spans="7:14" x14ac:dyDescent="0.35">
      <c r="G7034" s="1"/>
      <c r="N7034" s="1"/>
    </row>
    <row r="7035" spans="7:14" x14ac:dyDescent="0.35">
      <c r="G7035" s="1"/>
      <c r="N7035" s="1"/>
    </row>
    <row r="7036" spans="7:14" x14ac:dyDescent="0.35">
      <c r="G7036" s="1"/>
      <c r="N7036" s="1"/>
    </row>
    <row r="7037" spans="7:14" x14ac:dyDescent="0.35">
      <c r="G7037" s="1"/>
      <c r="N7037" s="1"/>
    </row>
    <row r="7038" spans="7:14" x14ac:dyDescent="0.35">
      <c r="G7038" s="1"/>
      <c r="N7038" s="1"/>
    </row>
    <row r="7039" spans="7:14" x14ac:dyDescent="0.35">
      <c r="G7039" s="1"/>
      <c r="N7039" s="1"/>
    </row>
    <row r="7040" spans="7:14" x14ac:dyDescent="0.35">
      <c r="G7040" s="1"/>
      <c r="N7040" s="1"/>
    </row>
    <row r="7041" spans="7:14" x14ac:dyDescent="0.35">
      <c r="G7041" s="1"/>
      <c r="N7041" s="1"/>
    </row>
    <row r="7042" spans="7:14" x14ac:dyDescent="0.35">
      <c r="G7042" s="1"/>
      <c r="N7042" s="1"/>
    </row>
    <row r="7043" spans="7:14" x14ac:dyDescent="0.35">
      <c r="G7043" s="1"/>
      <c r="N7043" s="1"/>
    </row>
    <row r="7044" spans="7:14" x14ac:dyDescent="0.35">
      <c r="G7044" s="1"/>
      <c r="N7044" s="1"/>
    </row>
    <row r="7045" spans="7:14" x14ac:dyDescent="0.35">
      <c r="G7045" s="1"/>
      <c r="N7045" s="1"/>
    </row>
    <row r="7046" spans="7:14" x14ac:dyDescent="0.35">
      <c r="G7046" s="1"/>
      <c r="N7046" s="1"/>
    </row>
    <row r="7047" spans="7:14" x14ac:dyDescent="0.35">
      <c r="G7047" s="1"/>
      <c r="N7047" s="1"/>
    </row>
    <row r="7048" spans="7:14" x14ac:dyDescent="0.35">
      <c r="G7048" s="1"/>
      <c r="N7048" s="1"/>
    </row>
    <row r="7049" spans="7:14" x14ac:dyDescent="0.35">
      <c r="G7049" s="1"/>
      <c r="N7049" s="1"/>
    </row>
    <row r="7050" spans="7:14" x14ac:dyDescent="0.35">
      <c r="G7050" s="1"/>
      <c r="N7050" s="1"/>
    </row>
    <row r="7051" spans="7:14" x14ac:dyDescent="0.35">
      <c r="G7051" s="1"/>
      <c r="N7051" s="1"/>
    </row>
    <row r="7052" spans="7:14" x14ac:dyDescent="0.35">
      <c r="G7052" s="1"/>
      <c r="N7052" s="1"/>
    </row>
    <row r="7053" spans="7:14" x14ac:dyDescent="0.35">
      <c r="G7053" s="1"/>
      <c r="N7053" s="1"/>
    </row>
    <row r="7054" spans="7:14" x14ac:dyDescent="0.35">
      <c r="G7054" s="1"/>
      <c r="N7054" s="1"/>
    </row>
    <row r="7055" spans="7:14" x14ac:dyDescent="0.35">
      <c r="G7055" s="1"/>
      <c r="N7055" s="1"/>
    </row>
    <row r="7056" spans="7:14" x14ac:dyDescent="0.35">
      <c r="G7056" s="1"/>
      <c r="N7056" s="1"/>
    </row>
    <row r="7057" spans="7:14" x14ac:dyDescent="0.35">
      <c r="G7057" s="1"/>
      <c r="N7057" s="1"/>
    </row>
    <row r="7058" spans="7:14" x14ac:dyDescent="0.35">
      <c r="G7058" s="1"/>
      <c r="N7058" s="1"/>
    </row>
    <row r="7059" spans="7:14" x14ac:dyDescent="0.35">
      <c r="G7059" s="1"/>
      <c r="N7059" s="1"/>
    </row>
    <row r="7060" spans="7:14" x14ac:dyDescent="0.35">
      <c r="G7060" s="1"/>
      <c r="N7060" s="1"/>
    </row>
    <row r="7061" spans="7:14" x14ac:dyDescent="0.35">
      <c r="G7061" s="1"/>
      <c r="N7061" s="1"/>
    </row>
    <row r="7062" spans="7:14" x14ac:dyDescent="0.35">
      <c r="G7062" s="1"/>
      <c r="N7062" s="1"/>
    </row>
    <row r="7063" spans="7:14" x14ac:dyDescent="0.35">
      <c r="G7063" s="1"/>
      <c r="N7063" s="1"/>
    </row>
    <row r="7064" spans="7:14" x14ac:dyDescent="0.35">
      <c r="G7064" s="1"/>
      <c r="N7064" s="1"/>
    </row>
    <row r="7065" spans="7:14" x14ac:dyDescent="0.35">
      <c r="G7065" s="1"/>
      <c r="N7065" s="1"/>
    </row>
    <row r="7066" spans="7:14" x14ac:dyDescent="0.35">
      <c r="G7066" s="1"/>
      <c r="N7066" s="1"/>
    </row>
    <row r="7067" spans="7:14" x14ac:dyDescent="0.35">
      <c r="G7067" s="1"/>
      <c r="N7067" s="1"/>
    </row>
    <row r="7068" spans="7:14" x14ac:dyDescent="0.35">
      <c r="G7068" s="1"/>
      <c r="N7068" s="1"/>
    </row>
    <row r="7069" spans="7:14" x14ac:dyDescent="0.35">
      <c r="G7069" s="1"/>
      <c r="N7069" s="1"/>
    </row>
    <row r="7070" spans="7:14" x14ac:dyDescent="0.35">
      <c r="G7070" s="1"/>
      <c r="N7070" s="1"/>
    </row>
    <row r="7071" spans="7:14" x14ac:dyDescent="0.35">
      <c r="G7071" s="1"/>
      <c r="N7071" s="1"/>
    </row>
    <row r="7072" spans="7:14" x14ac:dyDescent="0.35">
      <c r="G7072" s="1"/>
      <c r="N7072" s="1"/>
    </row>
    <row r="7073" spans="7:14" x14ac:dyDescent="0.35">
      <c r="G7073" s="1"/>
      <c r="N7073" s="1"/>
    </row>
    <row r="7074" spans="7:14" x14ac:dyDescent="0.35">
      <c r="G7074" s="1"/>
      <c r="N7074" s="1"/>
    </row>
    <row r="7075" spans="7:14" x14ac:dyDescent="0.35">
      <c r="G7075" s="1"/>
      <c r="N7075" s="1"/>
    </row>
    <row r="7076" spans="7:14" x14ac:dyDescent="0.35">
      <c r="G7076" s="1"/>
      <c r="N7076" s="1"/>
    </row>
    <row r="7077" spans="7:14" x14ac:dyDescent="0.35">
      <c r="G7077" s="1"/>
      <c r="N7077" s="1"/>
    </row>
    <row r="7078" spans="7:14" x14ac:dyDescent="0.35">
      <c r="G7078" s="1"/>
      <c r="N7078" s="1"/>
    </row>
    <row r="7079" spans="7:14" x14ac:dyDescent="0.35">
      <c r="G7079" s="1"/>
      <c r="N7079" s="1"/>
    </row>
    <row r="7080" spans="7:14" x14ac:dyDescent="0.35">
      <c r="G7080" s="1"/>
      <c r="N7080" s="1"/>
    </row>
    <row r="7081" spans="7:14" x14ac:dyDescent="0.35">
      <c r="G7081" s="1"/>
      <c r="N7081" s="1"/>
    </row>
    <row r="7082" spans="7:14" x14ac:dyDescent="0.35">
      <c r="G7082" s="1"/>
      <c r="N7082" s="1"/>
    </row>
    <row r="7083" spans="7:14" x14ac:dyDescent="0.35">
      <c r="G7083" s="1"/>
      <c r="N7083" s="1"/>
    </row>
    <row r="7084" spans="7:14" x14ac:dyDescent="0.35">
      <c r="G7084" s="1"/>
      <c r="N7084" s="1"/>
    </row>
    <row r="7085" spans="7:14" x14ac:dyDescent="0.35">
      <c r="G7085" s="1"/>
      <c r="N7085" s="1"/>
    </row>
    <row r="7086" spans="7:14" x14ac:dyDescent="0.35">
      <c r="G7086" s="1"/>
      <c r="N7086" s="1"/>
    </row>
    <row r="7087" spans="7:14" x14ac:dyDescent="0.35">
      <c r="G7087" s="1"/>
      <c r="N7087" s="1"/>
    </row>
    <row r="7088" spans="7:14" x14ac:dyDescent="0.35">
      <c r="G7088" s="1"/>
      <c r="N7088" s="1"/>
    </row>
    <row r="7089" spans="7:14" x14ac:dyDescent="0.35">
      <c r="G7089" s="1"/>
      <c r="N7089" s="1"/>
    </row>
    <row r="7090" spans="7:14" x14ac:dyDescent="0.35">
      <c r="G7090" s="1"/>
      <c r="N7090" s="1"/>
    </row>
    <row r="7091" spans="7:14" x14ac:dyDescent="0.35">
      <c r="G7091" s="1"/>
      <c r="N7091" s="1"/>
    </row>
    <row r="7092" spans="7:14" x14ac:dyDescent="0.35">
      <c r="G7092" s="1"/>
      <c r="N7092" s="1"/>
    </row>
    <row r="7093" spans="7:14" x14ac:dyDescent="0.35">
      <c r="G7093" s="1"/>
      <c r="N7093" s="1"/>
    </row>
    <row r="7094" spans="7:14" x14ac:dyDescent="0.35">
      <c r="G7094" s="1"/>
      <c r="N7094" s="1"/>
    </row>
    <row r="7095" spans="7:14" x14ac:dyDescent="0.35">
      <c r="G7095" s="1"/>
      <c r="N7095" s="1"/>
    </row>
    <row r="7096" spans="7:14" x14ac:dyDescent="0.35">
      <c r="G7096" s="1"/>
      <c r="N7096" s="1"/>
    </row>
    <row r="7097" spans="7:14" x14ac:dyDescent="0.35">
      <c r="G7097" s="1"/>
      <c r="N7097" s="1"/>
    </row>
    <row r="7098" spans="7:14" x14ac:dyDescent="0.35">
      <c r="G7098" s="1"/>
      <c r="N7098" s="1"/>
    </row>
    <row r="7099" spans="7:14" x14ac:dyDescent="0.35">
      <c r="G7099" s="1"/>
      <c r="N7099" s="1"/>
    </row>
    <row r="7100" spans="7:14" x14ac:dyDescent="0.35">
      <c r="G7100" s="1"/>
      <c r="N7100" s="1"/>
    </row>
    <row r="7101" spans="7:14" x14ac:dyDescent="0.35">
      <c r="G7101" s="1"/>
      <c r="N7101" s="1"/>
    </row>
    <row r="7102" spans="7:14" x14ac:dyDescent="0.35">
      <c r="G7102" s="1"/>
      <c r="N7102" s="1"/>
    </row>
    <row r="7103" spans="7:14" x14ac:dyDescent="0.35">
      <c r="G7103" s="1"/>
      <c r="N7103" s="1"/>
    </row>
    <row r="7104" spans="7:14" x14ac:dyDescent="0.35">
      <c r="G7104" s="1"/>
      <c r="N7104" s="1"/>
    </row>
    <row r="7105" spans="7:14" x14ac:dyDescent="0.35">
      <c r="G7105" s="1"/>
      <c r="N7105" s="1"/>
    </row>
    <row r="7106" spans="7:14" x14ac:dyDescent="0.35">
      <c r="G7106" s="1"/>
      <c r="N7106" s="1"/>
    </row>
    <row r="7107" spans="7:14" x14ac:dyDescent="0.35">
      <c r="G7107" s="1"/>
      <c r="N7107" s="1"/>
    </row>
    <row r="7108" spans="7:14" x14ac:dyDescent="0.35">
      <c r="G7108" s="1"/>
      <c r="N7108" s="1"/>
    </row>
    <row r="7109" spans="7:14" x14ac:dyDescent="0.35">
      <c r="G7109" s="1"/>
      <c r="N7109" s="1"/>
    </row>
    <row r="7110" spans="7:14" x14ac:dyDescent="0.35">
      <c r="G7110" s="1"/>
      <c r="N7110" s="1"/>
    </row>
    <row r="7111" spans="7:14" x14ac:dyDescent="0.35">
      <c r="G7111" s="1"/>
      <c r="N7111" s="1"/>
    </row>
    <row r="7112" spans="7:14" x14ac:dyDescent="0.35">
      <c r="G7112" s="1"/>
      <c r="N7112" s="1"/>
    </row>
    <row r="7113" spans="7:14" x14ac:dyDescent="0.35">
      <c r="G7113" s="1"/>
      <c r="N7113" s="1"/>
    </row>
    <row r="7114" spans="7:14" x14ac:dyDescent="0.35">
      <c r="G7114" s="1"/>
      <c r="N7114" s="1"/>
    </row>
    <row r="7115" spans="7:14" x14ac:dyDescent="0.35">
      <c r="G7115" s="1"/>
      <c r="N7115" s="1"/>
    </row>
    <row r="7116" spans="7:14" x14ac:dyDescent="0.35">
      <c r="G7116" s="1"/>
      <c r="N7116" s="1"/>
    </row>
    <row r="7117" spans="7:14" x14ac:dyDescent="0.35">
      <c r="G7117" s="1"/>
      <c r="N7117" s="1"/>
    </row>
    <row r="7118" spans="7:14" x14ac:dyDescent="0.35">
      <c r="G7118" s="1"/>
      <c r="N7118" s="1"/>
    </row>
    <row r="7119" spans="7:14" x14ac:dyDescent="0.35">
      <c r="G7119" s="1"/>
      <c r="N7119" s="1"/>
    </row>
    <row r="7120" spans="7:14" x14ac:dyDescent="0.35">
      <c r="G7120" s="1"/>
      <c r="N7120" s="1"/>
    </row>
    <row r="7121" spans="7:14" x14ac:dyDescent="0.35">
      <c r="G7121" s="1"/>
      <c r="N7121" s="1"/>
    </row>
    <row r="7122" spans="7:14" x14ac:dyDescent="0.35">
      <c r="G7122" s="1"/>
      <c r="N7122" s="1"/>
    </row>
    <row r="7123" spans="7:14" x14ac:dyDescent="0.35">
      <c r="G7123" s="1"/>
      <c r="N7123" s="1"/>
    </row>
    <row r="7124" spans="7:14" x14ac:dyDescent="0.35">
      <c r="G7124" s="1"/>
      <c r="N7124" s="1"/>
    </row>
    <row r="7125" spans="7:14" x14ac:dyDescent="0.35">
      <c r="G7125" s="1"/>
      <c r="N7125" s="1"/>
    </row>
    <row r="7126" spans="7:14" x14ac:dyDescent="0.35">
      <c r="G7126" s="1"/>
      <c r="N7126" s="1"/>
    </row>
    <row r="7127" spans="7:14" x14ac:dyDescent="0.35">
      <c r="G7127" s="1"/>
      <c r="N7127" s="1"/>
    </row>
    <row r="7128" spans="7:14" x14ac:dyDescent="0.35">
      <c r="G7128" s="1"/>
      <c r="N7128" s="1"/>
    </row>
    <row r="7129" spans="7:14" x14ac:dyDescent="0.35">
      <c r="G7129" s="1"/>
      <c r="N7129" s="1"/>
    </row>
    <row r="7130" spans="7:14" x14ac:dyDescent="0.35">
      <c r="G7130" s="1"/>
      <c r="N7130" s="1"/>
    </row>
    <row r="7131" spans="7:14" x14ac:dyDescent="0.35">
      <c r="G7131" s="1"/>
      <c r="N7131" s="1"/>
    </row>
    <row r="7132" spans="7:14" x14ac:dyDescent="0.35">
      <c r="G7132" s="1"/>
      <c r="N7132" s="1"/>
    </row>
    <row r="7133" spans="7:14" x14ac:dyDescent="0.35">
      <c r="G7133" s="1"/>
      <c r="N7133" s="1"/>
    </row>
    <row r="7134" spans="7:14" x14ac:dyDescent="0.35">
      <c r="G7134" s="1"/>
      <c r="N7134" s="1"/>
    </row>
    <row r="7135" spans="7:14" x14ac:dyDescent="0.35">
      <c r="G7135" s="1"/>
      <c r="N7135" s="1"/>
    </row>
    <row r="7136" spans="7:14" x14ac:dyDescent="0.35">
      <c r="G7136" s="1"/>
      <c r="N7136" s="1"/>
    </row>
    <row r="7137" spans="7:14" x14ac:dyDescent="0.35">
      <c r="G7137" s="1"/>
      <c r="N7137" s="1"/>
    </row>
    <row r="7138" spans="7:14" x14ac:dyDescent="0.35">
      <c r="G7138" s="1"/>
      <c r="N7138" s="1"/>
    </row>
    <row r="7139" spans="7:14" x14ac:dyDescent="0.35">
      <c r="G7139" s="1"/>
      <c r="N7139" s="1"/>
    </row>
    <row r="7140" spans="7:14" x14ac:dyDescent="0.35">
      <c r="G7140" s="1"/>
      <c r="N7140" s="1"/>
    </row>
    <row r="7141" spans="7:14" x14ac:dyDescent="0.35">
      <c r="G7141" s="1"/>
      <c r="N7141" s="1"/>
    </row>
    <row r="7142" spans="7:14" x14ac:dyDescent="0.35">
      <c r="G7142" s="1"/>
      <c r="N7142" s="1"/>
    </row>
    <row r="7143" spans="7:14" x14ac:dyDescent="0.35">
      <c r="G7143" s="1"/>
      <c r="N7143" s="1"/>
    </row>
    <row r="7144" spans="7:14" x14ac:dyDescent="0.35">
      <c r="G7144" s="1"/>
      <c r="N7144" s="1"/>
    </row>
    <row r="7145" spans="7:14" x14ac:dyDescent="0.35">
      <c r="G7145" s="1"/>
      <c r="N7145" s="1"/>
    </row>
    <row r="7146" spans="7:14" x14ac:dyDescent="0.35">
      <c r="G7146" s="1"/>
      <c r="N7146" s="1"/>
    </row>
    <row r="7147" spans="7:14" x14ac:dyDescent="0.35">
      <c r="G7147" s="1"/>
      <c r="N7147" s="1"/>
    </row>
    <row r="7148" spans="7:14" x14ac:dyDescent="0.35">
      <c r="G7148" s="1"/>
      <c r="N7148" s="1"/>
    </row>
    <row r="7149" spans="7:14" x14ac:dyDescent="0.35">
      <c r="G7149" s="1"/>
      <c r="N7149" s="1"/>
    </row>
    <row r="7150" spans="7:14" x14ac:dyDescent="0.35">
      <c r="G7150" s="1"/>
      <c r="N7150" s="1"/>
    </row>
    <row r="7151" spans="7:14" x14ac:dyDescent="0.35">
      <c r="G7151" s="1"/>
      <c r="N7151" s="1"/>
    </row>
    <row r="7152" spans="7:14" x14ac:dyDescent="0.35">
      <c r="G7152" s="1"/>
      <c r="N7152" s="1"/>
    </row>
    <row r="7153" spans="7:14" x14ac:dyDescent="0.35">
      <c r="G7153" s="1"/>
      <c r="N7153" s="1"/>
    </row>
    <row r="7154" spans="7:14" x14ac:dyDescent="0.35">
      <c r="G7154" s="1"/>
      <c r="N7154" s="1"/>
    </row>
    <row r="7155" spans="7:14" x14ac:dyDescent="0.35">
      <c r="G7155" s="1"/>
      <c r="N7155" s="1"/>
    </row>
    <row r="7156" spans="7:14" x14ac:dyDescent="0.35">
      <c r="G7156" s="1"/>
      <c r="N7156" s="1"/>
    </row>
    <row r="7157" spans="7:14" x14ac:dyDescent="0.35">
      <c r="G7157" s="1"/>
      <c r="N7157" s="1"/>
    </row>
    <row r="7158" spans="7:14" x14ac:dyDescent="0.35">
      <c r="G7158" s="1"/>
      <c r="N7158" s="1"/>
    </row>
    <row r="7159" spans="7:14" x14ac:dyDescent="0.35">
      <c r="G7159" s="1"/>
      <c r="N7159" s="1"/>
    </row>
    <row r="7160" spans="7:14" x14ac:dyDescent="0.35">
      <c r="G7160" s="1"/>
      <c r="N7160" s="1"/>
    </row>
    <row r="7161" spans="7:14" x14ac:dyDescent="0.35">
      <c r="G7161" s="1"/>
      <c r="N7161" s="1"/>
    </row>
    <row r="7162" spans="7:14" x14ac:dyDescent="0.35">
      <c r="G7162" s="1"/>
      <c r="N7162" s="1"/>
    </row>
    <row r="7163" spans="7:14" x14ac:dyDescent="0.35">
      <c r="G7163" s="1"/>
      <c r="N7163" s="1"/>
    </row>
    <row r="7164" spans="7:14" x14ac:dyDescent="0.35">
      <c r="G7164" s="1"/>
      <c r="N7164" s="1"/>
    </row>
    <row r="7165" spans="7:14" x14ac:dyDescent="0.35">
      <c r="G7165" s="1"/>
      <c r="N7165" s="1"/>
    </row>
    <row r="7166" spans="7:14" x14ac:dyDescent="0.35">
      <c r="G7166" s="1"/>
      <c r="N7166" s="1"/>
    </row>
    <row r="7167" spans="7:14" x14ac:dyDescent="0.35">
      <c r="G7167" s="1"/>
      <c r="N7167" s="1"/>
    </row>
    <row r="7168" spans="7:14" x14ac:dyDescent="0.35">
      <c r="G7168" s="1"/>
      <c r="N7168" s="1"/>
    </row>
    <row r="7169" spans="7:14" x14ac:dyDescent="0.35">
      <c r="G7169" s="1"/>
      <c r="N7169" s="1"/>
    </row>
    <row r="7170" spans="7:14" x14ac:dyDescent="0.35">
      <c r="G7170" s="1"/>
      <c r="N7170" s="1"/>
    </row>
    <row r="7171" spans="7:14" x14ac:dyDescent="0.35">
      <c r="G7171" s="1"/>
      <c r="N7171" s="1"/>
    </row>
    <row r="7172" spans="7:14" x14ac:dyDescent="0.35">
      <c r="G7172" s="1"/>
      <c r="N7172" s="1"/>
    </row>
    <row r="7173" spans="7:14" x14ac:dyDescent="0.35">
      <c r="G7173" s="1"/>
      <c r="N7173" s="1"/>
    </row>
    <row r="7174" spans="7:14" x14ac:dyDescent="0.35">
      <c r="G7174" s="1"/>
      <c r="N7174" s="1"/>
    </row>
    <row r="7175" spans="7:14" x14ac:dyDescent="0.35">
      <c r="G7175" s="1"/>
      <c r="N7175" s="1"/>
    </row>
    <row r="7176" spans="7:14" x14ac:dyDescent="0.35">
      <c r="G7176" s="1"/>
      <c r="N7176" s="1"/>
    </row>
    <row r="7177" spans="7:14" x14ac:dyDescent="0.35">
      <c r="G7177" s="1"/>
      <c r="N7177" s="1"/>
    </row>
    <row r="7178" spans="7:14" x14ac:dyDescent="0.35">
      <c r="G7178" s="1"/>
      <c r="N7178" s="1"/>
    </row>
    <row r="7179" spans="7:14" x14ac:dyDescent="0.35">
      <c r="G7179" s="1"/>
      <c r="N7179" s="1"/>
    </row>
    <row r="7180" spans="7:14" x14ac:dyDescent="0.35">
      <c r="G7180" s="1"/>
      <c r="N7180" s="1"/>
    </row>
    <row r="7181" spans="7:14" x14ac:dyDescent="0.35">
      <c r="G7181" s="1"/>
      <c r="N7181" s="1"/>
    </row>
    <row r="7182" spans="7:14" x14ac:dyDescent="0.35">
      <c r="G7182" s="1"/>
      <c r="N7182" s="1"/>
    </row>
    <row r="7183" spans="7:14" x14ac:dyDescent="0.35">
      <c r="G7183" s="1"/>
      <c r="N7183" s="1"/>
    </row>
    <row r="7184" spans="7:14" x14ac:dyDescent="0.35">
      <c r="G7184" s="1"/>
      <c r="N7184" s="1"/>
    </row>
    <row r="7185" spans="7:14" x14ac:dyDescent="0.35">
      <c r="G7185" s="1"/>
      <c r="N7185" s="1"/>
    </row>
    <row r="7186" spans="7:14" x14ac:dyDescent="0.35">
      <c r="G7186" s="1"/>
      <c r="N7186" s="1"/>
    </row>
    <row r="7187" spans="7:14" x14ac:dyDescent="0.35">
      <c r="G7187" s="1"/>
      <c r="N7187" s="1"/>
    </row>
    <row r="7188" spans="7:14" x14ac:dyDescent="0.35">
      <c r="G7188" s="1"/>
      <c r="N7188" s="1"/>
    </row>
    <row r="7189" spans="7:14" x14ac:dyDescent="0.35">
      <c r="G7189" s="1"/>
      <c r="N7189" s="1"/>
    </row>
    <row r="7190" spans="7:14" x14ac:dyDescent="0.35">
      <c r="G7190" s="1"/>
      <c r="N7190" s="1"/>
    </row>
    <row r="7191" spans="7:14" x14ac:dyDescent="0.35">
      <c r="G7191" s="1"/>
      <c r="N7191" s="1"/>
    </row>
    <row r="7192" spans="7:14" x14ac:dyDescent="0.35">
      <c r="G7192" s="1"/>
      <c r="N7192" s="1"/>
    </row>
    <row r="7193" spans="7:14" x14ac:dyDescent="0.35">
      <c r="G7193" s="1"/>
      <c r="N7193" s="1"/>
    </row>
    <row r="7194" spans="7:14" x14ac:dyDescent="0.35">
      <c r="G7194" s="1"/>
      <c r="N7194" s="1"/>
    </row>
    <row r="7195" spans="7:14" x14ac:dyDescent="0.35">
      <c r="G7195" s="1"/>
      <c r="N7195" s="1"/>
    </row>
    <row r="7196" spans="7:14" x14ac:dyDescent="0.35">
      <c r="G7196" s="1"/>
      <c r="N7196" s="1"/>
    </row>
    <row r="7197" spans="7:14" x14ac:dyDescent="0.35">
      <c r="G7197" s="1"/>
      <c r="N7197" s="1"/>
    </row>
    <row r="7198" spans="7:14" x14ac:dyDescent="0.35">
      <c r="G7198" s="1"/>
      <c r="N7198" s="1"/>
    </row>
    <row r="7199" spans="7:14" x14ac:dyDescent="0.35">
      <c r="G7199" s="1"/>
      <c r="N7199" s="1"/>
    </row>
    <row r="7200" spans="7:14" x14ac:dyDescent="0.35">
      <c r="G7200" s="1"/>
      <c r="N7200" s="1"/>
    </row>
    <row r="7201" spans="7:14" x14ac:dyDescent="0.35">
      <c r="G7201" s="1"/>
      <c r="N7201" s="1"/>
    </row>
    <row r="7202" spans="7:14" x14ac:dyDescent="0.35">
      <c r="G7202" s="1"/>
      <c r="N7202" s="1"/>
    </row>
    <row r="7203" spans="7:14" x14ac:dyDescent="0.35">
      <c r="G7203" s="1"/>
      <c r="N7203" s="1"/>
    </row>
    <row r="7204" spans="7:14" x14ac:dyDescent="0.35">
      <c r="G7204" s="1"/>
      <c r="N7204" s="1"/>
    </row>
    <row r="7205" spans="7:14" x14ac:dyDescent="0.35">
      <c r="G7205" s="1"/>
      <c r="N7205" s="1"/>
    </row>
    <row r="7206" spans="7:14" x14ac:dyDescent="0.35">
      <c r="G7206" s="1"/>
      <c r="N7206" s="1"/>
    </row>
    <row r="7207" spans="7:14" x14ac:dyDescent="0.35">
      <c r="G7207" s="1"/>
      <c r="N7207" s="1"/>
    </row>
    <row r="7208" spans="7:14" x14ac:dyDescent="0.35">
      <c r="G7208" s="1"/>
      <c r="N7208" s="1"/>
    </row>
    <row r="7209" spans="7:14" x14ac:dyDescent="0.35">
      <c r="G7209" s="1"/>
      <c r="N7209" s="1"/>
    </row>
    <row r="7210" spans="7:14" x14ac:dyDescent="0.35">
      <c r="G7210" s="1"/>
      <c r="N7210" s="1"/>
    </row>
    <row r="7211" spans="7:14" x14ac:dyDescent="0.35">
      <c r="G7211" s="1"/>
      <c r="N7211" s="1"/>
    </row>
    <row r="7212" spans="7:14" x14ac:dyDescent="0.35">
      <c r="G7212" s="1"/>
      <c r="N7212" s="1"/>
    </row>
    <row r="7213" spans="7:14" x14ac:dyDescent="0.35">
      <c r="G7213" s="1"/>
      <c r="N7213" s="1"/>
    </row>
    <row r="7214" spans="7:14" x14ac:dyDescent="0.35">
      <c r="G7214" s="1"/>
      <c r="N7214" s="1"/>
    </row>
    <row r="7215" spans="7:14" x14ac:dyDescent="0.35">
      <c r="G7215" s="1"/>
      <c r="N7215" s="1"/>
    </row>
    <row r="7216" spans="7:14" x14ac:dyDescent="0.35">
      <c r="G7216" s="1"/>
      <c r="N7216" s="1"/>
    </row>
    <row r="7217" spans="7:14" x14ac:dyDescent="0.35">
      <c r="G7217" s="1"/>
      <c r="N7217" s="1"/>
    </row>
    <row r="7218" spans="7:14" x14ac:dyDescent="0.35">
      <c r="G7218" s="1"/>
      <c r="N7218" s="1"/>
    </row>
    <row r="7219" spans="7:14" x14ac:dyDescent="0.35">
      <c r="G7219" s="1"/>
      <c r="N7219" s="1"/>
    </row>
    <row r="7220" spans="7:14" x14ac:dyDescent="0.35">
      <c r="G7220" s="1"/>
      <c r="N7220" s="1"/>
    </row>
    <row r="7221" spans="7:14" x14ac:dyDescent="0.35">
      <c r="G7221" s="1"/>
      <c r="N7221" s="1"/>
    </row>
    <row r="7222" spans="7:14" x14ac:dyDescent="0.35">
      <c r="G7222" s="1"/>
      <c r="N7222" s="1"/>
    </row>
    <row r="7223" spans="7:14" x14ac:dyDescent="0.35">
      <c r="G7223" s="1"/>
      <c r="N7223" s="1"/>
    </row>
    <row r="7224" spans="7:14" x14ac:dyDescent="0.35">
      <c r="G7224" s="1"/>
      <c r="N7224" s="1"/>
    </row>
    <row r="7225" spans="7:14" x14ac:dyDescent="0.35">
      <c r="G7225" s="1"/>
      <c r="N7225" s="1"/>
    </row>
    <row r="7226" spans="7:14" x14ac:dyDescent="0.35">
      <c r="G7226" s="1"/>
      <c r="N7226" s="1"/>
    </row>
    <row r="7227" spans="7:14" x14ac:dyDescent="0.35">
      <c r="G7227" s="1"/>
      <c r="N7227" s="1"/>
    </row>
    <row r="7228" spans="7:14" x14ac:dyDescent="0.35">
      <c r="G7228" s="1"/>
      <c r="N7228" s="1"/>
    </row>
    <row r="7229" spans="7:14" x14ac:dyDescent="0.35">
      <c r="G7229" s="1"/>
      <c r="N7229" s="1"/>
    </row>
    <row r="7230" spans="7:14" x14ac:dyDescent="0.35">
      <c r="G7230" s="1"/>
      <c r="N7230" s="1"/>
    </row>
    <row r="7231" spans="7:14" x14ac:dyDescent="0.35">
      <c r="G7231" s="1"/>
      <c r="N7231" s="1"/>
    </row>
    <row r="7232" spans="7:14" x14ac:dyDescent="0.35">
      <c r="G7232" s="1"/>
      <c r="N7232" s="1"/>
    </row>
    <row r="7233" spans="7:14" x14ac:dyDescent="0.35">
      <c r="G7233" s="1"/>
      <c r="N7233" s="1"/>
    </row>
    <row r="7234" spans="7:14" x14ac:dyDescent="0.35">
      <c r="G7234" s="1"/>
      <c r="N7234" s="1"/>
    </row>
    <row r="7235" spans="7:14" x14ac:dyDescent="0.35">
      <c r="G7235" s="1"/>
      <c r="N7235" s="1"/>
    </row>
    <row r="7236" spans="7:14" x14ac:dyDescent="0.35">
      <c r="G7236" s="1"/>
      <c r="N7236" s="1"/>
    </row>
    <row r="7237" spans="7:14" x14ac:dyDescent="0.35">
      <c r="G7237" s="1"/>
      <c r="N7237" s="1"/>
    </row>
    <row r="7238" spans="7:14" x14ac:dyDescent="0.35">
      <c r="G7238" s="1"/>
      <c r="N7238" s="1"/>
    </row>
    <row r="7239" spans="7:14" x14ac:dyDescent="0.35">
      <c r="G7239" s="1"/>
      <c r="N7239" s="1"/>
    </row>
    <row r="7240" spans="7:14" x14ac:dyDescent="0.35">
      <c r="G7240" s="1"/>
      <c r="N7240" s="1"/>
    </row>
    <row r="7241" spans="7:14" x14ac:dyDescent="0.35">
      <c r="G7241" s="1"/>
      <c r="N7241" s="1"/>
    </row>
    <row r="7242" spans="7:14" x14ac:dyDescent="0.35">
      <c r="G7242" s="1"/>
      <c r="N7242" s="1"/>
    </row>
    <row r="7243" spans="7:14" x14ac:dyDescent="0.35">
      <c r="G7243" s="1"/>
      <c r="N7243" s="1"/>
    </row>
    <row r="7244" spans="7:14" x14ac:dyDescent="0.35">
      <c r="G7244" s="1"/>
      <c r="N7244" s="1"/>
    </row>
    <row r="7245" spans="7:14" x14ac:dyDescent="0.35">
      <c r="G7245" s="1"/>
      <c r="N7245" s="1"/>
    </row>
    <row r="7246" spans="7:14" x14ac:dyDescent="0.35">
      <c r="G7246" s="1"/>
      <c r="N7246" s="1"/>
    </row>
    <row r="7247" spans="7:14" x14ac:dyDescent="0.35">
      <c r="G7247" s="1"/>
      <c r="N7247" s="1"/>
    </row>
    <row r="7248" spans="7:14" x14ac:dyDescent="0.35">
      <c r="G7248" s="1"/>
      <c r="N7248" s="1"/>
    </row>
    <row r="7249" spans="7:14" x14ac:dyDescent="0.35">
      <c r="G7249" s="1"/>
      <c r="N7249" s="1"/>
    </row>
    <row r="7250" spans="7:14" x14ac:dyDescent="0.35">
      <c r="G7250" s="1"/>
      <c r="N7250" s="1"/>
    </row>
    <row r="7251" spans="7:14" x14ac:dyDescent="0.35">
      <c r="G7251" s="1"/>
      <c r="N7251" s="1"/>
    </row>
    <row r="7252" spans="7:14" x14ac:dyDescent="0.35">
      <c r="G7252" s="1"/>
      <c r="N7252" s="1"/>
    </row>
    <row r="7253" spans="7:14" x14ac:dyDescent="0.35">
      <c r="G7253" s="1"/>
      <c r="N7253" s="1"/>
    </row>
    <row r="7254" spans="7:14" x14ac:dyDescent="0.35">
      <c r="G7254" s="1"/>
      <c r="N7254" s="1"/>
    </row>
    <row r="7255" spans="7:14" x14ac:dyDescent="0.35">
      <c r="G7255" s="1"/>
      <c r="N7255" s="1"/>
    </row>
    <row r="7256" spans="7:14" x14ac:dyDescent="0.35">
      <c r="G7256" s="1"/>
      <c r="N7256" s="1"/>
    </row>
    <row r="7257" spans="7:14" x14ac:dyDescent="0.35">
      <c r="G7257" s="1"/>
      <c r="N7257" s="1"/>
    </row>
    <row r="7258" spans="7:14" x14ac:dyDescent="0.35">
      <c r="G7258" s="1"/>
      <c r="N7258" s="1"/>
    </row>
    <row r="7259" spans="7:14" x14ac:dyDescent="0.35">
      <c r="G7259" s="1"/>
      <c r="N7259" s="1"/>
    </row>
    <row r="7260" spans="7:14" x14ac:dyDescent="0.35">
      <c r="G7260" s="1"/>
      <c r="N7260" s="1"/>
    </row>
    <row r="7261" spans="7:14" x14ac:dyDescent="0.35">
      <c r="G7261" s="1"/>
      <c r="N7261" s="1"/>
    </row>
    <row r="7262" spans="7:14" x14ac:dyDescent="0.35">
      <c r="G7262" s="1"/>
      <c r="N7262" s="1"/>
    </row>
    <row r="7263" spans="7:14" x14ac:dyDescent="0.35">
      <c r="G7263" s="1"/>
      <c r="N7263" s="1"/>
    </row>
    <row r="7264" spans="7:14" x14ac:dyDescent="0.35">
      <c r="G7264" s="1"/>
      <c r="N7264" s="1"/>
    </row>
    <row r="7265" spans="7:14" x14ac:dyDescent="0.35">
      <c r="G7265" s="1"/>
      <c r="N7265" s="1"/>
    </row>
    <row r="7266" spans="7:14" x14ac:dyDescent="0.35">
      <c r="G7266" s="1"/>
      <c r="N7266" s="1"/>
    </row>
    <row r="7267" spans="7:14" x14ac:dyDescent="0.35">
      <c r="G7267" s="1"/>
      <c r="N7267" s="1"/>
    </row>
    <row r="7268" spans="7:14" x14ac:dyDescent="0.35">
      <c r="G7268" s="1"/>
      <c r="N7268" s="1"/>
    </row>
    <row r="7269" spans="7:14" x14ac:dyDescent="0.35">
      <c r="G7269" s="1"/>
      <c r="N7269" s="1"/>
    </row>
    <row r="7270" spans="7:14" x14ac:dyDescent="0.35">
      <c r="G7270" s="1"/>
      <c r="N7270" s="1"/>
    </row>
    <row r="7271" spans="7:14" x14ac:dyDescent="0.35">
      <c r="G7271" s="1"/>
      <c r="N7271" s="1"/>
    </row>
    <row r="7272" spans="7:14" x14ac:dyDescent="0.35">
      <c r="G7272" s="1"/>
      <c r="N7272" s="1"/>
    </row>
    <row r="7273" spans="7:14" x14ac:dyDescent="0.35">
      <c r="G7273" s="1"/>
      <c r="N7273" s="1"/>
    </row>
    <row r="7274" spans="7:14" x14ac:dyDescent="0.35">
      <c r="G7274" s="1"/>
      <c r="N7274" s="1"/>
    </row>
    <row r="7275" spans="7:14" x14ac:dyDescent="0.35">
      <c r="G7275" s="1"/>
      <c r="N7275" s="1"/>
    </row>
    <row r="7276" spans="7:14" x14ac:dyDescent="0.35">
      <c r="G7276" s="1"/>
      <c r="N7276" s="1"/>
    </row>
    <row r="7277" spans="7:14" x14ac:dyDescent="0.35">
      <c r="G7277" s="1"/>
      <c r="N7277" s="1"/>
    </row>
    <row r="7278" spans="7:14" x14ac:dyDescent="0.35">
      <c r="G7278" s="1"/>
      <c r="N7278" s="1"/>
    </row>
    <row r="7279" spans="7:14" x14ac:dyDescent="0.35">
      <c r="G7279" s="1"/>
      <c r="N7279" s="1"/>
    </row>
    <row r="7280" spans="7:14" x14ac:dyDescent="0.35">
      <c r="G7280" s="1"/>
      <c r="N7280" s="1"/>
    </row>
    <row r="7281" spans="7:14" x14ac:dyDescent="0.35">
      <c r="G7281" s="1"/>
      <c r="N7281" s="1"/>
    </row>
    <row r="7282" spans="7:14" x14ac:dyDescent="0.35">
      <c r="G7282" s="1"/>
      <c r="N7282" s="1"/>
    </row>
    <row r="7283" spans="7:14" x14ac:dyDescent="0.35">
      <c r="G7283" s="1"/>
      <c r="N7283" s="1"/>
    </row>
    <row r="7284" spans="7:14" x14ac:dyDescent="0.35">
      <c r="G7284" s="1"/>
      <c r="N7284" s="1"/>
    </row>
    <row r="7285" spans="7:14" x14ac:dyDescent="0.35">
      <c r="G7285" s="1"/>
      <c r="N7285" s="1"/>
    </row>
    <row r="7286" spans="7:14" x14ac:dyDescent="0.35">
      <c r="G7286" s="1"/>
      <c r="N7286" s="1"/>
    </row>
    <row r="7287" spans="7:14" x14ac:dyDescent="0.35">
      <c r="G7287" s="1"/>
      <c r="N7287" s="1"/>
    </row>
    <row r="7288" spans="7:14" x14ac:dyDescent="0.35">
      <c r="G7288" s="1"/>
      <c r="N7288" s="1"/>
    </row>
    <row r="7289" spans="7:14" x14ac:dyDescent="0.35">
      <c r="G7289" s="1"/>
      <c r="N7289" s="1"/>
    </row>
    <row r="7290" spans="7:14" x14ac:dyDescent="0.35">
      <c r="G7290" s="1"/>
      <c r="N7290" s="1"/>
    </row>
    <row r="7291" spans="7:14" x14ac:dyDescent="0.35">
      <c r="G7291" s="1"/>
      <c r="N7291" s="1"/>
    </row>
    <row r="7292" spans="7:14" x14ac:dyDescent="0.35">
      <c r="G7292" s="1"/>
      <c r="N7292" s="1"/>
    </row>
    <row r="7293" spans="7:14" x14ac:dyDescent="0.35">
      <c r="G7293" s="1"/>
      <c r="N7293" s="1"/>
    </row>
    <row r="7294" spans="7:14" x14ac:dyDescent="0.35">
      <c r="G7294" s="1"/>
      <c r="N7294" s="1"/>
    </row>
    <row r="7295" spans="7:14" x14ac:dyDescent="0.35">
      <c r="G7295" s="1"/>
      <c r="N7295" s="1"/>
    </row>
    <row r="7296" spans="7:14" x14ac:dyDescent="0.35">
      <c r="G7296" s="1"/>
      <c r="N7296" s="1"/>
    </row>
    <row r="7297" spans="7:14" x14ac:dyDescent="0.35">
      <c r="G7297" s="1"/>
      <c r="N7297" s="1"/>
    </row>
    <row r="7298" spans="7:14" x14ac:dyDescent="0.35">
      <c r="G7298" s="1"/>
      <c r="N7298" s="1"/>
    </row>
    <row r="7299" spans="7:14" x14ac:dyDescent="0.35">
      <c r="G7299" s="1"/>
      <c r="N7299" s="1"/>
    </row>
    <row r="7300" spans="7:14" x14ac:dyDescent="0.35">
      <c r="G7300" s="1"/>
      <c r="N7300" s="1"/>
    </row>
    <row r="7301" spans="7:14" x14ac:dyDescent="0.35">
      <c r="G7301" s="1"/>
      <c r="N7301" s="1"/>
    </row>
    <row r="7302" spans="7:14" x14ac:dyDescent="0.35">
      <c r="G7302" s="1"/>
      <c r="N7302" s="1"/>
    </row>
    <row r="7303" spans="7:14" x14ac:dyDescent="0.35">
      <c r="G7303" s="1"/>
      <c r="N7303" s="1"/>
    </row>
    <row r="7304" spans="7:14" x14ac:dyDescent="0.35">
      <c r="G7304" s="1"/>
      <c r="N7304" s="1"/>
    </row>
    <row r="7305" spans="7:14" x14ac:dyDescent="0.35">
      <c r="G7305" s="1"/>
      <c r="N7305" s="1"/>
    </row>
    <row r="7306" spans="7:14" x14ac:dyDescent="0.35">
      <c r="G7306" s="1"/>
      <c r="N7306" s="1"/>
    </row>
    <row r="7307" spans="7:14" x14ac:dyDescent="0.35">
      <c r="G7307" s="1"/>
      <c r="N7307" s="1"/>
    </row>
    <row r="7308" spans="7:14" x14ac:dyDescent="0.35">
      <c r="G7308" s="1"/>
      <c r="N7308" s="1"/>
    </row>
    <row r="7309" spans="7:14" x14ac:dyDescent="0.35">
      <c r="G7309" s="1"/>
      <c r="N7309" s="1"/>
    </row>
    <row r="7310" spans="7:14" x14ac:dyDescent="0.35">
      <c r="G7310" s="1"/>
      <c r="N7310" s="1"/>
    </row>
    <row r="7311" spans="7:14" x14ac:dyDescent="0.35">
      <c r="G7311" s="1"/>
      <c r="N7311" s="1"/>
    </row>
    <row r="7312" spans="7:14" x14ac:dyDescent="0.35">
      <c r="G7312" s="1"/>
      <c r="N7312" s="1"/>
    </row>
    <row r="7313" spans="7:14" x14ac:dyDescent="0.35">
      <c r="G7313" s="1"/>
      <c r="N7313" s="1"/>
    </row>
    <row r="7314" spans="7:14" x14ac:dyDescent="0.35">
      <c r="G7314" s="1"/>
      <c r="N7314" s="1"/>
    </row>
    <row r="7315" spans="7:14" x14ac:dyDescent="0.35">
      <c r="G7315" s="1"/>
      <c r="N7315" s="1"/>
    </row>
    <row r="7316" spans="7:14" x14ac:dyDescent="0.35">
      <c r="G7316" s="1"/>
      <c r="N7316" s="1"/>
    </row>
    <row r="7317" spans="7:14" x14ac:dyDescent="0.35">
      <c r="G7317" s="1"/>
      <c r="N7317" s="1"/>
    </row>
    <row r="7318" spans="7:14" x14ac:dyDescent="0.35">
      <c r="G7318" s="1"/>
      <c r="N7318" s="1"/>
    </row>
    <row r="7319" spans="7:14" x14ac:dyDescent="0.35">
      <c r="G7319" s="1"/>
      <c r="N7319" s="1"/>
    </row>
    <row r="7320" spans="7:14" x14ac:dyDescent="0.35">
      <c r="G7320" s="1"/>
      <c r="N7320" s="1"/>
    </row>
    <row r="7321" spans="7:14" x14ac:dyDescent="0.35">
      <c r="G7321" s="1"/>
      <c r="N7321" s="1"/>
    </row>
    <row r="7322" spans="7:14" x14ac:dyDescent="0.35">
      <c r="G7322" s="1"/>
      <c r="N7322" s="1"/>
    </row>
    <row r="7323" spans="7:14" x14ac:dyDescent="0.35">
      <c r="G7323" s="1"/>
      <c r="N7323" s="1"/>
    </row>
    <row r="7324" spans="7:14" x14ac:dyDescent="0.35">
      <c r="G7324" s="1"/>
      <c r="N7324" s="1"/>
    </row>
    <row r="7325" spans="7:14" x14ac:dyDescent="0.35">
      <c r="G7325" s="1"/>
      <c r="N7325" s="1"/>
    </row>
    <row r="7326" spans="7:14" x14ac:dyDescent="0.35">
      <c r="G7326" s="1"/>
      <c r="N7326" s="1"/>
    </row>
    <row r="7327" spans="7:14" x14ac:dyDescent="0.35">
      <c r="G7327" s="1"/>
      <c r="N7327" s="1"/>
    </row>
    <row r="7328" spans="7:14" x14ac:dyDescent="0.35">
      <c r="G7328" s="1"/>
      <c r="N7328" s="1"/>
    </row>
    <row r="7329" spans="7:14" x14ac:dyDescent="0.35">
      <c r="G7329" s="1"/>
      <c r="N7329" s="1"/>
    </row>
    <row r="7330" spans="7:14" x14ac:dyDescent="0.35">
      <c r="G7330" s="1"/>
      <c r="N7330" s="1"/>
    </row>
    <row r="7331" spans="7:14" x14ac:dyDescent="0.35">
      <c r="G7331" s="1"/>
      <c r="N7331" s="1"/>
    </row>
    <row r="7332" spans="7:14" x14ac:dyDescent="0.35">
      <c r="G7332" s="1"/>
      <c r="N7332" s="1"/>
    </row>
    <row r="7333" spans="7:14" x14ac:dyDescent="0.35">
      <c r="G7333" s="1"/>
      <c r="N7333" s="1"/>
    </row>
    <row r="7334" spans="7:14" x14ac:dyDescent="0.35">
      <c r="G7334" s="1"/>
      <c r="N7334" s="1"/>
    </row>
    <row r="7335" spans="7:14" x14ac:dyDescent="0.35">
      <c r="G7335" s="1"/>
      <c r="N7335" s="1"/>
    </row>
    <row r="7336" spans="7:14" x14ac:dyDescent="0.35">
      <c r="G7336" s="1"/>
      <c r="N7336" s="1"/>
    </row>
    <row r="7337" spans="7:14" x14ac:dyDescent="0.35">
      <c r="G7337" s="1"/>
      <c r="N7337" s="1"/>
    </row>
    <row r="7338" spans="7:14" x14ac:dyDescent="0.35">
      <c r="G7338" s="1"/>
      <c r="N7338" s="1"/>
    </row>
    <row r="7339" spans="7:14" x14ac:dyDescent="0.35">
      <c r="G7339" s="1"/>
      <c r="N7339" s="1"/>
    </row>
    <row r="7340" spans="7:14" x14ac:dyDescent="0.35">
      <c r="G7340" s="1"/>
      <c r="N7340" s="1"/>
    </row>
    <row r="7341" spans="7:14" x14ac:dyDescent="0.35">
      <c r="G7341" s="1"/>
      <c r="N7341" s="1"/>
    </row>
    <row r="7342" spans="7:14" x14ac:dyDescent="0.35">
      <c r="G7342" s="1"/>
      <c r="N7342" s="1"/>
    </row>
    <row r="7343" spans="7:14" x14ac:dyDescent="0.35">
      <c r="G7343" s="1"/>
      <c r="N7343" s="1"/>
    </row>
    <row r="7344" spans="7:14" x14ac:dyDescent="0.35">
      <c r="G7344" s="1"/>
      <c r="N7344" s="1"/>
    </row>
    <row r="7345" spans="7:14" x14ac:dyDescent="0.35">
      <c r="G7345" s="1"/>
      <c r="N7345" s="1"/>
    </row>
    <row r="7346" spans="7:14" x14ac:dyDescent="0.35">
      <c r="G7346" s="1"/>
      <c r="N7346" s="1"/>
    </row>
    <row r="7347" spans="7:14" x14ac:dyDescent="0.35">
      <c r="G7347" s="1"/>
      <c r="N7347" s="1"/>
    </row>
    <row r="7348" spans="7:14" x14ac:dyDescent="0.35">
      <c r="G7348" s="1"/>
      <c r="N7348" s="1"/>
    </row>
    <row r="7349" spans="7:14" x14ac:dyDescent="0.35">
      <c r="G7349" s="1"/>
      <c r="N7349" s="1"/>
    </row>
    <row r="7350" spans="7:14" x14ac:dyDescent="0.35">
      <c r="G7350" s="1"/>
      <c r="N7350" s="1"/>
    </row>
    <row r="7351" spans="7:14" x14ac:dyDescent="0.35">
      <c r="G7351" s="1"/>
      <c r="N7351" s="1"/>
    </row>
    <row r="7352" spans="7:14" x14ac:dyDescent="0.35">
      <c r="G7352" s="1"/>
      <c r="N7352" s="1"/>
    </row>
    <row r="7353" spans="7:14" x14ac:dyDescent="0.35">
      <c r="G7353" s="1"/>
      <c r="N7353" s="1"/>
    </row>
    <row r="7354" spans="7:14" x14ac:dyDescent="0.35">
      <c r="G7354" s="1"/>
      <c r="N7354" s="1"/>
    </row>
    <row r="7355" spans="7:14" x14ac:dyDescent="0.35">
      <c r="G7355" s="1"/>
      <c r="N7355" s="1"/>
    </row>
    <row r="7356" spans="7:14" x14ac:dyDescent="0.35">
      <c r="G7356" s="1"/>
      <c r="N7356" s="1"/>
    </row>
    <row r="7357" spans="7:14" x14ac:dyDescent="0.35">
      <c r="G7357" s="1"/>
      <c r="N7357" s="1"/>
    </row>
    <row r="7358" spans="7:14" x14ac:dyDescent="0.35">
      <c r="G7358" s="1"/>
      <c r="N7358" s="1"/>
    </row>
    <row r="7359" spans="7:14" x14ac:dyDescent="0.35">
      <c r="G7359" s="1"/>
      <c r="N7359" s="1"/>
    </row>
    <row r="7360" spans="7:14" x14ac:dyDescent="0.35">
      <c r="G7360" s="1"/>
      <c r="N7360" s="1"/>
    </row>
    <row r="7361" spans="7:14" x14ac:dyDescent="0.35">
      <c r="G7361" s="1"/>
      <c r="N7361" s="1"/>
    </row>
    <row r="7362" spans="7:14" x14ac:dyDescent="0.35">
      <c r="G7362" s="1"/>
      <c r="N7362" s="1"/>
    </row>
    <row r="7363" spans="7:14" x14ac:dyDescent="0.35">
      <c r="G7363" s="1"/>
      <c r="N7363" s="1"/>
    </row>
    <row r="7364" spans="7:14" x14ac:dyDescent="0.35">
      <c r="G7364" s="1"/>
      <c r="N7364" s="1"/>
    </row>
    <row r="7365" spans="7:14" x14ac:dyDescent="0.35">
      <c r="G7365" s="1"/>
      <c r="N7365" s="1"/>
    </row>
    <row r="7366" spans="7:14" x14ac:dyDescent="0.35">
      <c r="G7366" s="1"/>
      <c r="N7366" s="1"/>
    </row>
    <row r="7367" spans="7:14" x14ac:dyDescent="0.35">
      <c r="G7367" s="1"/>
      <c r="N7367" s="1"/>
    </row>
    <row r="7368" spans="7:14" x14ac:dyDescent="0.35">
      <c r="G7368" s="1"/>
      <c r="N7368" s="1"/>
    </row>
    <row r="7369" spans="7:14" x14ac:dyDescent="0.35">
      <c r="G7369" s="1"/>
      <c r="N7369" s="1"/>
    </row>
    <row r="7370" spans="7:14" x14ac:dyDescent="0.35">
      <c r="G7370" s="1"/>
      <c r="N7370" s="1"/>
    </row>
    <row r="7371" spans="7:14" x14ac:dyDescent="0.35">
      <c r="G7371" s="1"/>
      <c r="N7371" s="1"/>
    </row>
    <row r="7372" spans="7:14" x14ac:dyDescent="0.35">
      <c r="G7372" s="1"/>
      <c r="N7372" s="1"/>
    </row>
    <row r="7373" spans="7:14" x14ac:dyDescent="0.35">
      <c r="G7373" s="1"/>
      <c r="N7373" s="1"/>
    </row>
    <row r="7374" spans="7:14" x14ac:dyDescent="0.35">
      <c r="G7374" s="1"/>
      <c r="N7374" s="1"/>
    </row>
    <row r="7375" spans="7:14" x14ac:dyDescent="0.35">
      <c r="G7375" s="1"/>
      <c r="N7375" s="1"/>
    </row>
    <row r="7376" spans="7:14" x14ac:dyDescent="0.35">
      <c r="G7376" s="1"/>
      <c r="N7376" s="1"/>
    </row>
    <row r="7377" spans="7:14" x14ac:dyDescent="0.35">
      <c r="G7377" s="1"/>
      <c r="N7377" s="1"/>
    </row>
    <row r="7378" spans="7:14" x14ac:dyDescent="0.35">
      <c r="G7378" s="1"/>
      <c r="N7378" s="1"/>
    </row>
    <row r="7379" spans="7:14" x14ac:dyDescent="0.35">
      <c r="G7379" s="1"/>
      <c r="N7379" s="1"/>
    </row>
    <row r="7380" spans="7:14" x14ac:dyDescent="0.35">
      <c r="G7380" s="1"/>
      <c r="N7380" s="1"/>
    </row>
    <row r="7381" spans="7:14" x14ac:dyDescent="0.35">
      <c r="G7381" s="1"/>
      <c r="N7381" s="1"/>
    </row>
    <row r="7382" spans="7:14" x14ac:dyDescent="0.35">
      <c r="G7382" s="1"/>
      <c r="N7382" s="1"/>
    </row>
    <row r="7383" spans="7:14" x14ac:dyDescent="0.35">
      <c r="G7383" s="1"/>
      <c r="N7383" s="1"/>
    </row>
    <row r="7384" spans="7:14" x14ac:dyDescent="0.35">
      <c r="G7384" s="1"/>
      <c r="N7384" s="1"/>
    </row>
    <row r="7385" spans="7:14" x14ac:dyDescent="0.35">
      <c r="G7385" s="1"/>
      <c r="N7385" s="1"/>
    </row>
    <row r="7386" spans="7:14" x14ac:dyDescent="0.35">
      <c r="G7386" s="1"/>
      <c r="N7386" s="1"/>
    </row>
    <row r="7387" spans="7:14" x14ac:dyDescent="0.35">
      <c r="G7387" s="1"/>
      <c r="N7387" s="1"/>
    </row>
    <row r="7388" spans="7:14" x14ac:dyDescent="0.35">
      <c r="G7388" s="1"/>
      <c r="N7388" s="1"/>
    </row>
    <row r="7389" spans="7:14" x14ac:dyDescent="0.35">
      <c r="G7389" s="1"/>
      <c r="N7389" s="1"/>
    </row>
    <row r="7390" spans="7:14" x14ac:dyDescent="0.35">
      <c r="G7390" s="1"/>
      <c r="N7390" s="1"/>
    </row>
    <row r="7391" spans="7:14" x14ac:dyDescent="0.35">
      <c r="G7391" s="1"/>
      <c r="N7391" s="1"/>
    </row>
    <row r="7392" spans="7:14" x14ac:dyDescent="0.35">
      <c r="G7392" s="1"/>
      <c r="N7392" s="1"/>
    </row>
    <row r="7393" spans="7:14" x14ac:dyDescent="0.35">
      <c r="G7393" s="1"/>
      <c r="N7393" s="1"/>
    </row>
    <row r="7394" spans="7:14" x14ac:dyDescent="0.35">
      <c r="G7394" s="1"/>
      <c r="N7394" s="1"/>
    </row>
    <row r="7395" spans="7:14" x14ac:dyDescent="0.35">
      <c r="G7395" s="1"/>
      <c r="N7395" s="1"/>
    </row>
    <row r="7396" spans="7:14" x14ac:dyDescent="0.35">
      <c r="G7396" s="1"/>
      <c r="N7396" s="1"/>
    </row>
    <row r="7397" spans="7:14" x14ac:dyDescent="0.35">
      <c r="G7397" s="1"/>
      <c r="N7397" s="1"/>
    </row>
    <row r="7398" spans="7:14" x14ac:dyDescent="0.35">
      <c r="G7398" s="1"/>
      <c r="N7398" s="1"/>
    </row>
    <row r="7399" spans="7:14" x14ac:dyDescent="0.35">
      <c r="G7399" s="1"/>
      <c r="N7399" s="1"/>
    </row>
    <row r="7400" spans="7:14" x14ac:dyDescent="0.35">
      <c r="G7400" s="1"/>
      <c r="N7400" s="1"/>
    </row>
    <row r="7401" spans="7:14" x14ac:dyDescent="0.35">
      <c r="G7401" s="1"/>
      <c r="N7401" s="1"/>
    </row>
    <row r="7402" spans="7:14" x14ac:dyDescent="0.35">
      <c r="G7402" s="1"/>
      <c r="N7402" s="1"/>
    </row>
    <row r="7403" spans="7:14" x14ac:dyDescent="0.35">
      <c r="G7403" s="1"/>
      <c r="N7403" s="1"/>
    </row>
    <row r="7404" spans="7:14" x14ac:dyDescent="0.35">
      <c r="G7404" s="1"/>
      <c r="N7404" s="1"/>
    </row>
    <row r="7405" spans="7:14" x14ac:dyDescent="0.35">
      <c r="G7405" s="1"/>
      <c r="N7405" s="1"/>
    </row>
    <row r="7406" spans="7:14" x14ac:dyDescent="0.35">
      <c r="G7406" s="1"/>
      <c r="N7406" s="1"/>
    </row>
    <row r="7407" spans="7:14" x14ac:dyDescent="0.35">
      <c r="G7407" s="1"/>
      <c r="N7407" s="1"/>
    </row>
    <row r="7408" spans="7:14" x14ac:dyDescent="0.35">
      <c r="G7408" s="1"/>
      <c r="N7408" s="1"/>
    </row>
    <row r="7409" spans="7:14" x14ac:dyDescent="0.35">
      <c r="G7409" s="1"/>
      <c r="N7409" s="1"/>
    </row>
    <row r="7410" spans="7:14" x14ac:dyDescent="0.35">
      <c r="G7410" s="1"/>
      <c r="N7410" s="1"/>
    </row>
    <row r="7411" spans="7:14" x14ac:dyDescent="0.35">
      <c r="G7411" s="1"/>
      <c r="N7411" s="1"/>
    </row>
    <row r="7412" spans="7:14" x14ac:dyDescent="0.35">
      <c r="G7412" s="1"/>
      <c r="N7412" s="1"/>
    </row>
    <row r="7413" spans="7:14" x14ac:dyDescent="0.35">
      <c r="G7413" s="1"/>
      <c r="N7413" s="1"/>
    </row>
    <row r="7414" spans="7:14" x14ac:dyDescent="0.35">
      <c r="G7414" s="1"/>
      <c r="N7414" s="1"/>
    </row>
    <row r="7415" spans="7:14" x14ac:dyDescent="0.35">
      <c r="G7415" s="1"/>
      <c r="N7415" s="1"/>
    </row>
    <row r="7416" spans="7:14" x14ac:dyDescent="0.35">
      <c r="G7416" s="1"/>
      <c r="N7416" s="1"/>
    </row>
    <row r="7417" spans="7:14" x14ac:dyDescent="0.35">
      <c r="G7417" s="1"/>
      <c r="N7417" s="1"/>
    </row>
    <row r="7418" spans="7:14" x14ac:dyDescent="0.35">
      <c r="G7418" s="1"/>
      <c r="N7418" s="1"/>
    </row>
    <row r="7419" spans="7:14" x14ac:dyDescent="0.35">
      <c r="G7419" s="1"/>
      <c r="N7419" s="1"/>
    </row>
    <row r="7420" spans="7:14" x14ac:dyDescent="0.35">
      <c r="G7420" s="1"/>
      <c r="N7420" s="1"/>
    </row>
    <row r="7421" spans="7:14" x14ac:dyDescent="0.35">
      <c r="G7421" s="1"/>
      <c r="N7421" s="1"/>
    </row>
    <row r="7422" spans="7:14" x14ac:dyDescent="0.35">
      <c r="G7422" s="1"/>
      <c r="N7422" s="1"/>
    </row>
    <row r="7423" spans="7:14" x14ac:dyDescent="0.35">
      <c r="G7423" s="1"/>
      <c r="N7423" s="1"/>
    </row>
    <row r="7424" spans="7:14" x14ac:dyDescent="0.35">
      <c r="G7424" s="1"/>
      <c r="N7424" s="1"/>
    </row>
    <row r="7425" spans="7:14" x14ac:dyDescent="0.35">
      <c r="G7425" s="1"/>
      <c r="N7425" s="1"/>
    </row>
    <row r="7426" spans="7:14" x14ac:dyDescent="0.35">
      <c r="G7426" s="1"/>
      <c r="N7426" s="1"/>
    </row>
    <row r="7427" spans="7:14" x14ac:dyDescent="0.35">
      <c r="G7427" s="1"/>
      <c r="N7427" s="1"/>
    </row>
    <row r="7428" spans="7:14" x14ac:dyDescent="0.35">
      <c r="G7428" s="1"/>
      <c r="N7428" s="1"/>
    </row>
    <row r="7429" spans="7:14" x14ac:dyDescent="0.35">
      <c r="G7429" s="1"/>
      <c r="N7429" s="1"/>
    </row>
    <row r="7430" spans="7:14" x14ac:dyDescent="0.35">
      <c r="G7430" s="1"/>
      <c r="N7430" s="1"/>
    </row>
    <row r="7431" spans="7:14" x14ac:dyDescent="0.35">
      <c r="G7431" s="1"/>
      <c r="N7431" s="1"/>
    </row>
    <row r="7432" spans="7:14" x14ac:dyDescent="0.35">
      <c r="G7432" s="1"/>
      <c r="N7432" s="1"/>
    </row>
    <row r="7433" spans="7:14" x14ac:dyDescent="0.35">
      <c r="G7433" s="1"/>
      <c r="N7433" s="1"/>
    </row>
    <row r="7434" spans="7:14" x14ac:dyDescent="0.35">
      <c r="G7434" s="1"/>
      <c r="N7434" s="1"/>
    </row>
    <row r="7435" spans="7:14" x14ac:dyDescent="0.35">
      <c r="G7435" s="1"/>
      <c r="N7435" s="1"/>
    </row>
    <row r="7436" spans="7:14" x14ac:dyDescent="0.35">
      <c r="G7436" s="1"/>
      <c r="N7436" s="1"/>
    </row>
    <row r="7437" spans="7:14" x14ac:dyDescent="0.35">
      <c r="G7437" s="1"/>
      <c r="N7437" s="1"/>
    </row>
    <row r="7438" spans="7:14" x14ac:dyDescent="0.35">
      <c r="G7438" s="1"/>
      <c r="N7438" s="1"/>
    </row>
    <row r="7439" spans="7:14" x14ac:dyDescent="0.35">
      <c r="G7439" s="1"/>
      <c r="N7439" s="1"/>
    </row>
    <row r="7440" spans="7:14" x14ac:dyDescent="0.35">
      <c r="G7440" s="1"/>
      <c r="N7440" s="1"/>
    </row>
    <row r="7441" spans="7:14" x14ac:dyDescent="0.35">
      <c r="G7441" s="1"/>
      <c r="N7441" s="1"/>
    </row>
    <row r="7442" spans="7:14" x14ac:dyDescent="0.35">
      <c r="G7442" s="1"/>
      <c r="N7442" s="1"/>
    </row>
    <row r="7443" spans="7:14" x14ac:dyDescent="0.35">
      <c r="G7443" s="1"/>
      <c r="N7443" s="1"/>
    </row>
    <row r="7444" spans="7:14" x14ac:dyDescent="0.35">
      <c r="G7444" s="1"/>
      <c r="N7444" s="1"/>
    </row>
    <row r="7445" spans="7:14" x14ac:dyDescent="0.35">
      <c r="G7445" s="1"/>
      <c r="N7445" s="1"/>
    </row>
    <row r="7446" spans="7:14" x14ac:dyDescent="0.35">
      <c r="G7446" s="1"/>
      <c r="N7446" s="1"/>
    </row>
    <row r="7447" spans="7:14" x14ac:dyDescent="0.35">
      <c r="G7447" s="1"/>
      <c r="N7447" s="1"/>
    </row>
    <row r="7448" spans="7:14" x14ac:dyDescent="0.35">
      <c r="G7448" s="1"/>
      <c r="N7448" s="1"/>
    </row>
    <row r="7449" spans="7:14" x14ac:dyDescent="0.35">
      <c r="G7449" s="1"/>
      <c r="N7449" s="1"/>
    </row>
    <row r="7450" spans="7:14" x14ac:dyDescent="0.35">
      <c r="G7450" s="1"/>
      <c r="N7450" s="1"/>
    </row>
    <row r="7451" spans="7:14" x14ac:dyDescent="0.35">
      <c r="G7451" s="1"/>
      <c r="N7451" s="1"/>
    </row>
    <row r="7452" spans="7:14" x14ac:dyDescent="0.35">
      <c r="G7452" s="1"/>
      <c r="N7452" s="1"/>
    </row>
    <row r="7453" spans="7:14" x14ac:dyDescent="0.35">
      <c r="G7453" s="1"/>
      <c r="N7453" s="1"/>
    </row>
    <row r="7454" spans="7:14" x14ac:dyDescent="0.35">
      <c r="G7454" s="1"/>
      <c r="N7454" s="1"/>
    </row>
    <row r="7455" spans="7:14" x14ac:dyDescent="0.35">
      <c r="G7455" s="1"/>
      <c r="N7455" s="1"/>
    </row>
    <row r="7456" spans="7:14" x14ac:dyDescent="0.35">
      <c r="G7456" s="1"/>
      <c r="N7456" s="1"/>
    </row>
    <row r="7457" spans="7:14" x14ac:dyDescent="0.35">
      <c r="G7457" s="1"/>
      <c r="N7457" s="1"/>
    </row>
    <row r="7458" spans="7:14" x14ac:dyDescent="0.35">
      <c r="G7458" s="1"/>
      <c r="N7458" s="1"/>
    </row>
    <row r="7459" spans="7:14" x14ac:dyDescent="0.35">
      <c r="G7459" s="1"/>
      <c r="N7459" s="1"/>
    </row>
    <row r="7460" spans="7:14" x14ac:dyDescent="0.35">
      <c r="G7460" s="1"/>
      <c r="N7460" s="1"/>
    </row>
    <row r="7461" spans="7:14" x14ac:dyDescent="0.35">
      <c r="G7461" s="1"/>
      <c r="N7461" s="1"/>
    </row>
    <row r="7462" spans="7:14" x14ac:dyDescent="0.35">
      <c r="G7462" s="1"/>
      <c r="N7462" s="1"/>
    </row>
    <row r="7463" spans="7:14" x14ac:dyDescent="0.35">
      <c r="G7463" s="1"/>
      <c r="N7463" s="1"/>
    </row>
    <row r="7464" spans="7:14" x14ac:dyDescent="0.35">
      <c r="G7464" s="1"/>
      <c r="N7464" s="1"/>
    </row>
    <row r="7465" spans="7:14" x14ac:dyDescent="0.35">
      <c r="G7465" s="1"/>
      <c r="N7465" s="1"/>
    </row>
    <row r="7466" spans="7:14" x14ac:dyDescent="0.35">
      <c r="G7466" s="1"/>
      <c r="N7466" s="1"/>
    </row>
    <row r="7467" spans="7:14" x14ac:dyDescent="0.35">
      <c r="G7467" s="1"/>
      <c r="N7467" s="1"/>
    </row>
    <row r="7468" spans="7:14" x14ac:dyDescent="0.35">
      <c r="G7468" s="1"/>
      <c r="N7468" s="1"/>
    </row>
    <row r="7469" spans="7:14" x14ac:dyDescent="0.35">
      <c r="G7469" s="1"/>
      <c r="N7469" s="1"/>
    </row>
    <row r="7470" spans="7:14" x14ac:dyDescent="0.35">
      <c r="G7470" s="1"/>
      <c r="N7470" s="1"/>
    </row>
    <row r="7471" spans="7:14" x14ac:dyDescent="0.35">
      <c r="G7471" s="1"/>
      <c r="N7471" s="1"/>
    </row>
    <row r="7472" spans="7:14" x14ac:dyDescent="0.35">
      <c r="G7472" s="1"/>
      <c r="N7472" s="1"/>
    </row>
    <row r="7473" spans="7:14" x14ac:dyDescent="0.35">
      <c r="G7473" s="1"/>
      <c r="N7473" s="1"/>
    </row>
    <row r="7474" spans="7:14" x14ac:dyDescent="0.35">
      <c r="G7474" s="1"/>
      <c r="N7474" s="1"/>
    </row>
    <row r="7475" spans="7:14" x14ac:dyDescent="0.35">
      <c r="G7475" s="1"/>
      <c r="N7475" s="1"/>
    </row>
    <row r="7476" spans="7:14" x14ac:dyDescent="0.35">
      <c r="G7476" s="1"/>
      <c r="N7476" s="1"/>
    </row>
    <row r="7477" spans="7:14" x14ac:dyDescent="0.35">
      <c r="G7477" s="1"/>
      <c r="N7477" s="1"/>
    </row>
    <row r="7478" spans="7:14" x14ac:dyDescent="0.35">
      <c r="G7478" s="1"/>
      <c r="N7478" s="1"/>
    </row>
    <row r="7479" spans="7:14" x14ac:dyDescent="0.35">
      <c r="G7479" s="1"/>
      <c r="N7479" s="1"/>
    </row>
    <row r="7480" spans="7:14" x14ac:dyDescent="0.35">
      <c r="G7480" s="1"/>
      <c r="N7480" s="1"/>
    </row>
    <row r="7481" spans="7:14" x14ac:dyDescent="0.35">
      <c r="G7481" s="1"/>
      <c r="N7481" s="1"/>
    </row>
    <row r="7482" spans="7:14" x14ac:dyDescent="0.35">
      <c r="G7482" s="1"/>
      <c r="N7482" s="1"/>
    </row>
    <row r="7483" spans="7:14" x14ac:dyDescent="0.35">
      <c r="G7483" s="1"/>
      <c r="N7483" s="1"/>
    </row>
    <row r="7484" spans="7:14" x14ac:dyDescent="0.35">
      <c r="G7484" s="1"/>
      <c r="N7484" s="1"/>
    </row>
    <row r="7485" spans="7:14" x14ac:dyDescent="0.35">
      <c r="G7485" s="1"/>
      <c r="N7485" s="1"/>
    </row>
    <row r="7486" spans="7:14" x14ac:dyDescent="0.35">
      <c r="G7486" s="1"/>
      <c r="N7486" s="1"/>
    </row>
    <row r="7487" spans="7:14" x14ac:dyDescent="0.35">
      <c r="G7487" s="1"/>
      <c r="N7487" s="1"/>
    </row>
    <row r="7488" spans="7:14" x14ac:dyDescent="0.35">
      <c r="G7488" s="1"/>
      <c r="N7488" s="1"/>
    </row>
    <row r="7489" spans="7:14" x14ac:dyDescent="0.35">
      <c r="G7489" s="1"/>
      <c r="N7489" s="1"/>
    </row>
    <row r="7490" spans="7:14" x14ac:dyDescent="0.35">
      <c r="G7490" s="1"/>
      <c r="N7490" s="1"/>
    </row>
    <row r="7491" spans="7:14" x14ac:dyDescent="0.35">
      <c r="G7491" s="1"/>
      <c r="N7491" s="1"/>
    </row>
    <row r="7492" spans="7:14" x14ac:dyDescent="0.35">
      <c r="G7492" s="1"/>
      <c r="N7492" s="1"/>
    </row>
    <row r="7493" spans="7:14" x14ac:dyDescent="0.35">
      <c r="G7493" s="1"/>
      <c r="N7493" s="1"/>
    </row>
    <row r="7494" spans="7:14" x14ac:dyDescent="0.35">
      <c r="G7494" s="1"/>
      <c r="N7494" s="1"/>
    </row>
    <row r="7495" spans="7:14" x14ac:dyDescent="0.35">
      <c r="G7495" s="1"/>
      <c r="N7495" s="1"/>
    </row>
    <row r="7496" spans="7:14" x14ac:dyDescent="0.35">
      <c r="G7496" s="1"/>
      <c r="N7496" s="1"/>
    </row>
    <row r="7497" spans="7:14" x14ac:dyDescent="0.35">
      <c r="G7497" s="1"/>
      <c r="N7497" s="1"/>
    </row>
    <row r="7498" spans="7:14" x14ac:dyDescent="0.35">
      <c r="G7498" s="1"/>
      <c r="N7498" s="1"/>
    </row>
    <row r="7499" spans="7:14" x14ac:dyDescent="0.35">
      <c r="G7499" s="1"/>
      <c r="N7499" s="1"/>
    </row>
    <row r="7500" spans="7:14" x14ac:dyDescent="0.35">
      <c r="G7500" s="1"/>
      <c r="N7500" s="1"/>
    </row>
    <row r="7501" spans="7:14" x14ac:dyDescent="0.35">
      <c r="G7501" s="1"/>
      <c r="N7501" s="1"/>
    </row>
    <row r="7502" spans="7:14" x14ac:dyDescent="0.35">
      <c r="G7502" s="1"/>
      <c r="N7502" s="1"/>
    </row>
    <row r="7503" spans="7:14" x14ac:dyDescent="0.35">
      <c r="G7503" s="1"/>
      <c r="N7503" s="1"/>
    </row>
    <row r="7504" spans="7:14" x14ac:dyDescent="0.35">
      <c r="G7504" s="1"/>
      <c r="N7504" s="1"/>
    </row>
    <row r="7505" spans="7:14" x14ac:dyDescent="0.35">
      <c r="G7505" s="1"/>
      <c r="N7505" s="1"/>
    </row>
    <row r="7506" spans="7:14" x14ac:dyDescent="0.35">
      <c r="G7506" s="1"/>
      <c r="N7506" s="1"/>
    </row>
    <row r="7507" spans="7:14" x14ac:dyDescent="0.35">
      <c r="G7507" s="1"/>
      <c r="N7507" s="1"/>
    </row>
    <row r="7508" spans="7:14" x14ac:dyDescent="0.35">
      <c r="G7508" s="1"/>
      <c r="N7508" s="1"/>
    </row>
    <row r="7509" spans="7:14" x14ac:dyDescent="0.35">
      <c r="G7509" s="1"/>
      <c r="N7509" s="1"/>
    </row>
    <row r="7510" spans="7:14" x14ac:dyDescent="0.35">
      <c r="G7510" s="1"/>
      <c r="N7510" s="1"/>
    </row>
    <row r="7511" spans="7:14" x14ac:dyDescent="0.35">
      <c r="G7511" s="1"/>
      <c r="N7511" s="1"/>
    </row>
    <row r="7512" spans="7:14" x14ac:dyDescent="0.35">
      <c r="G7512" s="1"/>
      <c r="N7512" s="1"/>
    </row>
    <row r="7513" spans="7:14" x14ac:dyDescent="0.35">
      <c r="G7513" s="1"/>
      <c r="N7513" s="1"/>
    </row>
    <row r="7514" spans="7:14" x14ac:dyDescent="0.35">
      <c r="G7514" s="1"/>
      <c r="N7514" s="1"/>
    </row>
    <row r="7515" spans="7:14" x14ac:dyDescent="0.35">
      <c r="G7515" s="1"/>
      <c r="N7515" s="1"/>
    </row>
    <row r="7516" spans="7:14" x14ac:dyDescent="0.35">
      <c r="G7516" s="1"/>
      <c r="N7516" s="1"/>
    </row>
    <row r="7517" spans="7:14" x14ac:dyDescent="0.35">
      <c r="G7517" s="1"/>
      <c r="N7517" s="1"/>
    </row>
    <row r="7518" spans="7:14" x14ac:dyDescent="0.35">
      <c r="G7518" s="1"/>
      <c r="N7518" s="1"/>
    </row>
    <row r="7519" spans="7:14" x14ac:dyDescent="0.35">
      <c r="G7519" s="1"/>
      <c r="N7519" s="1"/>
    </row>
    <row r="7520" spans="7:14" x14ac:dyDescent="0.35">
      <c r="G7520" s="1"/>
      <c r="N7520" s="1"/>
    </row>
    <row r="7521" spans="7:14" x14ac:dyDescent="0.35">
      <c r="G7521" s="1"/>
      <c r="N7521" s="1"/>
    </row>
    <row r="7522" spans="7:14" x14ac:dyDescent="0.35">
      <c r="G7522" s="1"/>
      <c r="N7522" s="1"/>
    </row>
    <row r="7523" spans="7:14" x14ac:dyDescent="0.35">
      <c r="G7523" s="1"/>
      <c r="N7523" s="1"/>
    </row>
    <row r="7524" spans="7:14" x14ac:dyDescent="0.35">
      <c r="G7524" s="1"/>
      <c r="N7524" s="1"/>
    </row>
    <row r="7525" spans="7:14" x14ac:dyDescent="0.35">
      <c r="G7525" s="1"/>
      <c r="N7525" s="1"/>
    </row>
    <row r="7526" spans="7:14" x14ac:dyDescent="0.35">
      <c r="G7526" s="1"/>
      <c r="N7526" s="1"/>
    </row>
    <row r="7527" spans="7:14" x14ac:dyDescent="0.35">
      <c r="G7527" s="1"/>
      <c r="N7527" s="1"/>
    </row>
    <row r="7528" spans="7:14" x14ac:dyDescent="0.35">
      <c r="G7528" s="1"/>
      <c r="N7528" s="1"/>
    </row>
    <row r="7529" spans="7:14" x14ac:dyDescent="0.35">
      <c r="G7529" s="1"/>
      <c r="N7529" s="1"/>
    </row>
    <row r="7530" spans="7:14" x14ac:dyDescent="0.35">
      <c r="G7530" s="1"/>
      <c r="N7530" s="1"/>
    </row>
    <row r="7531" spans="7:14" x14ac:dyDescent="0.35">
      <c r="G7531" s="1"/>
      <c r="N7531" s="1"/>
    </row>
    <row r="7532" spans="7:14" x14ac:dyDescent="0.35">
      <c r="G7532" s="1"/>
      <c r="N7532" s="1"/>
    </row>
    <row r="7533" spans="7:14" x14ac:dyDescent="0.35">
      <c r="G7533" s="1"/>
      <c r="N7533" s="1"/>
    </row>
    <row r="7534" spans="7:14" x14ac:dyDescent="0.35">
      <c r="G7534" s="1"/>
      <c r="N7534" s="1"/>
    </row>
    <row r="7535" spans="7:14" x14ac:dyDescent="0.35">
      <c r="G7535" s="1"/>
      <c r="N7535" s="1"/>
    </row>
    <row r="7536" spans="7:14" x14ac:dyDescent="0.35">
      <c r="G7536" s="1"/>
      <c r="N7536" s="1"/>
    </row>
    <row r="7537" spans="7:14" x14ac:dyDescent="0.35">
      <c r="G7537" s="1"/>
      <c r="N7537" s="1"/>
    </row>
    <row r="7538" spans="7:14" x14ac:dyDescent="0.35">
      <c r="G7538" s="1"/>
      <c r="N7538" s="1"/>
    </row>
    <row r="7539" spans="7:14" x14ac:dyDescent="0.35">
      <c r="G7539" s="1"/>
      <c r="N7539" s="1"/>
    </row>
    <row r="7540" spans="7:14" x14ac:dyDescent="0.35">
      <c r="G7540" s="1"/>
      <c r="N7540" s="1"/>
    </row>
    <row r="7541" spans="7:14" x14ac:dyDescent="0.35">
      <c r="G7541" s="1"/>
      <c r="N7541" s="1"/>
    </row>
    <row r="7542" spans="7:14" x14ac:dyDescent="0.35">
      <c r="G7542" s="1"/>
      <c r="N7542" s="1"/>
    </row>
    <row r="7543" spans="7:14" x14ac:dyDescent="0.35">
      <c r="G7543" s="1"/>
      <c r="N7543" s="1"/>
    </row>
    <row r="7544" spans="7:14" x14ac:dyDescent="0.35">
      <c r="G7544" s="1"/>
      <c r="N7544" s="1"/>
    </row>
    <row r="7545" spans="7:14" x14ac:dyDescent="0.35">
      <c r="G7545" s="1"/>
      <c r="N7545" s="1"/>
    </row>
    <row r="7546" spans="7:14" x14ac:dyDescent="0.35">
      <c r="G7546" s="1"/>
      <c r="N7546" s="1"/>
    </row>
    <row r="7547" spans="7:14" x14ac:dyDescent="0.35">
      <c r="G7547" s="1"/>
      <c r="N7547" s="1"/>
    </row>
    <row r="7548" spans="7:14" x14ac:dyDescent="0.35">
      <c r="G7548" s="1"/>
      <c r="N7548" s="1"/>
    </row>
    <row r="7549" spans="7:14" x14ac:dyDescent="0.35">
      <c r="G7549" s="1"/>
      <c r="N7549" s="1"/>
    </row>
    <row r="7550" spans="7:14" x14ac:dyDescent="0.35">
      <c r="G7550" s="1"/>
      <c r="N7550" s="1"/>
    </row>
    <row r="7551" spans="7:14" x14ac:dyDescent="0.35">
      <c r="G7551" s="1"/>
      <c r="N7551" s="1"/>
    </row>
    <row r="7552" spans="7:14" x14ac:dyDescent="0.35">
      <c r="G7552" s="1"/>
      <c r="N7552" s="1"/>
    </row>
    <row r="7553" spans="7:14" x14ac:dyDescent="0.35">
      <c r="G7553" s="1"/>
      <c r="N7553" s="1"/>
    </row>
    <row r="7554" spans="7:14" x14ac:dyDescent="0.35">
      <c r="G7554" s="1"/>
      <c r="N7554" s="1"/>
    </row>
    <row r="7555" spans="7:14" x14ac:dyDescent="0.35">
      <c r="G7555" s="1"/>
      <c r="N7555" s="1"/>
    </row>
    <row r="7556" spans="7:14" x14ac:dyDescent="0.35">
      <c r="G7556" s="1"/>
      <c r="N7556" s="1"/>
    </row>
    <row r="7557" spans="7:14" x14ac:dyDescent="0.35">
      <c r="G7557" s="1"/>
      <c r="N7557" s="1"/>
    </row>
    <row r="7558" spans="7:14" x14ac:dyDescent="0.35">
      <c r="G7558" s="1"/>
      <c r="N7558" s="1"/>
    </row>
    <row r="7559" spans="7:14" x14ac:dyDescent="0.35">
      <c r="G7559" s="1"/>
      <c r="N7559" s="1"/>
    </row>
    <row r="7560" spans="7:14" x14ac:dyDescent="0.35">
      <c r="G7560" s="1"/>
      <c r="N7560" s="1"/>
    </row>
    <row r="7561" spans="7:14" x14ac:dyDescent="0.35">
      <c r="G7561" s="1"/>
      <c r="N7561" s="1"/>
    </row>
    <row r="7562" spans="7:14" x14ac:dyDescent="0.35">
      <c r="G7562" s="1"/>
      <c r="N7562" s="1"/>
    </row>
    <row r="7563" spans="7:14" x14ac:dyDescent="0.35">
      <c r="G7563" s="1"/>
      <c r="N7563" s="1"/>
    </row>
    <row r="7564" spans="7:14" x14ac:dyDescent="0.35">
      <c r="G7564" s="1"/>
      <c r="N7564" s="1"/>
    </row>
    <row r="7565" spans="7:14" x14ac:dyDescent="0.35">
      <c r="G7565" s="1"/>
      <c r="N7565" s="1"/>
    </row>
    <row r="7566" spans="7:14" x14ac:dyDescent="0.35">
      <c r="G7566" s="1"/>
      <c r="N7566" s="1"/>
    </row>
    <row r="7567" spans="7:14" x14ac:dyDescent="0.35">
      <c r="G7567" s="1"/>
      <c r="N7567" s="1"/>
    </row>
    <row r="7568" spans="7:14" x14ac:dyDescent="0.35">
      <c r="G7568" s="1"/>
      <c r="N7568" s="1"/>
    </row>
    <row r="7569" spans="7:14" x14ac:dyDescent="0.35">
      <c r="G7569" s="1"/>
      <c r="N7569" s="1"/>
    </row>
    <row r="7570" spans="7:14" x14ac:dyDescent="0.35">
      <c r="G7570" s="1"/>
      <c r="N7570" s="1"/>
    </row>
    <row r="7571" spans="7:14" x14ac:dyDescent="0.35">
      <c r="G7571" s="1"/>
      <c r="N7571" s="1"/>
    </row>
    <row r="7572" spans="7:14" x14ac:dyDescent="0.35">
      <c r="G7572" s="1"/>
      <c r="N7572" s="1"/>
    </row>
    <row r="7573" spans="7:14" x14ac:dyDescent="0.35">
      <c r="G7573" s="1"/>
      <c r="N7573" s="1"/>
    </row>
    <row r="7574" spans="7:14" x14ac:dyDescent="0.35">
      <c r="G7574" s="1"/>
      <c r="N7574" s="1"/>
    </row>
    <row r="7575" spans="7:14" x14ac:dyDescent="0.35">
      <c r="G7575" s="1"/>
      <c r="N7575" s="1"/>
    </row>
    <row r="7576" spans="7:14" x14ac:dyDescent="0.35">
      <c r="G7576" s="1"/>
      <c r="N7576" s="1"/>
    </row>
    <row r="7577" spans="7:14" x14ac:dyDescent="0.35">
      <c r="G7577" s="1"/>
      <c r="N7577" s="1"/>
    </row>
    <row r="7578" spans="7:14" x14ac:dyDescent="0.35">
      <c r="G7578" s="1"/>
      <c r="N7578" s="1"/>
    </row>
    <row r="7579" spans="7:14" x14ac:dyDescent="0.35">
      <c r="G7579" s="1"/>
      <c r="N7579" s="1"/>
    </row>
    <row r="7580" spans="7:14" x14ac:dyDescent="0.35">
      <c r="G7580" s="1"/>
      <c r="N7580" s="1"/>
    </row>
    <row r="7581" spans="7:14" x14ac:dyDescent="0.35">
      <c r="G7581" s="1"/>
      <c r="N7581" s="1"/>
    </row>
    <row r="7582" spans="7:14" x14ac:dyDescent="0.35">
      <c r="G7582" s="1"/>
      <c r="N7582" s="1"/>
    </row>
    <row r="7583" spans="7:14" x14ac:dyDescent="0.35">
      <c r="G7583" s="1"/>
      <c r="N7583" s="1"/>
    </row>
    <row r="7584" spans="7:14" x14ac:dyDescent="0.35">
      <c r="G7584" s="1"/>
      <c r="N7584" s="1"/>
    </row>
    <row r="7585" spans="7:14" x14ac:dyDescent="0.35">
      <c r="G7585" s="1"/>
      <c r="N7585" s="1"/>
    </row>
    <row r="7586" spans="7:14" x14ac:dyDescent="0.35">
      <c r="G7586" s="1"/>
      <c r="N7586" s="1"/>
    </row>
    <row r="7587" spans="7:14" x14ac:dyDescent="0.35">
      <c r="G7587" s="1"/>
      <c r="N7587" s="1"/>
    </row>
    <row r="7588" spans="7:14" x14ac:dyDescent="0.35">
      <c r="G7588" s="1"/>
      <c r="N7588" s="1"/>
    </row>
    <row r="7589" spans="7:14" x14ac:dyDescent="0.35">
      <c r="G7589" s="1"/>
      <c r="N7589" s="1"/>
    </row>
    <row r="7590" spans="7:14" x14ac:dyDescent="0.35">
      <c r="G7590" s="1"/>
      <c r="N7590" s="1"/>
    </row>
    <row r="7591" spans="7:14" x14ac:dyDescent="0.35">
      <c r="G7591" s="1"/>
      <c r="N7591" s="1"/>
    </row>
    <row r="7592" spans="7:14" x14ac:dyDescent="0.35">
      <c r="G7592" s="1"/>
      <c r="N7592" s="1"/>
    </row>
    <row r="7593" spans="7:14" x14ac:dyDescent="0.35">
      <c r="G7593" s="1"/>
      <c r="N7593" s="1"/>
    </row>
    <row r="7594" spans="7:14" x14ac:dyDescent="0.35">
      <c r="G7594" s="1"/>
      <c r="N7594" s="1"/>
    </row>
    <row r="7595" spans="7:14" x14ac:dyDescent="0.35">
      <c r="G7595" s="1"/>
      <c r="N7595" s="1"/>
    </row>
    <row r="7596" spans="7:14" x14ac:dyDescent="0.35">
      <c r="G7596" s="1"/>
      <c r="N7596" s="1"/>
    </row>
    <row r="7597" spans="7:14" x14ac:dyDescent="0.35">
      <c r="G7597" s="1"/>
      <c r="N7597" s="1"/>
    </row>
    <row r="7598" spans="7:14" x14ac:dyDescent="0.35">
      <c r="G7598" s="1"/>
      <c r="N7598" s="1"/>
    </row>
    <row r="7599" spans="7:14" x14ac:dyDescent="0.35">
      <c r="G7599" s="1"/>
      <c r="N7599" s="1"/>
    </row>
    <row r="7600" spans="7:14" x14ac:dyDescent="0.35">
      <c r="G7600" s="1"/>
      <c r="N7600" s="1"/>
    </row>
    <row r="7601" spans="7:14" x14ac:dyDescent="0.35">
      <c r="G7601" s="1"/>
      <c r="N7601" s="1"/>
    </row>
    <row r="7602" spans="7:14" x14ac:dyDescent="0.35">
      <c r="G7602" s="1"/>
      <c r="N7602" s="1"/>
    </row>
    <row r="7603" spans="7:14" x14ac:dyDescent="0.35">
      <c r="G7603" s="1"/>
      <c r="N7603" s="1"/>
    </row>
    <row r="7604" spans="7:14" x14ac:dyDescent="0.35">
      <c r="G7604" s="1"/>
      <c r="N7604" s="1"/>
    </row>
    <row r="7605" spans="7:14" x14ac:dyDescent="0.35">
      <c r="G7605" s="1"/>
      <c r="N7605" s="1"/>
    </row>
    <row r="7606" spans="7:14" x14ac:dyDescent="0.35">
      <c r="G7606" s="1"/>
      <c r="N7606" s="1"/>
    </row>
    <row r="7607" spans="7:14" x14ac:dyDescent="0.35">
      <c r="G7607" s="1"/>
      <c r="N7607" s="1"/>
    </row>
    <row r="7608" spans="7:14" x14ac:dyDescent="0.35">
      <c r="G7608" s="1"/>
      <c r="N7608" s="1"/>
    </row>
    <row r="7609" spans="7:14" x14ac:dyDescent="0.35">
      <c r="G7609" s="1"/>
      <c r="N7609" s="1"/>
    </row>
    <row r="7610" spans="7:14" x14ac:dyDescent="0.35">
      <c r="G7610" s="1"/>
      <c r="N7610" s="1"/>
    </row>
    <row r="7611" spans="7:14" x14ac:dyDescent="0.35">
      <c r="G7611" s="1"/>
      <c r="N7611" s="1"/>
    </row>
    <row r="7612" spans="7:14" x14ac:dyDescent="0.35">
      <c r="G7612" s="1"/>
      <c r="N7612" s="1"/>
    </row>
    <row r="7613" spans="7:14" x14ac:dyDescent="0.35">
      <c r="G7613" s="1"/>
      <c r="N7613" s="1"/>
    </row>
    <row r="7614" spans="7:14" x14ac:dyDescent="0.35">
      <c r="G7614" s="1"/>
      <c r="N7614" s="1"/>
    </row>
    <row r="7615" spans="7:14" x14ac:dyDescent="0.35">
      <c r="G7615" s="1"/>
      <c r="N7615" s="1"/>
    </row>
    <row r="7616" spans="7:14" x14ac:dyDescent="0.35">
      <c r="G7616" s="1"/>
      <c r="N7616" s="1"/>
    </row>
    <row r="7617" spans="7:14" x14ac:dyDescent="0.35">
      <c r="G7617" s="1"/>
      <c r="N7617" s="1"/>
    </row>
    <row r="7618" spans="7:14" x14ac:dyDescent="0.35">
      <c r="G7618" s="1"/>
      <c r="N7618" s="1"/>
    </row>
    <row r="7619" spans="7:14" x14ac:dyDescent="0.35">
      <c r="G7619" s="1"/>
      <c r="N7619" s="1"/>
    </row>
    <row r="7620" spans="7:14" x14ac:dyDescent="0.35">
      <c r="G7620" s="1"/>
      <c r="N7620" s="1"/>
    </row>
    <row r="7621" spans="7:14" x14ac:dyDescent="0.35">
      <c r="G7621" s="1"/>
      <c r="N7621" s="1"/>
    </row>
    <row r="7622" spans="7:14" x14ac:dyDescent="0.35">
      <c r="G7622" s="1"/>
      <c r="N7622" s="1"/>
    </row>
    <row r="7623" spans="7:14" x14ac:dyDescent="0.35">
      <c r="G7623" s="1"/>
      <c r="N7623" s="1"/>
    </row>
    <row r="7624" spans="7:14" x14ac:dyDescent="0.35">
      <c r="G7624" s="1"/>
      <c r="N7624" s="1"/>
    </row>
    <row r="7625" spans="7:14" x14ac:dyDescent="0.35">
      <c r="G7625" s="1"/>
      <c r="N7625" s="1"/>
    </row>
    <row r="7626" spans="7:14" x14ac:dyDescent="0.35">
      <c r="G7626" s="1"/>
      <c r="N7626" s="1"/>
    </row>
    <row r="7627" spans="7:14" x14ac:dyDescent="0.35">
      <c r="G7627" s="1"/>
      <c r="N7627" s="1"/>
    </row>
    <row r="7628" spans="7:14" x14ac:dyDescent="0.35">
      <c r="G7628" s="1"/>
      <c r="N7628" s="1"/>
    </row>
    <row r="7629" spans="7:14" x14ac:dyDescent="0.35">
      <c r="G7629" s="1"/>
      <c r="N7629" s="1"/>
    </row>
    <row r="7630" spans="7:14" x14ac:dyDescent="0.35">
      <c r="G7630" s="1"/>
      <c r="N7630" s="1"/>
    </row>
    <row r="7631" spans="7:14" x14ac:dyDescent="0.35">
      <c r="G7631" s="1"/>
      <c r="N7631" s="1"/>
    </row>
    <row r="7632" spans="7:14" x14ac:dyDescent="0.35">
      <c r="G7632" s="1"/>
      <c r="N7632" s="1"/>
    </row>
    <row r="7633" spans="7:14" x14ac:dyDescent="0.35">
      <c r="G7633" s="1"/>
      <c r="N7633" s="1"/>
    </row>
    <row r="7634" spans="7:14" x14ac:dyDescent="0.35">
      <c r="G7634" s="1"/>
      <c r="N7634" s="1"/>
    </row>
    <row r="7635" spans="7:14" x14ac:dyDescent="0.35">
      <c r="G7635" s="1"/>
      <c r="N7635" s="1"/>
    </row>
    <row r="7636" spans="7:14" x14ac:dyDescent="0.35">
      <c r="G7636" s="1"/>
      <c r="N7636" s="1"/>
    </row>
    <row r="7637" spans="7:14" x14ac:dyDescent="0.35">
      <c r="G7637" s="1"/>
      <c r="N7637" s="1"/>
    </row>
    <row r="7638" spans="7:14" x14ac:dyDescent="0.35">
      <c r="G7638" s="1"/>
      <c r="N7638" s="1"/>
    </row>
    <row r="7639" spans="7:14" x14ac:dyDescent="0.35">
      <c r="G7639" s="1"/>
      <c r="N7639" s="1"/>
    </row>
    <row r="7640" spans="7:14" x14ac:dyDescent="0.35">
      <c r="G7640" s="1"/>
      <c r="N7640" s="1"/>
    </row>
    <row r="7641" spans="7:14" x14ac:dyDescent="0.35">
      <c r="G7641" s="1"/>
      <c r="N7641" s="1"/>
    </row>
    <row r="7642" spans="7:14" x14ac:dyDescent="0.35">
      <c r="G7642" s="1"/>
      <c r="N7642" s="1"/>
    </row>
    <row r="7643" spans="7:14" x14ac:dyDescent="0.35">
      <c r="G7643" s="1"/>
      <c r="N7643" s="1"/>
    </row>
    <row r="7644" spans="7:14" x14ac:dyDescent="0.35">
      <c r="G7644" s="1"/>
      <c r="N7644" s="1"/>
    </row>
    <row r="7645" spans="7:14" x14ac:dyDescent="0.35">
      <c r="G7645" s="1"/>
      <c r="N7645" s="1"/>
    </row>
    <row r="7646" spans="7:14" x14ac:dyDescent="0.35">
      <c r="G7646" s="1"/>
      <c r="N7646" s="1"/>
    </row>
    <row r="7647" spans="7:14" x14ac:dyDescent="0.35">
      <c r="G7647" s="1"/>
      <c r="N7647" s="1"/>
    </row>
    <row r="7648" spans="7:14" x14ac:dyDescent="0.35">
      <c r="G7648" s="1"/>
      <c r="N7648" s="1"/>
    </row>
    <row r="7649" spans="7:14" x14ac:dyDescent="0.35">
      <c r="G7649" s="1"/>
      <c r="N7649" s="1"/>
    </row>
    <row r="7650" spans="7:14" x14ac:dyDescent="0.35">
      <c r="G7650" s="1"/>
      <c r="N7650" s="1"/>
    </row>
    <row r="7651" spans="7:14" x14ac:dyDescent="0.35">
      <c r="G7651" s="1"/>
      <c r="N7651" s="1"/>
    </row>
    <row r="7652" spans="7:14" x14ac:dyDescent="0.35">
      <c r="G7652" s="1"/>
      <c r="N7652" s="1"/>
    </row>
    <row r="7653" spans="7:14" x14ac:dyDescent="0.35">
      <c r="G7653" s="1"/>
      <c r="N7653" s="1"/>
    </row>
    <row r="7654" spans="7:14" x14ac:dyDescent="0.35">
      <c r="G7654" s="1"/>
      <c r="N7654" s="1"/>
    </row>
    <row r="7655" spans="7:14" x14ac:dyDescent="0.35">
      <c r="G7655" s="1"/>
      <c r="N7655" s="1"/>
    </row>
    <row r="7656" spans="7:14" x14ac:dyDescent="0.35">
      <c r="G7656" s="1"/>
      <c r="N7656" s="1"/>
    </row>
    <row r="7657" spans="7:14" x14ac:dyDescent="0.35">
      <c r="G7657" s="1"/>
      <c r="N7657" s="1"/>
    </row>
    <row r="7658" spans="7:14" x14ac:dyDescent="0.35">
      <c r="G7658" s="1"/>
      <c r="N7658" s="1"/>
    </row>
    <row r="7659" spans="7:14" x14ac:dyDescent="0.35">
      <c r="G7659" s="1"/>
      <c r="N7659" s="1"/>
    </row>
    <row r="7660" spans="7:14" x14ac:dyDescent="0.35">
      <c r="G7660" s="1"/>
      <c r="N7660" s="1"/>
    </row>
    <row r="7661" spans="7:14" x14ac:dyDescent="0.35">
      <c r="G7661" s="1"/>
      <c r="N7661" s="1"/>
    </row>
    <row r="7662" spans="7:14" x14ac:dyDescent="0.35">
      <c r="G7662" s="1"/>
      <c r="N7662" s="1"/>
    </row>
    <row r="7663" spans="7:14" x14ac:dyDescent="0.35">
      <c r="G7663" s="1"/>
      <c r="N7663" s="1"/>
    </row>
    <row r="7664" spans="7:14" x14ac:dyDescent="0.35">
      <c r="G7664" s="1"/>
      <c r="N7664" s="1"/>
    </row>
    <row r="7665" spans="7:14" x14ac:dyDescent="0.35">
      <c r="G7665" s="1"/>
      <c r="N7665" s="1"/>
    </row>
    <row r="7666" spans="7:14" x14ac:dyDescent="0.35">
      <c r="G7666" s="1"/>
      <c r="N7666" s="1"/>
    </row>
    <row r="7667" spans="7:14" x14ac:dyDescent="0.35">
      <c r="G7667" s="1"/>
      <c r="N7667" s="1"/>
    </row>
    <row r="7668" spans="7:14" x14ac:dyDescent="0.35">
      <c r="G7668" s="1"/>
      <c r="N7668" s="1"/>
    </row>
    <row r="7669" spans="7:14" x14ac:dyDescent="0.35">
      <c r="G7669" s="1"/>
      <c r="N7669" s="1"/>
    </row>
    <row r="7670" spans="7:14" x14ac:dyDescent="0.35">
      <c r="G7670" s="1"/>
      <c r="N7670" s="1"/>
    </row>
    <row r="7671" spans="7:14" x14ac:dyDescent="0.35">
      <c r="G7671" s="1"/>
      <c r="N7671" s="1"/>
    </row>
    <row r="7672" spans="7:14" x14ac:dyDescent="0.35">
      <c r="G7672" s="1"/>
      <c r="N7672" s="1"/>
    </row>
    <row r="7673" spans="7:14" x14ac:dyDescent="0.35">
      <c r="G7673" s="1"/>
      <c r="N7673" s="1"/>
    </row>
    <row r="7674" spans="7:14" x14ac:dyDescent="0.35">
      <c r="G7674" s="1"/>
      <c r="N7674" s="1"/>
    </row>
    <row r="7675" spans="7:14" x14ac:dyDescent="0.35">
      <c r="G7675" s="1"/>
      <c r="N7675" s="1"/>
    </row>
    <row r="7676" spans="7:14" x14ac:dyDescent="0.35">
      <c r="G7676" s="1"/>
      <c r="N7676" s="1"/>
    </row>
    <row r="7677" spans="7:14" x14ac:dyDescent="0.35">
      <c r="G7677" s="1"/>
      <c r="N7677" s="1"/>
    </row>
    <row r="7678" spans="7:14" x14ac:dyDescent="0.35">
      <c r="G7678" s="1"/>
      <c r="N7678" s="1"/>
    </row>
    <row r="7679" spans="7:14" x14ac:dyDescent="0.35">
      <c r="G7679" s="1"/>
      <c r="N7679" s="1"/>
    </row>
    <row r="7680" spans="7:14" x14ac:dyDescent="0.35">
      <c r="G7680" s="1"/>
      <c r="N7680" s="1"/>
    </row>
    <row r="7681" spans="7:14" x14ac:dyDescent="0.35">
      <c r="G7681" s="1"/>
      <c r="N7681" s="1"/>
    </row>
    <row r="7682" spans="7:14" x14ac:dyDescent="0.35">
      <c r="G7682" s="1"/>
      <c r="N7682" s="1"/>
    </row>
    <row r="7683" spans="7:14" x14ac:dyDescent="0.35">
      <c r="G7683" s="1"/>
      <c r="N7683" s="1"/>
    </row>
    <row r="7684" spans="7:14" x14ac:dyDescent="0.35">
      <c r="G7684" s="1"/>
      <c r="N7684" s="1"/>
    </row>
    <row r="7685" spans="7:14" x14ac:dyDescent="0.35">
      <c r="G7685" s="1"/>
      <c r="N7685" s="1"/>
    </row>
    <row r="7686" spans="7:14" x14ac:dyDescent="0.35">
      <c r="G7686" s="1"/>
      <c r="N7686" s="1"/>
    </row>
    <row r="7687" spans="7:14" x14ac:dyDescent="0.35">
      <c r="G7687" s="1"/>
      <c r="N7687" s="1"/>
    </row>
    <row r="7688" spans="7:14" x14ac:dyDescent="0.35">
      <c r="G7688" s="1"/>
      <c r="N7688" s="1"/>
    </row>
    <row r="7689" spans="7:14" x14ac:dyDescent="0.35">
      <c r="G7689" s="1"/>
      <c r="N7689" s="1"/>
    </row>
    <row r="7690" spans="7:14" x14ac:dyDescent="0.35">
      <c r="G7690" s="1"/>
      <c r="N7690" s="1"/>
    </row>
    <row r="7691" spans="7:14" x14ac:dyDescent="0.35">
      <c r="G7691" s="1"/>
      <c r="N7691" s="1"/>
    </row>
    <row r="7692" spans="7:14" x14ac:dyDescent="0.35">
      <c r="G7692" s="1"/>
      <c r="N7692" s="1"/>
    </row>
    <row r="7693" spans="7:14" x14ac:dyDescent="0.35">
      <c r="G7693" s="1"/>
      <c r="N7693" s="1"/>
    </row>
    <row r="7694" spans="7:14" x14ac:dyDescent="0.35">
      <c r="G7694" s="1"/>
      <c r="N7694" s="1"/>
    </row>
    <row r="7695" spans="7:14" x14ac:dyDescent="0.35">
      <c r="G7695" s="1"/>
      <c r="N7695" s="1"/>
    </row>
    <row r="7696" spans="7:14" x14ac:dyDescent="0.35">
      <c r="G7696" s="1"/>
      <c r="N7696" s="1"/>
    </row>
    <row r="7697" spans="7:14" x14ac:dyDescent="0.35">
      <c r="G7697" s="1"/>
      <c r="N7697" s="1"/>
    </row>
    <row r="7698" spans="7:14" x14ac:dyDescent="0.35">
      <c r="G7698" s="1"/>
      <c r="N7698" s="1"/>
    </row>
    <row r="7699" spans="7:14" x14ac:dyDescent="0.35">
      <c r="G7699" s="1"/>
      <c r="N7699" s="1"/>
    </row>
    <row r="7700" spans="7:14" x14ac:dyDescent="0.35">
      <c r="G7700" s="1"/>
      <c r="N7700" s="1"/>
    </row>
    <row r="7701" spans="7:14" x14ac:dyDescent="0.35">
      <c r="G7701" s="1"/>
      <c r="N7701" s="1"/>
    </row>
    <row r="7702" spans="7:14" x14ac:dyDescent="0.35">
      <c r="G7702" s="1"/>
      <c r="N7702" s="1"/>
    </row>
    <row r="7703" spans="7:14" x14ac:dyDescent="0.35">
      <c r="G7703" s="1"/>
      <c r="N7703" s="1"/>
    </row>
    <row r="7704" spans="7:14" x14ac:dyDescent="0.35">
      <c r="G7704" s="1"/>
      <c r="N7704" s="1"/>
    </row>
    <row r="7705" spans="7:14" x14ac:dyDescent="0.35">
      <c r="G7705" s="1"/>
      <c r="N7705" s="1"/>
    </row>
    <row r="7706" spans="7:14" x14ac:dyDescent="0.35">
      <c r="G7706" s="1"/>
      <c r="N7706" s="1"/>
    </row>
    <row r="7707" spans="7:14" x14ac:dyDescent="0.35">
      <c r="G7707" s="1"/>
      <c r="N7707" s="1"/>
    </row>
    <row r="7708" spans="7:14" x14ac:dyDescent="0.35">
      <c r="G7708" s="1"/>
      <c r="N7708" s="1"/>
    </row>
    <row r="7709" spans="7:14" x14ac:dyDescent="0.35">
      <c r="G7709" s="1"/>
      <c r="N7709" s="1"/>
    </row>
    <row r="7710" spans="7:14" x14ac:dyDescent="0.35">
      <c r="G7710" s="1"/>
      <c r="N7710" s="1"/>
    </row>
    <row r="7711" spans="7:14" x14ac:dyDescent="0.35">
      <c r="G7711" s="1"/>
      <c r="N7711" s="1"/>
    </row>
    <row r="7712" spans="7:14" x14ac:dyDescent="0.35">
      <c r="G7712" s="1"/>
      <c r="N7712" s="1"/>
    </row>
    <row r="7713" spans="7:14" x14ac:dyDescent="0.35">
      <c r="G7713" s="1"/>
      <c r="N7713" s="1"/>
    </row>
    <row r="7714" spans="7:14" x14ac:dyDescent="0.35">
      <c r="G7714" s="1"/>
      <c r="N7714" s="1"/>
    </row>
    <row r="7715" spans="7:14" x14ac:dyDescent="0.35">
      <c r="G7715" s="1"/>
      <c r="N7715" s="1"/>
    </row>
    <row r="7716" spans="7:14" x14ac:dyDescent="0.35">
      <c r="G7716" s="1"/>
      <c r="N7716" s="1"/>
    </row>
    <row r="7717" spans="7:14" x14ac:dyDescent="0.35">
      <c r="G7717" s="1"/>
      <c r="N7717" s="1"/>
    </row>
    <row r="7718" spans="7:14" x14ac:dyDescent="0.35">
      <c r="G7718" s="1"/>
      <c r="N7718" s="1"/>
    </row>
    <row r="7719" spans="7:14" x14ac:dyDescent="0.35">
      <c r="G7719" s="1"/>
      <c r="N7719" s="1"/>
    </row>
    <row r="7720" spans="7:14" x14ac:dyDescent="0.35">
      <c r="G7720" s="1"/>
      <c r="N7720" s="1"/>
    </row>
    <row r="7721" spans="7:14" x14ac:dyDescent="0.35">
      <c r="G7721" s="1"/>
      <c r="N7721" s="1"/>
    </row>
    <row r="7722" spans="7:14" x14ac:dyDescent="0.35">
      <c r="G7722" s="1"/>
      <c r="N7722" s="1"/>
    </row>
    <row r="7723" spans="7:14" x14ac:dyDescent="0.35">
      <c r="G7723" s="1"/>
      <c r="N7723" s="1"/>
    </row>
    <row r="7724" spans="7:14" x14ac:dyDescent="0.35">
      <c r="G7724" s="1"/>
      <c r="N7724" s="1"/>
    </row>
    <row r="7725" spans="7:14" x14ac:dyDescent="0.35">
      <c r="G7725" s="1"/>
      <c r="N7725" s="1"/>
    </row>
    <row r="7726" spans="7:14" x14ac:dyDescent="0.35">
      <c r="G7726" s="1"/>
      <c r="N7726" s="1"/>
    </row>
    <row r="7727" spans="7:14" x14ac:dyDescent="0.35">
      <c r="G7727" s="1"/>
      <c r="N7727" s="1"/>
    </row>
    <row r="7728" spans="7:14" x14ac:dyDescent="0.35">
      <c r="G7728" s="1"/>
      <c r="N7728" s="1"/>
    </row>
    <row r="7729" spans="7:14" x14ac:dyDescent="0.35">
      <c r="G7729" s="1"/>
      <c r="N7729" s="1"/>
    </row>
    <row r="7730" spans="7:14" x14ac:dyDescent="0.35">
      <c r="G7730" s="1"/>
      <c r="N7730" s="1"/>
    </row>
    <row r="7731" spans="7:14" x14ac:dyDescent="0.35">
      <c r="G7731" s="1"/>
      <c r="N7731" s="1"/>
    </row>
    <row r="7732" spans="7:14" x14ac:dyDescent="0.35">
      <c r="G7732" s="1"/>
      <c r="N7732" s="1"/>
    </row>
    <row r="7733" spans="7:14" x14ac:dyDescent="0.35">
      <c r="G7733" s="1"/>
      <c r="N7733" s="1"/>
    </row>
    <row r="7734" spans="7:14" x14ac:dyDescent="0.35">
      <c r="G7734" s="1"/>
      <c r="N7734" s="1"/>
    </row>
    <row r="7735" spans="7:14" x14ac:dyDescent="0.35">
      <c r="G7735" s="1"/>
      <c r="N7735" s="1"/>
    </row>
    <row r="7736" spans="7:14" x14ac:dyDescent="0.35">
      <c r="G7736" s="1"/>
      <c r="N7736" s="1"/>
    </row>
    <row r="7737" spans="7:14" x14ac:dyDescent="0.35">
      <c r="G7737" s="1"/>
      <c r="N7737" s="1"/>
    </row>
    <row r="7738" spans="7:14" x14ac:dyDescent="0.35">
      <c r="G7738" s="1"/>
      <c r="N7738" s="1"/>
    </row>
    <row r="7739" spans="7:14" x14ac:dyDescent="0.35">
      <c r="G7739" s="1"/>
      <c r="N7739" s="1"/>
    </row>
    <row r="7740" spans="7:14" x14ac:dyDescent="0.35">
      <c r="G7740" s="1"/>
      <c r="N7740" s="1"/>
    </row>
    <row r="7741" spans="7:14" x14ac:dyDescent="0.35">
      <c r="G7741" s="1"/>
      <c r="N7741" s="1"/>
    </row>
    <row r="7742" spans="7:14" x14ac:dyDescent="0.35">
      <c r="G7742" s="1"/>
      <c r="N7742" s="1"/>
    </row>
    <row r="7743" spans="7:14" x14ac:dyDescent="0.35">
      <c r="G7743" s="1"/>
      <c r="N7743" s="1"/>
    </row>
    <row r="7744" spans="7:14" x14ac:dyDescent="0.35">
      <c r="G7744" s="1"/>
      <c r="N7744" s="1"/>
    </row>
    <row r="7745" spans="7:14" x14ac:dyDescent="0.35">
      <c r="G7745" s="1"/>
      <c r="N7745" s="1"/>
    </row>
    <row r="7746" spans="7:14" x14ac:dyDescent="0.35">
      <c r="G7746" s="1"/>
      <c r="N7746" s="1"/>
    </row>
    <row r="7747" spans="7:14" x14ac:dyDescent="0.35">
      <c r="G7747" s="1"/>
      <c r="N7747" s="1"/>
    </row>
    <row r="7748" spans="7:14" x14ac:dyDescent="0.35">
      <c r="G7748" s="1"/>
      <c r="N7748" s="1"/>
    </row>
    <row r="7749" spans="7:14" x14ac:dyDescent="0.35">
      <c r="G7749" s="1"/>
      <c r="N7749" s="1"/>
    </row>
    <row r="7750" spans="7:14" x14ac:dyDescent="0.35">
      <c r="G7750" s="1"/>
      <c r="N7750" s="1"/>
    </row>
    <row r="7751" spans="7:14" x14ac:dyDescent="0.35">
      <c r="G7751" s="1"/>
      <c r="N7751" s="1"/>
    </row>
    <row r="7752" spans="7:14" x14ac:dyDescent="0.35">
      <c r="G7752" s="1"/>
      <c r="N7752" s="1"/>
    </row>
    <row r="7753" spans="7:14" x14ac:dyDescent="0.35">
      <c r="G7753" s="1"/>
      <c r="N7753" s="1"/>
    </row>
    <row r="7754" spans="7:14" x14ac:dyDescent="0.35">
      <c r="G7754" s="1"/>
      <c r="N7754" s="1"/>
    </row>
    <row r="7755" spans="7:14" x14ac:dyDescent="0.35">
      <c r="G7755" s="1"/>
      <c r="N7755" s="1"/>
    </row>
    <row r="7756" spans="7:14" x14ac:dyDescent="0.35">
      <c r="G7756" s="1"/>
      <c r="N7756" s="1"/>
    </row>
    <row r="7757" spans="7:14" x14ac:dyDescent="0.35">
      <c r="G7757" s="1"/>
      <c r="N7757" s="1"/>
    </row>
    <row r="7758" spans="7:14" x14ac:dyDescent="0.35">
      <c r="G7758" s="1"/>
      <c r="N7758" s="1"/>
    </row>
    <row r="7759" spans="7:14" x14ac:dyDescent="0.35">
      <c r="G7759" s="1"/>
      <c r="N7759" s="1"/>
    </row>
    <row r="7760" spans="7:14" x14ac:dyDescent="0.35">
      <c r="G7760" s="1"/>
      <c r="N7760" s="1"/>
    </row>
    <row r="7761" spans="7:14" x14ac:dyDescent="0.35">
      <c r="G7761" s="1"/>
      <c r="N7761" s="1"/>
    </row>
    <row r="7762" spans="7:14" x14ac:dyDescent="0.35">
      <c r="G7762" s="1"/>
      <c r="N7762" s="1"/>
    </row>
    <row r="7763" spans="7:14" x14ac:dyDescent="0.35">
      <c r="G7763" s="1"/>
      <c r="N7763" s="1"/>
    </row>
    <row r="7764" spans="7:14" x14ac:dyDescent="0.35">
      <c r="G7764" s="1"/>
      <c r="N7764" s="1"/>
    </row>
    <row r="7765" spans="7:14" x14ac:dyDescent="0.35">
      <c r="G7765" s="1"/>
      <c r="N7765" s="1"/>
    </row>
    <row r="7766" spans="7:14" x14ac:dyDescent="0.35">
      <c r="G7766" s="1"/>
      <c r="N7766" s="1"/>
    </row>
    <row r="7767" spans="7:14" x14ac:dyDescent="0.35">
      <c r="G7767" s="1"/>
      <c r="N7767" s="1"/>
    </row>
    <row r="7768" spans="7:14" x14ac:dyDescent="0.35">
      <c r="G7768" s="1"/>
      <c r="N7768" s="1"/>
    </row>
    <row r="7769" spans="7:14" x14ac:dyDescent="0.35">
      <c r="G7769" s="1"/>
      <c r="N7769" s="1"/>
    </row>
    <row r="7770" spans="7:14" x14ac:dyDescent="0.35">
      <c r="G7770" s="1"/>
      <c r="N7770" s="1"/>
    </row>
    <row r="7771" spans="7:14" x14ac:dyDescent="0.35">
      <c r="G7771" s="1"/>
      <c r="N7771" s="1"/>
    </row>
    <row r="7772" spans="7:14" x14ac:dyDescent="0.35">
      <c r="G7772" s="1"/>
      <c r="N7772" s="1"/>
    </row>
    <row r="7773" spans="7:14" x14ac:dyDescent="0.35">
      <c r="G7773" s="1"/>
      <c r="N7773" s="1"/>
    </row>
    <row r="7774" spans="7:14" x14ac:dyDescent="0.35">
      <c r="G7774" s="1"/>
      <c r="N7774" s="1"/>
    </row>
    <row r="7775" spans="7:14" x14ac:dyDescent="0.35">
      <c r="G7775" s="1"/>
      <c r="N7775" s="1"/>
    </row>
    <row r="7776" spans="7:14" x14ac:dyDescent="0.35">
      <c r="G7776" s="1"/>
      <c r="N7776" s="1"/>
    </row>
    <row r="7777" spans="7:14" x14ac:dyDescent="0.35">
      <c r="G7777" s="1"/>
      <c r="N7777" s="1"/>
    </row>
    <row r="7778" spans="7:14" x14ac:dyDescent="0.35">
      <c r="G7778" s="1"/>
      <c r="N7778" s="1"/>
    </row>
    <row r="7779" spans="7:14" x14ac:dyDescent="0.35">
      <c r="G7779" s="1"/>
      <c r="N7779" s="1"/>
    </row>
    <row r="7780" spans="7:14" x14ac:dyDescent="0.35">
      <c r="G7780" s="1"/>
      <c r="N7780" s="1"/>
    </row>
    <row r="7781" spans="7:14" x14ac:dyDescent="0.35">
      <c r="G7781" s="1"/>
      <c r="N7781" s="1"/>
    </row>
    <row r="7782" spans="7:14" x14ac:dyDescent="0.35">
      <c r="G7782" s="1"/>
      <c r="N7782" s="1"/>
    </row>
    <row r="7783" spans="7:14" x14ac:dyDescent="0.35">
      <c r="G7783" s="1"/>
      <c r="N7783" s="1"/>
    </row>
    <row r="7784" spans="7:14" x14ac:dyDescent="0.35">
      <c r="G7784" s="1"/>
      <c r="N7784" s="1"/>
    </row>
    <row r="7785" spans="7:14" x14ac:dyDescent="0.35">
      <c r="G7785" s="1"/>
      <c r="N7785" s="1"/>
    </row>
    <row r="7786" spans="7:14" x14ac:dyDescent="0.35">
      <c r="G7786" s="1"/>
      <c r="N7786" s="1"/>
    </row>
    <row r="7787" spans="7:14" x14ac:dyDescent="0.35">
      <c r="G7787" s="1"/>
      <c r="N7787" s="1"/>
    </row>
    <row r="7788" spans="7:14" x14ac:dyDescent="0.35">
      <c r="G7788" s="1"/>
      <c r="N7788" s="1"/>
    </row>
    <row r="7789" spans="7:14" x14ac:dyDescent="0.35">
      <c r="G7789" s="1"/>
      <c r="N7789" s="1"/>
    </row>
    <row r="7790" spans="7:14" x14ac:dyDescent="0.35">
      <c r="G7790" s="1"/>
      <c r="N7790" s="1"/>
    </row>
    <row r="7791" spans="7:14" x14ac:dyDescent="0.35">
      <c r="G7791" s="1"/>
      <c r="N7791" s="1"/>
    </row>
    <row r="7792" spans="7:14" x14ac:dyDescent="0.35">
      <c r="G7792" s="1"/>
      <c r="N7792" s="1"/>
    </row>
    <row r="7793" spans="7:14" x14ac:dyDescent="0.35">
      <c r="G7793" s="1"/>
      <c r="N7793" s="1"/>
    </row>
    <row r="7794" spans="7:14" x14ac:dyDescent="0.35">
      <c r="G7794" s="1"/>
      <c r="N7794" s="1"/>
    </row>
    <row r="7795" spans="7:14" x14ac:dyDescent="0.35">
      <c r="G7795" s="1"/>
      <c r="N7795" s="1"/>
    </row>
    <row r="7796" spans="7:14" x14ac:dyDescent="0.35">
      <c r="G7796" s="1"/>
      <c r="N7796" s="1"/>
    </row>
    <row r="7797" spans="7:14" x14ac:dyDescent="0.35">
      <c r="G7797" s="1"/>
      <c r="N7797" s="1"/>
    </row>
    <row r="7798" spans="7:14" x14ac:dyDescent="0.35">
      <c r="G7798" s="1"/>
      <c r="N7798" s="1"/>
    </row>
    <row r="7799" spans="7:14" x14ac:dyDescent="0.35">
      <c r="G7799" s="1"/>
      <c r="N7799" s="1"/>
    </row>
    <row r="7800" spans="7:14" x14ac:dyDescent="0.35">
      <c r="G7800" s="1"/>
      <c r="N7800" s="1"/>
    </row>
    <row r="7801" spans="7:14" x14ac:dyDescent="0.35">
      <c r="G7801" s="1"/>
      <c r="N7801" s="1"/>
    </row>
    <row r="7802" spans="7:14" x14ac:dyDescent="0.35">
      <c r="G7802" s="1"/>
      <c r="N7802" s="1"/>
    </row>
    <row r="7803" spans="7:14" x14ac:dyDescent="0.35">
      <c r="G7803" s="1"/>
      <c r="N7803" s="1"/>
    </row>
    <row r="7804" spans="7:14" x14ac:dyDescent="0.35">
      <c r="G7804" s="1"/>
      <c r="N7804" s="1"/>
    </row>
    <row r="7805" spans="7:14" x14ac:dyDescent="0.35">
      <c r="G7805" s="1"/>
      <c r="N7805" s="1"/>
    </row>
    <row r="7806" spans="7:14" x14ac:dyDescent="0.35">
      <c r="G7806" s="1"/>
      <c r="N7806" s="1"/>
    </row>
    <row r="7807" spans="7:14" x14ac:dyDescent="0.35">
      <c r="G7807" s="1"/>
      <c r="N7807" s="1"/>
    </row>
    <row r="7808" spans="7:14" x14ac:dyDescent="0.35">
      <c r="G7808" s="1"/>
      <c r="N7808" s="1"/>
    </row>
    <row r="7809" spans="7:14" x14ac:dyDescent="0.35">
      <c r="G7809" s="1"/>
      <c r="N7809" s="1"/>
    </row>
    <row r="7810" spans="7:14" x14ac:dyDescent="0.35">
      <c r="G7810" s="1"/>
      <c r="N7810" s="1"/>
    </row>
    <row r="7811" spans="7:14" x14ac:dyDescent="0.35">
      <c r="G7811" s="1"/>
      <c r="N7811" s="1"/>
    </row>
    <row r="7812" spans="7:14" x14ac:dyDescent="0.35">
      <c r="G7812" s="1"/>
      <c r="N7812" s="1"/>
    </row>
    <row r="7813" spans="7:14" x14ac:dyDescent="0.35">
      <c r="G7813" s="1"/>
      <c r="N7813" s="1"/>
    </row>
    <row r="7814" spans="7:14" x14ac:dyDescent="0.35">
      <c r="G7814" s="1"/>
      <c r="N7814" s="1"/>
    </row>
    <row r="7815" spans="7:14" x14ac:dyDescent="0.35">
      <c r="G7815" s="1"/>
      <c r="N7815" s="1"/>
    </row>
    <row r="7816" spans="7:14" x14ac:dyDescent="0.35">
      <c r="G7816" s="1"/>
      <c r="N7816" s="1"/>
    </row>
    <row r="7817" spans="7:14" x14ac:dyDescent="0.35">
      <c r="G7817" s="1"/>
      <c r="N7817" s="1"/>
    </row>
    <row r="7818" spans="7:14" x14ac:dyDescent="0.35">
      <c r="G7818" s="1"/>
      <c r="N7818" s="1"/>
    </row>
    <row r="7819" spans="7:14" x14ac:dyDescent="0.35">
      <c r="G7819" s="1"/>
      <c r="N7819" s="1"/>
    </row>
    <row r="7820" spans="7:14" x14ac:dyDescent="0.35">
      <c r="G7820" s="1"/>
      <c r="N7820" s="1"/>
    </row>
    <row r="7821" spans="7:14" x14ac:dyDescent="0.35">
      <c r="G7821" s="1"/>
      <c r="N7821" s="1"/>
    </row>
    <row r="7822" spans="7:14" x14ac:dyDescent="0.35">
      <c r="G7822" s="1"/>
      <c r="N7822" s="1"/>
    </row>
    <row r="7823" spans="7:14" x14ac:dyDescent="0.35">
      <c r="G7823" s="1"/>
      <c r="N7823" s="1"/>
    </row>
    <row r="7824" spans="7:14" x14ac:dyDescent="0.35">
      <c r="G7824" s="1"/>
      <c r="N7824" s="1"/>
    </row>
    <row r="7825" spans="7:14" x14ac:dyDescent="0.35">
      <c r="G7825" s="1"/>
      <c r="N7825" s="1"/>
    </row>
    <row r="7826" spans="7:14" x14ac:dyDescent="0.35">
      <c r="G7826" s="1"/>
      <c r="N7826" s="1"/>
    </row>
    <row r="7827" spans="7:14" x14ac:dyDescent="0.35">
      <c r="G7827" s="1"/>
      <c r="N7827" s="1"/>
    </row>
    <row r="7828" spans="7:14" x14ac:dyDescent="0.35">
      <c r="G7828" s="1"/>
      <c r="N7828" s="1"/>
    </row>
    <row r="7829" spans="7:14" x14ac:dyDescent="0.35">
      <c r="G7829" s="1"/>
      <c r="N7829" s="1"/>
    </row>
    <row r="7830" spans="7:14" x14ac:dyDescent="0.35">
      <c r="G7830" s="1"/>
      <c r="N7830" s="1"/>
    </row>
    <row r="7831" spans="7:14" x14ac:dyDescent="0.35">
      <c r="G7831" s="1"/>
      <c r="N7831" s="1"/>
    </row>
    <row r="7832" spans="7:14" x14ac:dyDescent="0.35">
      <c r="G7832" s="1"/>
      <c r="N7832" s="1"/>
    </row>
    <row r="7833" spans="7:14" x14ac:dyDescent="0.35">
      <c r="G7833" s="1"/>
      <c r="N7833" s="1"/>
    </row>
    <row r="7834" spans="7:14" x14ac:dyDescent="0.35">
      <c r="G7834" s="1"/>
      <c r="N7834" s="1"/>
    </row>
    <row r="7835" spans="7:14" x14ac:dyDescent="0.35">
      <c r="G7835" s="1"/>
      <c r="N7835" s="1"/>
    </row>
    <row r="7836" spans="7:14" x14ac:dyDescent="0.35">
      <c r="G7836" s="1"/>
      <c r="N7836" s="1"/>
    </row>
    <row r="7837" spans="7:14" x14ac:dyDescent="0.35">
      <c r="G7837" s="1"/>
      <c r="N7837" s="1"/>
    </row>
    <row r="7838" spans="7:14" x14ac:dyDescent="0.35">
      <c r="G7838" s="1"/>
      <c r="N7838" s="1"/>
    </row>
    <row r="7839" spans="7:14" x14ac:dyDescent="0.35">
      <c r="G7839" s="1"/>
      <c r="N7839" s="1"/>
    </row>
    <row r="7840" spans="7:14" x14ac:dyDescent="0.35">
      <c r="G7840" s="1"/>
      <c r="N7840" s="1"/>
    </row>
    <row r="7841" spans="7:14" x14ac:dyDescent="0.35">
      <c r="G7841" s="1"/>
      <c r="N7841" s="1"/>
    </row>
    <row r="7842" spans="7:14" x14ac:dyDescent="0.35">
      <c r="G7842" s="1"/>
      <c r="N7842" s="1"/>
    </row>
    <row r="7843" spans="7:14" x14ac:dyDescent="0.35">
      <c r="G7843" s="1"/>
      <c r="N7843" s="1"/>
    </row>
    <row r="7844" spans="7:14" x14ac:dyDescent="0.35">
      <c r="G7844" s="1"/>
      <c r="N7844" s="1"/>
    </row>
    <row r="7845" spans="7:14" x14ac:dyDescent="0.35">
      <c r="G7845" s="1"/>
      <c r="N7845" s="1"/>
    </row>
    <row r="7846" spans="7:14" x14ac:dyDescent="0.35">
      <c r="G7846" s="1"/>
      <c r="N7846" s="1"/>
    </row>
    <row r="7847" spans="7:14" x14ac:dyDescent="0.35">
      <c r="G7847" s="1"/>
      <c r="N7847" s="1"/>
    </row>
    <row r="7848" spans="7:14" x14ac:dyDescent="0.35">
      <c r="G7848" s="1"/>
      <c r="N7848" s="1"/>
    </row>
    <row r="7849" spans="7:14" x14ac:dyDescent="0.35">
      <c r="G7849" s="1"/>
      <c r="N7849" s="1"/>
    </row>
    <row r="7850" spans="7:14" x14ac:dyDescent="0.35">
      <c r="G7850" s="1"/>
      <c r="N7850" s="1"/>
    </row>
    <row r="7851" spans="7:14" x14ac:dyDescent="0.35">
      <c r="G7851" s="1"/>
      <c r="N7851" s="1"/>
    </row>
    <row r="7852" spans="7:14" x14ac:dyDescent="0.35">
      <c r="G7852" s="1"/>
      <c r="N7852" s="1"/>
    </row>
    <row r="7853" spans="7:14" x14ac:dyDescent="0.35">
      <c r="G7853" s="1"/>
      <c r="N7853" s="1"/>
    </row>
    <row r="7854" spans="7:14" x14ac:dyDescent="0.35">
      <c r="G7854" s="1"/>
      <c r="N7854" s="1"/>
    </row>
    <row r="7855" spans="7:14" x14ac:dyDescent="0.35">
      <c r="G7855" s="1"/>
      <c r="N7855" s="1"/>
    </row>
    <row r="7856" spans="7:14" x14ac:dyDescent="0.35">
      <c r="G7856" s="1"/>
      <c r="N7856" s="1"/>
    </row>
    <row r="7857" spans="7:14" x14ac:dyDescent="0.35">
      <c r="G7857" s="1"/>
      <c r="N7857" s="1"/>
    </row>
    <row r="7858" spans="7:14" x14ac:dyDescent="0.35">
      <c r="G7858" s="1"/>
      <c r="N7858" s="1"/>
    </row>
    <row r="7859" spans="7:14" x14ac:dyDescent="0.35">
      <c r="G7859" s="1"/>
      <c r="N7859" s="1"/>
    </row>
    <row r="7860" spans="7:14" x14ac:dyDescent="0.35">
      <c r="G7860" s="1"/>
      <c r="N7860" s="1"/>
    </row>
    <row r="7861" spans="7:14" x14ac:dyDescent="0.35">
      <c r="G7861" s="1"/>
      <c r="N7861" s="1"/>
    </row>
    <row r="7862" spans="7:14" x14ac:dyDescent="0.35">
      <c r="G7862" s="1"/>
      <c r="N7862" s="1"/>
    </row>
    <row r="7863" spans="7:14" x14ac:dyDescent="0.35">
      <c r="G7863" s="1"/>
      <c r="N7863" s="1"/>
    </row>
    <row r="7864" spans="7:14" x14ac:dyDescent="0.35">
      <c r="G7864" s="1"/>
      <c r="N7864" s="1"/>
    </row>
    <row r="7865" spans="7:14" x14ac:dyDescent="0.35">
      <c r="G7865" s="1"/>
      <c r="N7865" s="1"/>
    </row>
    <row r="7866" spans="7:14" x14ac:dyDescent="0.35">
      <c r="G7866" s="1"/>
      <c r="N7866" s="1"/>
    </row>
    <row r="7867" spans="7:14" x14ac:dyDescent="0.35">
      <c r="G7867" s="1"/>
      <c r="N7867" s="1"/>
    </row>
    <row r="7868" spans="7:14" x14ac:dyDescent="0.35">
      <c r="G7868" s="1"/>
      <c r="N7868" s="1"/>
    </row>
    <row r="7869" spans="7:14" x14ac:dyDescent="0.35">
      <c r="G7869" s="1"/>
      <c r="N7869" s="1"/>
    </row>
    <row r="7870" spans="7:14" x14ac:dyDescent="0.35">
      <c r="G7870" s="1"/>
      <c r="N7870" s="1"/>
    </row>
    <row r="7871" spans="7:14" x14ac:dyDescent="0.35">
      <c r="G7871" s="1"/>
      <c r="N7871" s="1"/>
    </row>
    <row r="7872" spans="7:14" x14ac:dyDescent="0.35">
      <c r="G7872" s="1"/>
      <c r="N7872" s="1"/>
    </row>
    <row r="7873" spans="7:14" x14ac:dyDescent="0.35">
      <c r="G7873" s="1"/>
      <c r="N7873" s="1"/>
    </row>
    <row r="7874" spans="7:14" x14ac:dyDescent="0.35">
      <c r="G7874" s="1"/>
      <c r="N7874" s="1"/>
    </row>
    <row r="7875" spans="7:14" x14ac:dyDescent="0.35">
      <c r="G7875" s="1"/>
      <c r="N7875" s="1"/>
    </row>
    <row r="7876" spans="7:14" x14ac:dyDescent="0.35">
      <c r="G7876" s="1"/>
      <c r="N7876" s="1"/>
    </row>
    <row r="7877" spans="7:14" x14ac:dyDescent="0.35">
      <c r="G7877" s="1"/>
      <c r="N7877" s="1"/>
    </row>
    <row r="7878" spans="7:14" x14ac:dyDescent="0.35">
      <c r="G7878" s="1"/>
      <c r="N7878" s="1"/>
    </row>
    <row r="7879" spans="7:14" x14ac:dyDescent="0.35">
      <c r="G7879" s="1"/>
      <c r="N7879" s="1"/>
    </row>
    <row r="7880" spans="7:14" x14ac:dyDescent="0.35">
      <c r="G7880" s="1"/>
      <c r="N7880" s="1"/>
    </row>
    <row r="7881" spans="7:14" x14ac:dyDescent="0.35">
      <c r="G7881" s="1"/>
      <c r="N7881" s="1"/>
    </row>
    <row r="7882" spans="7:14" x14ac:dyDescent="0.35">
      <c r="G7882" s="1"/>
      <c r="N7882" s="1"/>
    </row>
    <row r="7883" spans="7:14" x14ac:dyDescent="0.35">
      <c r="G7883" s="1"/>
      <c r="N7883" s="1"/>
    </row>
    <row r="7884" spans="7:14" x14ac:dyDescent="0.35">
      <c r="G7884" s="1"/>
      <c r="N7884" s="1"/>
    </row>
    <row r="7885" spans="7:14" x14ac:dyDescent="0.35">
      <c r="G7885" s="1"/>
      <c r="N7885" s="1"/>
    </row>
    <row r="7886" spans="7:14" x14ac:dyDescent="0.35">
      <c r="G7886" s="1"/>
      <c r="N7886" s="1"/>
    </row>
    <row r="7887" spans="7:14" x14ac:dyDescent="0.35">
      <c r="G7887" s="1"/>
      <c r="N7887" s="1"/>
    </row>
    <row r="7888" spans="7:14" x14ac:dyDescent="0.35">
      <c r="G7888" s="1"/>
      <c r="N7888" s="1"/>
    </row>
    <row r="7889" spans="7:14" x14ac:dyDescent="0.35">
      <c r="G7889" s="1"/>
      <c r="N7889" s="1"/>
    </row>
    <row r="7890" spans="7:14" x14ac:dyDescent="0.35">
      <c r="G7890" s="1"/>
      <c r="N7890" s="1"/>
    </row>
    <row r="7891" spans="7:14" x14ac:dyDescent="0.35">
      <c r="G7891" s="1"/>
      <c r="N7891" s="1"/>
    </row>
    <row r="7892" spans="7:14" x14ac:dyDescent="0.35">
      <c r="G7892" s="1"/>
      <c r="N7892" s="1"/>
    </row>
    <row r="7893" spans="7:14" x14ac:dyDescent="0.35">
      <c r="G7893" s="1"/>
      <c r="N7893" s="1"/>
    </row>
    <row r="7894" spans="7:14" x14ac:dyDescent="0.35">
      <c r="G7894" s="1"/>
      <c r="N7894" s="1"/>
    </row>
    <row r="7895" spans="7:14" x14ac:dyDescent="0.35">
      <c r="G7895" s="1"/>
      <c r="N7895" s="1"/>
    </row>
    <row r="7896" spans="7:14" x14ac:dyDescent="0.35">
      <c r="G7896" s="1"/>
      <c r="N7896" s="1"/>
    </row>
    <row r="7897" spans="7:14" x14ac:dyDescent="0.35">
      <c r="G7897" s="1"/>
      <c r="N7897" s="1"/>
    </row>
    <row r="7898" spans="7:14" x14ac:dyDescent="0.35">
      <c r="G7898" s="1"/>
      <c r="N7898" s="1"/>
    </row>
    <row r="7899" spans="7:14" x14ac:dyDescent="0.35">
      <c r="G7899" s="1"/>
      <c r="N7899" s="1"/>
    </row>
    <row r="7900" spans="7:14" x14ac:dyDescent="0.35">
      <c r="G7900" s="1"/>
      <c r="N7900" s="1"/>
    </row>
    <row r="7901" spans="7:14" x14ac:dyDescent="0.35">
      <c r="G7901" s="1"/>
      <c r="N7901" s="1"/>
    </row>
    <row r="7902" spans="7:14" x14ac:dyDescent="0.35">
      <c r="G7902" s="1"/>
      <c r="N7902" s="1"/>
    </row>
    <row r="7903" spans="7:14" x14ac:dyDescent="0.35">
      <c r="G7903" s="1"/>
      <c r="N7903" s="1"/>
    </row>
    <row r="7904" spans="7:14" x14ac:dyDescent="0.35">
      <c r="G7904" s="1"/>
      <c r="N7904" s="1"/>
    </row>
    <row r="7905" spans="7:14" x14ac:dyDescent="0.35">
      <c r="G7905" s="1"/>
      <c r="N7905" s="1"/>
    </row>
    <row r="7906" spans="7:14" x14ac:dyDescent="0.35">
      <c r="G7906" s="1"/>
      <c r="N7906" s="1"/>
    </row>
    <row r="7907" spans="7:14" x14ac:dyDescent="0.35">
      <c r="G7907" s="1"/>
      <c r="N7907" s="1"/>
    </row>
    <row r="7908" spans="7:14" x14ac:dyDescent="0.35">
      <c r="G7908" s="1"/>
      <c r="N7908" s="1"/>
    </row>
    <row r="7909" spans="7:14" x14ac:dyDescent="0.35">
      <c r="G7909" s="1"/>
      <c r="N7909" s="1"/>
    </row>
    <row r="7910" spans="7:14" x14ac:dyDescent="0.35">
      <c r="G7910" s="1"/>
      <c r="N7910" s="1"/>
    </row>
    <row r="7911" spans="7:14" x14ac:dyDescent="0.35">
      <c r="G7911" s="1"/>
      <c r="N7911" s="1"/>
    </row>
    <row r="7912" spans="7:14" x14ac:dyDescent="0.35">
      <c r="G7912" s="1"/>
      <c r="N7912" s="1"/>
    </row>
    <row r="7913" spans="7:14" x14ac:dyDescent="0.35">
      <c r="G7913" s="1"/>
      <c r="N7913" s="1"/>
    </row>
    <row r="7914" spans="7:14" x14ac:dyDescent="0.35">
      <c r="G7914" s="1"/>
      <c r="N7914" s="1"/>
    </row>
    <row r="7915" spans="7:14" x14ac:dyDescent="0.35">
      <c r="G7915" s="1"/>
      <c r="N7915" s="1"/>
    </row>
    <row r="7916" spans="7:14" x14ac:dyDescent="0.35">
      <c r="G7916" s="1"/>
      <c r="N7916" s="1"/>
    </row>
    <row r="7917" spans="7:14" x14ac:dyDescent="0.35">
      <c r="G7917" s="1"/>
      <c r="N7917" s="1"/>
    </row>
    <row r="7918" spans="7:14" x14ac:dyDescent="0.35">
      <c r="G7918" s="1"/>
      <c r="N7918" s="1"/>
    </row>
    <row r="7919" spans="7:14" x14ac:dyDescent="0.35">
      <c r="G7919" s="1"/>
      <c r="N7919" s="1"/>
    </row>
    <row r="7920" spans="7:14" x14ac:dyDescent="0.35">
      <c r="G7920" s="1"/>
      <c r="N7920" s="1"/>
    </row>
    <row r="7921" spans="7:14" x14ac:dyDescent="0.35">
      <c r="G7921" s="1"/>
      <c r="N7921" s="1"/>
    </row>
    <row r="7922" spans="7:14" x14ac:dyDescent="0.35">
      <c r="G7922" s="1"/>
      <c r="N7922" s="1"/>
    </row>
    <row r="7923" spans="7:14" x14ac:dyDescent="0.35">
      <c r="G7923" s="1"/>
      <c r="N7923" s="1"/>
    </row>
    <row r="7924" spans="7:14" x14ac:dyDescent="0.35">
      <c r="G7924" s="1"/>
      <c r="N7924" s="1"/>
    </row>
    <row r="7925" spans="7:14" x14ac:dyDescent="0.35">
      <c r="G7925" s="1"/>
      <c r="N7925" s="1"/>
    </row>
    <row r="7926" spans="7:14" x14ac:dyDescent="0.35">
      <c r="G7926" s="1"/>
      <c r="N7926" s="1"/>
    </row>
    <row r="7927" spans="7:14" x14ac:dyDescent="0.35">
      <c r="G7927" s="1"/>
      <c r="N7927" s="1"/>
    </row>
    <row r="7928" spans="7:14" x14ac:dyDescent="0.35">
      <c r="G7928" s="1"/>
      <c r="N7928" s="1"/>
    </row>
    <row r="7929" spans="7:14" x14ac:dyDescent="0.35">
      <c r="G7929" s="1"/>
      <c r="N7929" s="1"/>
    </row>
    <row r="7930" spans="7:14" x14ac:dyDescent="0.35">
      <c r="G7930" s="1"/>
      <c r="N7930" s="1"/>
    </row>
    <row r="7931" spans="7:14" x14ac:dyDescent="0.35">
      <c r="G7931" s="1"/>
      <c r="N7931" s="1"/>
    </row>
    <row r="7932" spans="7:14" x14ac:dyDescent="0.35">
      <c r="G7932" s="1"/>
      <c r="N7932" s="1"/>
    </row>
    <row r="7933" spans="7:14" x14ac:dyDescent="0.35">
      <c r="G7933" s="1"/>
      <c r="N7933" s="1"/>
    </row>
    <row r="7934" spans="7:14" x14ac:dyDescent="0.35">
      <c r="G7934" s="1"/>
      <c r="N7934" s="1"/>
    </row>
    <row r="7935" spans="7:14" x14ac:dyDescent="0.35">
      <c r="G7935" s="1"/>
      <c r="N7935" s="1"/>
    </row>
    <row r="7936" spans="7:14" x14ac:dyDescent="0.35">
      <c r="G7936" s="1"/>
      <c r="N7936" s="1"/>
    </row>
    <row r="7937" spans="7:14" x14ac:dyDescent="0.35">
      <c r="G7937" s="1"/>
      <c r="N7937" s="1"/>
    </row>
    <row r="7938" spans="7:14" x14ac:dyDescent="0.35">
      <c r="G7938" s="1"/>
      <c r="N7938" s="1"/>
    </row>
    <row r="7939" spans="7:14" x14ac:dyDescent="0.35">
      <c r="G7939" s="1"/>
      <c r="N7939" s="1"/>
    </row>
    <row r="7940" spans="7:14" x14ac:dyDescent="0.35">
      <c r="G7940" s="1"/>
      <c r="N7940" s="1"/>
    </row>
    <row r="7941" spans="7:14" x14ac:dyDescent="0.35">
      <c r="G7941" s="1"/>
      <c r="N7941" s="1"/>
    </row>
    <row r="7942" spans="7:14" x14ac:dyDescent="0.35">
      <c r="G7942" s="1"/>
      <c r="N7942" s="1"/>
    </row>
    <row r="7943" spans="7:14" x14ac:dyDescent="0.35">
      <c r="G7943" s="1"/>
      <c r="N7943" s="1"/>
    </row>
    <row r="7944" spans="7:14" x14ac:dyDescent="0.35">
      <c r="G7944" s="1"/>
      <c r="N7944" s="1"/>
    </row>
    <row r="7945" spans="7:14" x14ac:dyDescent="0.35">
      <c r="G7945" s="1"/>
      <c r="N7945" s="1"/>
    </row>
    <row r="7946" spans="7:14" x14ac:dyDescent="0.35">
      <c r="G7946" s="1"/>
      <c r="N7946" s="1"/>
    </row>
    <row r="7947" spans="7:14" x14ac:dyDescent="0.35">
      <c r="G7947" s="1"/>
      <c r="N7947" s="1"/>
    </row>
    <row r="7948" spans="7:14" x14ac:dyDescent="0.35">
      <c r="G7948" s="1"/>
      <c r="N7948" s="1"/>
    </row>
    <row r="7949" spans="7:14" x14ac:dyDescent="0.35">
      <c r="G7949" s="1"/>
      <c r="N7949" s="1"/>
    </row>
    <row r="7950" spans="7:14" x14ac:dyDescent="0.35">
      <c r="G7950" s="1"/>
      <c r="N7950" s="1"/>
    </row>
    <row r="7951" spans="7:14" x14ac:dyDescent="0.35">
      <c r="G7951" s="1"/>
      <c r="N7951" s="1"/>
    </row>
    <row r="7952" spans="7:14" x14ac:dyDescent="0.35">
      <c r="G7952" s="1"/>
      <c r="N7952" s="1"/>
    </row>
    <row r="7953" spans="7:14" x14ac:dyDescent="0.35">
      <c r="G7953" s="1"/>
      <c r="N7953" s="1"/>
    </row>
    <row r="7954" spans="7:14" x14ac:dyDescent="0.35">
      <c r="G7954" s="1"/>
      <c r="N7954" s="1"/>
    </row>
    <row r="7955" spans="7:14" x14ac:dyDescent="0.35">
      <c r="G7955" s="1"/>
      <c r="N7955" s="1"/>
    </row>
    <row r="7956" spans="7:14" x14ac:dyDescent="0.35">
      <c r="G7956" s="1"/>
      <c r="N7956" s="1"/>
    </row>
    <row r="7957" spans="7:14" x14ac:dyDescent="0.35">
      <c r="G7957" s="1"/>
      <c r="N7957" s="1"/>
    </row>
    <row r="7958" spans="7:14" x14ac:dyDescent="0.35">
      <c r="G7958" s="1"/>
      <c r="N7958" s="1"/>
    </row>
    <row r="7959" spans="7:14" x14ac:dyDescent="0.35">
      <c r="G7959" s="1"/>
      <c r="N7959" s="1"/>
    </row>
    <row r="7960" spans="7:14" x14ac:dyDescent="0.35">
      <c r="G7960" s="1"/>
      <c r="N7960" s="1"/>
    </row>
    <row r="7961" spans="7:14" x14ac:dyDescent="0.35">
      <c r="G7961" s="1"/>
      <c r="N7961" s="1"/>
    </row>
    <row r="7962" spans="7:14" x14ac:dyDescent="0.35">
      <c r="G7962" s="1"/>
      <c r="N7962" s="1"/>
    </row>
    <row r="7963" spans="7:14" x14ac:dyDescent="0.35">
      <c r="G7963" s="1"/>
      <c r="N7963" s="1"/>
    </row>
    <row r="7964" spans="7:14" x14ac:dyDescent="0.35">
      <c r="G7964" s="1"/>
      <c r="N7964" s="1"/>
    </row>
    <row r="7965" spans="7:14" x14ac:dyDescent="0.35">
      <c r="G7965" s="1"/>
      <c r="N7965" s="1"/>
    </row>
    <row r="7966" spans="7:14" x14ac:dyDescent="0.35">
      <c r="G7966" s="1"/>
      <c r="N7966" s="1"/>
    </row>
    <row r="7967" spans="7:14" x14ac:dyDescent="0.35">
      <c r="G7967" s="1"/>
      <c r="N7967" s="1"/>
    </row>
    <row r="7968" spans="7:14" x14ac:dyDescent="0.35">
      <c r="G7968" s="1"/>
      <c r="N7968" s="1"/>
    </row>
    <row r="7969" spans="7:14" x14ac:dyDescent="0.35">
      <c r="G7969" s="1"/>
      <c r="N7969" s="1"/>
    </row>
    <row r="7970" spans="7:14" x14ac:dyDescent="0.35">
      <c r="G7970" s="1"/>
      <c r="N7970" s="1"/>
    </row>
    <row r="7971" spans="7:14" x14ac:dyDescent="0.35">
      <c r="G7971" s="1"/>
      <c r="N7971" s="1"/>
    </row>
    <row r="7972" spans="7:14" x14ac:dyDescent="0.35">
      <c r="G7972" s="1"/>
      <c r="N7972" s="1"/>
    </row>
    <row r="7973" spans="7:14" x14ac:dyDescent="0.35">
      <c r="G7973" s="1"/>
      <c r="N7973" s="1"/>
    </row>
    <row r="7974" spans="7:14" x14ac:dyDescent="0.35">
      <c r="G7974" s="1"/>
      <c r="N7974" s="1"/>
    </row>
    <row r="7975" spans="7:14" x14ac:dyDescent="0.35">
      <c r="G7975" s="1"/>
      <c r="N7975" s="1"/>
    </row>
    <row r="7976" spans="7:14" x14ac:dyDescent="0.35">
      <c r="G7976" s="1"/>
      <c r="N7976" s="1"/>
    </row>
    <row r="7977" spans="7:14" x14ac:dyDescent="0.35">
      <c r="G7977" s="1"/>
      <c r="N7977" s="1"/>
    </row>
    <row r="7978" spans="7:14" x14ac:dyDescent="0.35">
      <c r="G7978" s="1"/>
      <c r="N7978" s="1"/>
    </row>
    <row r="7979" spans="7:14" x14ac:dyDescent="0.35">
      <c r="G7979" s="1"/>
      <c r="N7979" s="1"/>
    </row>
    <row r="7980" spans="7:14" x14ac:dyDescent="0.35">
      <c r="G7980" s="1"/>
      <c r="N7980" s="1"/>
    </row>
    <row r="7981" spans="7:14" x14ac:dyDescent="0.35">
      <c r="G7981" s="1"/>
      <c r="N7981" s="1"/>
    </row>
    <row r="7982" spans="7:14" x14ac:dyDescent="0.35">
      <c r="G7982" s="1"/>
      <c r="N7982" s="1"/>
    </row>
    <row r="7983" spans="7:14" x14ac:dyDescent="0.35">
      <c r="G7983" s="1"/>
      <c r="N7983" s="1"/>
    </row>
    <row r="7984" spans="7:14" x14ac:dyDescent="0.35">
      <c r="G7984" s="1"/>
      <c r="N7984" s="1"/>
    </row>
    <row r="7985" spans="7:14" x14ac:dyDescent="0.35">
      <c r="G7985" s="1"/>
      <c r="N7985" s="1"/>
    </row>
    <row r="7986" spans="7:14" x14ac:dyDescent="0.35">
      <c r="G7986" s="1"/>
      <c r="N7986" s="1"/>
    </row>
    <row r="7987" spans="7:14" x14ac:dyDescent="0.35">
      <c r="G7987" s="1"/>
      <c r="N7987" s="1"/>
    </row>
    <row r="7988" spans="7:14" x14ac:dyDescent="0.35">
      <c r="G7988" s="1"/>
      <c r="N7988" s="1"/>
    </row>
    <row r="7989" spans="7:14" x14ac:dyDescent="0.35">
      <c r="G7989" s="1"/>
      <c r="N7989" s="1"/>
    </row>
    <row r="7990" spans="7:14" x14ac:dyDescent="0.35">
      <c r="G7990" s="1"/>
      <c r="N7990" s="1"/>
    </row>
    <row r="7991" spans="7:14" x14ac:dyDescent="0.35">
      <c r="G7991" s="1"/>
      <c r="N7991" s="1"/>
    </row>
    <row r="7992" spans="7:14" x14ac:dyDescent="0.35">
      <c r="G7992" s="1"/>
      <c r="N7992" s="1"/>
    </row>
    <row r="7993" spans="7:14" x14ac:dyDescent="0.35">
      <c r="G7993" s="1"/>
      <c r="N7993" s="1"/>
    </row>
    <row r="7994" spans="7:14" x14ac:dyDescent="0.35">
      <c r="G7994" s="1"/>
      <c r="N7994" s="1"/>
    </row>
    <row r="7995" spans="7:14" x14ac:dyDescent="0.35">
      <c r="G7995" s="1"/>
      <c r="N7995" s="1"/>
    </row>
    <row r="7996" spans="7:14" x14ac:dyDescent="0.35">
      <c r="G7996" s="1"/>
      <c r="N7996" s="1"/>
    </row>
    <row r="7997" spans="7:14" x14ac:dyDescent="0.35">
      <c r="G7997" s="1"/>
      <c r="N7997" s="1"/>
    </row>
    <row r="7998" spans="7:14" x14ac:dyDescent="0.35">
      <c r="G7998" s="1"/>
      <c r="N7998" s="1"/>
    </row>
    <row r="7999" spans="7:14" x14ac:dyDescent="0.35">
      <c r="G7999" s="1"/>
      <c r="N7999" s="1"/>
    </row>
    <row r="8000" spans="7:14" x14ac:dyDescent="0.35">
      <c r="G8000" s="1"/>
      <c r="N8000" s="1"/>
    </row>
    <row r="8001" spans="7:14" x14ac:dyDescent="0.35">
      <c r="G8001" s="1"/>
      <c r="N8001" s="1"/>
    </row>
    <row r="8002" spans="7:14" x14ac:dyDescent="0.35">
      <c r="G8002" s="1"/>
      <c r="N8002" s="1"/>
    </row>
    <row r="8003" spans="7:14" x14ac:dyDescent="0.35">
      <c r="G8003" s="1"/>
      <c r="N8003" s="1"/>
    </row>
    <row r="8004" spans="7:14" x14ac:dyDescent="0.35">
      <c r="G8004" s="1"/>
      <c r="N8004" s="1"/>
    </row>
    <row r="8005" spans="7:14" x14ac:dyDescent="0.35">
      <c r="G8005" s="1"/>
      <c r="N8005" s="1"/>
    </row>
    <row r="8006" spans="7:14" x14ac:dyDescent="0.35">
      <c r="G8006" s="1"/>
      <c r="N8006" s="1"/>
    </row>
    <row r="8007" spans="7:14" x14ac:dyDescent="0.35">
      <c r="G8007" s="1"/>
      <c r="N8007" s="1"/>
    </row>
    <row r="8008" spans="7:14" x14ac:dyDescent="0.35">
      <c r="G8008" s="1"/>
      <c r="N8008" s="1"/>
    </row>
    <row r="8009" spans="7:14" x14ac:dyDescent="0.35">
      <c r="G8009" s="1"/>
      <c r="N8009" s="1"/>
    </row>
    <row r="8010" spans="7:14" x14ac:dyDescent="0.35">
      <c r="G8010" s="1"/>
      <c r="N8010" s="1"/>
    </row>
    <row r="8011" spans="7:14" x14ac:dyDescent="0.35">
      <c r="G8011" s="1"/>
      <c r="N8011" s="1"/>
    </row>
    <row r="8012" spans="7:14" x14ac:dyDescent="0.35">
      <c r="G8012" s="1"/>
      <c r="N8012" s="1"/>
    </row>
    <row r="8013" spans="7:14" x14ac:dyDescent="0.35">
      <c r="G8013" s="1"/>
      <c r="N8013" s="1"/>
    </row>
    <row r="8014" spans="7:14" x14ac:dyDescent="0.35">
      <c r="G8014" s="1"/>
      <c r="N8014" s="1"/>
    </row>
    <row r="8015" spans="7:14" x14ac:dyDescent="0.35">
      <c r="G8015" s="1"/>
      <c r="N8015" s="1"/>
    </row>
    <row r="8016" spans="7:14" x14ac:dyDescent="0.35">
      <c r="G8016" s="1"/>
      <c r="N8016" s="1"/>
    </row>
    <row r="8017" spans="7:14" x14ac:dyDescent="0.35">
      <c r="G8017" s="1"/>
      <c r="N8017" s="1"/>
    </row>
    <row r="8018" spans="7:14" x14ac:dyDescent="0.35">
      <c r="G8018" s="1"/>
      <c r="N8018" s="1"/>
    </row>
    <row r="8019" spans="7:14" x14ac:dyDescent="0.35">
      <c r="G8019" s="1"/>
      <c r="N8019" s="1"/>
    </row>
    <row r="8020" spans="7:14" x14ac:dyDescent="0.35">
      <c r="G8020" s="1"/>
      <c r="N8020" s="1"/>
    </row>
    <row r="8021" spans="7:14" x14ac:dyDescent="0.35">
      <c r="G8021" s="1"/>
      <c r="N8021" s="1"/>
    </row>
    <row r="8022" spans="7:14" x14ac:dyDescent="0.35">
      <c r="G8022" s="1"/>
      <c r="N8022" s="1"/>
    </row>
    <row r="8023" spans="7:14" x14ac:dyDescent="0.35">
      <c r="G8023" s="1"/>
      <c r="N8023" s="1"/>
    </row>
    <row r="8024" spans="7:14" x14ac:dyDescent="0.35">
      <c r="G8024" s="1"/>
      <c r="N8024" s="1"/>
    </row>
    <row r="8025" spans="7:14" x14ac:dyDescent="0.35">
      <c r="G8025" s="1"/>
      <c r="N8025" s="1"/>
    </row>
    <row r="8026" spans="7:14" x14ac:dyDescent="0.35">
      <c r="G8026" s="1"/>
      <c r="N8026" s="1"/>
    </row>
    <row r="8027" spans="7:14" x14ac:dyDescent="0.35">
      <c r="G8027" s="1"/>
      <c r="N8027" s="1"/>
    </row>
    <row r="8028" spans="7:14" x14ac:dyDescent="0.35">
      <c r="G8028" s="1"/>
      <c r="N8028" s="1"/>
    </row>
    <row r="8029" spans="7:14" x14ac:dyDescent="0.35">
      <c r="G8029" s="1"/>
      <c r="N8029" s="1"/>
    </row>
    <row r="8030" spans="7:14" x14ac:dyDescent="0.35">
      <c r="G8030" s="1"/>
      <c r="N8030" s="1"/>
    </row>
    <row r="8031" spans="7:14" x14ac:dyDescent="0.35">
      <c r="G8031" s="1"/>
      <c r="N8031" s="1"/>
    </row>
    <row r="8032" spans="7:14" x14ac:dyDescent="0.35">
      <c r="G8032" s="1"/>
      <c r="N8032" s="1"/>
    </row>
    <row r="8033" spans="7:14" x14ac:dyDescent="0.35">
      <c r="G8033" s="1"/>
      <c r="N8033" s="1"/>
    </row>
    <row r="8034" spans="7:14" x14ac:dyDescent="0.35">
      <c r="G8034" s="1"/>
      <c r="N8034" s="1"/>
    </row>
    <row r="8035" spans="7:14" x14ac:dyDescent="0.35">
      <c r="G8035" s="1"/>
      <c r="N8035" s="1"/>
    </row>
    <row r="8036" spans="7:14" x14ac:dyDescent="0.35">
      <c r="G8036" s="1"/>
      <c r="N8036" s="1"/>
    </row>
    <row r="8037" spans="7:14" x14ac:dyDescent="0.35">
      <c r="G8037" s="1"/>
      <c r="N8037" s="1"/>
    </row>
    <row r="8038" spans="7:14" x14ac:dyDescent="0.35">
      <c r="G8038" s="1"/>
      <c r="N8038" s="1"/>
    </row>
    <row r="8039" spans="7:14" x14ac:dyDescent="0.35">
      <c r="G8039" s="1"/>
      <c r="N8039" s="1"/>
    </row>
    <row r="8040" spans="7:14" x14ac:dyDescent="0.35">
      <c r="G8040" s="1"/>
      <c r="N8040" s="1"/>
    </row>
    <row r="8041" spans="7:14" x14ac:dyDescent="0.35">
      <c r="G8041" s="1"/>
      <c r="N8041" s="1"/>
    </row>
    <row r="8042" spans="7:14" x14ac:dyDescent="0.35">
      <c r="G8042" s="1"/>
      <c r="N8042" s="1"/>
    </row>
    <row r="8043" spans="7:14" x14ac:dyDescent="0.35">
      <c r="G8043" s="1"/>
      <c r="N8043" s="1"/>
    </row>
    <row r="8044" spans="7:14" x14ac:dyDescent="0.35">
      <c r="G8044" s="1"/>
      <c r="N8044" s="1"/>
    </row>
    <row r="8045" spans="7:14" x14ac:dyDescent="0.35">
      <c r="G8045" s="1"/>
      <c r="N8045" s="1"/>
    </row>
    <row r="8046" spans="7:14" x14ac:dyDescent="0.35">
      <c r="G8046" s="1"/>
      <c r="N8046" s="1"/>
    </row>
    <row r="8047" spans="7:14" x14ac:dyDescent="0.35">
      <c r="G8047" s="1"/>
      <c r="N8047" s="1"/>
    </row>
    <row r="8048" spans="7:14" x14ac:dyDescent="0.35">
      <c r="G8048" s="1"/>
      <c r="N8048" s="1"/>
    </row>
    <row r="8049" spans="7:14" x14ac:dyDescent="0.35">
      <c r="G8049" s="1"/>
      <c r="N8049" s="1"/>
    </row>
    <row r="8050" spans="7:14" x14ac:dyDescent="0.35">
      <c r="G8050" s="1"/>
      <c r="N8050" s="1"/>
    </row>
    <row r="8051" spans="7:14" x14ac:dyDescent="0.35">
      <c r="G8051" s="1"/>
      <c r="N8051" s="1"/>
    </row>
    <row r="8052" spans="7:14" x14ac:dyDescent="0.35">
      <c r="G8052" s="1"/>
      <c r="N8052" s="1"/>
    </row>
    <row r="8053" spans="7:14" x14ac:dyDescent="0.35">
      <c r="G8053" s="1"/>
      <c r="N8053" s="1"/>
    </row>
    <row r="8054" spans="7:14" x14ac:dyDescent="0.35">
      <c r="G8054" s="1"/>
      <c r="N8054" s="1"/>
    </row>
    <row r="8055" spans="7:14" x14ac:dyDescent="0.35">
      <c r="G8055" s="1"/>
      <c r="N8055" s="1"/>
    </row>
    <row r="8056" spans="7:14" x14ac:dyDescent="0.35">
      <c r="G8056" s="1"/>
      <c r="N8056" s="1"/>
    </row>
    <row r="8057" spans="7:14" x14ac:dyDescent="0.35">
      <c r="G8057" s="1"/>
      <c r="N8057" s="1"/>
    </row>
    <row r="8058" spans="7:14" x14ac:dyDescent="0.35">
      <c r="G8058" s="1"/>
      <c r="N8058" s="1"/>
    </row>
    <row r="8059" spans="7:14" x14ac:dyDescent="0.35">
      <c r="G8059" s="1"/>
      <c r="N8059" s="1"/>
    </row>
    <row r="8060" spans="7:14" x14ac:dyDescent="0.35">
      <c r="G8060" s="1"/>
      <c r="N8060" s="1"/>
    </row>
    <row r="8061" spans="7:14" x14ac:dyDescent="0.35">
      <c r="G8061" s="1"/>
      <c r="N8061" s="1"/>
    </row>
    <row r="8062" spans="7:14" x14ac:dyDescent="0.35">
      <c r="G8062" s="1"/>
      <c r="N8062" s="1"/>
    </row>
    <row r="8063" spans="7:14" x14ac:dyDescent="0.35">
      <c r="G8063" s="1"/>
      <c r="N8063" s="1"/>
    </row>
    <row r="8064" spans="7:14" x14ac:dyDescent="0.35">
      <c r="G8064" s="1"/>
      <c r="N8064" s="1"/>
    </row>
    <row r="8065" spans="7:14" x14ac:dyDescent="0.35">
      <c r="G8065" s="1"/>
      <c r="N8065" s="1"/>
    </row>
    <row r="8066" spans="7:14" x14ac:dyDescent="0.35">
      <c r="G8066" s="1"/>
      <c r="N8066" s="1"/>
    </row>
    <row r="8067" spans="7:14" x14ac:dyDescent="0.35">
      <c r="G8067" s="1"/>
      <c r="N8067" s="1"/>
    </row>
    <row r="8068" spans="7:14" x14ac:dyDescent="0.35">
      <c r="G8068" s="1"/>
      <c r="N8068" s="1"/>
    </row>
    <row r="8069" spans="7:14" x14ac:dyDescent="0.35">
      <c r="G8069" s="1"/>
      <c r="N8069" s="1"/>
    </row>
    <row r="8070" spans="7:14" x14ac:dyDescent="0.35">
      <c r="G8070" s="1"/>
      <c r="N8070" s="1"/>
    </row>
    <row r="8071" spans="7:14" x14ac:dyDescent="0.35">
      <c r="G8071" s="1"/>
      <c r="N8071" s="1"/>
    </row>
    <row r="8072" spans="7:14" x14ac:dyDescent="0.35">
      <c r="G8072" s="1"/>
      <c r="N8072" s="1"/>
    </row>
    <row r="8073" spans="7:14" x14ac:dyDescent="0.35">
      <c r="G8073" s="1"/>
      <c r="N8073" s="1"/>
    </row>
    <row r="8074" spans="7:14" x14ac:dyDescent="0.35">
      <c r="G8074" s="1"/>
      <c r="N8074" s="1"/>
    </row>
    <row r="8075" spans="7:14" x14ac:dyDescent="0.35">
      <c r="G8075" s="1"/>
      <c r="N8075" s="1"/>
    </row>
    <row r="8076" spans="7:14" x14ac:dyDescent="0.35">
      <c r="G8076" s="1"/>
      <c r="N8076" s="1"/>
    </row>
    <row r="8077" spans="7:14" x14ac:dyDescent="0.35">
      <c r="G8077" s="1"/>
      <c r="N8077" s="1"/>
    </row>
    <row r="8078" spans="7:14" x14ac:dyDescent="0.35">
      <c r="G8078" s="1"/>
      <c r="N8078" s="1"/>
    </row>
    <row r="8079" spans="7:14" x14ac:dyDescent="0.35">
      <c r="G8079" s="1"/>
      <c r="N8079" s="1"/>
    </row>
    <row r="8080" spans="7:14" x14ac:dyDescent="0.35">
      <c r="G8080" s="1"/>
      <c r="N8080" s="1"/>
    </row>
    <row r="8081" spans="7:14" x14ac:dyDescent="0.35">
      <c r="G8081" s="1"/>
      <c r="N8081" s="1"/>
    </row>
    <row r="8082" spans="7:14" x14ac:dyDescent="0.35">
      <c r="G8082" s="1"/>
      <c r="N8082" s="1"/>
    </row>
    <row r="8083" spans="7:14" x14ac:dyDescent="0.35">
      <c r="G8083" s="1"/>
      <c r="N8083" s="1"/>
    </row>
    <row r="8084" spans="7:14" x14ac:dyDescent="0.35">
      <c r="G8084" s="1"/>
      <c r="N8084" s="1"/>
    </row>
    <row r="8085" spans="7:14" x14ac:dyDescent="0.35">
      <c r="G8085" s="1"/>
      <c r="N8085" s="1"/>
    </row>
    <row r="8086" spans="7:14" x14ac:dyDescent="0.35">
      <c r="G8086" s="1"/>
      <c r="N8086" s="1"/>
    </row>
    <row r="8087" spans="7:14" x14ac:dyDescent="0.35">
      <c r="G8087" s="1"/>
      <c r="N8087" s="1"/>
    </row>
    <row r="8088" spans="7:14" x14ac:dyDescent="0.35">
      <c r="G8088" s="1"/>
      <c r="N8088" s="1"/>
    </row>
    <row r="8089" spans="7:14" x14ac:dyDescent="0.35">
      <c r="G8089" s="1"/>
      <c r="N8089" s="1"/>
    </row>
    <row r="8090" spans="7:14" x14ac:dyDescent="0.35">
      <c r="G8090" s="1"/>
      <c r="N8090" s="1"/>
    </row>
    <row r="8091" spans="7:14" x14ac:dyDescent="0.35">
      <c r="G8091" s="1"/>
      <c r="N8091" s="1"/>
    </row>
    <row r="8092" spans="7:14" x14ac:dyDescent="0.35">
      <c r="G8092" s="1"/>
      <c r="N8092" s="1"/>
    </row>
    <row r="8093" spans="7:14" x14ac:dyDescent="0.35">
      <c r="G8093" s="1"/>
      <c r="N8093" s="1"/>
    </row>
    <row r="8094" spans="7:14" x14ac:dyDescent="0.35">
      <c r="G8094" s="1"/>
      <c r="N8094" s="1"/>
    </row>
    <row r="8095" spans="7:14" x14ac:dyDescent="0.35">
      <c r="G8095" s="1"/>
      <c r="N8095" s="1"/>
    </row>
    <row r="8096" spans="7:14" x14ac:dyDescent="0.35">
      <c r="G8096" s="1"/>
      <c r="N8096" s="1"/>
    </row>
    <row r="8097" spans="7:14" x14ac:dyDescent="0.35">
      <c r="G8097" s="1"/>
      <c r="N8097" s="1"/>
    </row>
    <row r="8098" spans="7:14" x14ac:dyDescent="0.35">
      <c r="G8098" s="1"/>
      <c r="N8098" s="1"/>
    </row>
    <row r="8099" spans="7:14" x14ac:dyDescent="0.35">
      <c r="G8099" s="1"/>
      <c r="N8099" s="1"/>
    </row>
    <row r="8100" spans="7:14" x14ac:dyDescent="0.35">
      <c r="G8100" s="1"/>
      <c r="N8100" s="1"/>
    </row>
    <row r="8101" spans="7:14" x14ac:dyDescent="0.35">
      <c r="G8101" s="1"/>
      <c r="N8101" s="1"/>
    </row>
    <row r="8102" spans="7:14" x14ac:dyDescent="0.35">
      <c r="G8102" s="1"/>
      <c r="N8102" s="1"/>
    </row>
    <row r="8103" spans="7:14" x14ac:dyDescent="0.35">
      <c r="G8103" s="1"/>
      <c r="N8103" s="1"/>
    </row>
    <row r="8104" spans="7:14" x14ac:dyDescent="0.35">
      <c r="G8104" s="1"/>
      <c r="N8104" s="1"/>
    </row>
    <row r="8105" spans="7:14" x14ac:dyDescent="0.35">
      <c r="G8105" s="1"/>
      <c r="N8105" s="1"/>
    </row>
    <row r="8106" spans="7:14" x14ac:dyDescent="0.35">
      <c r="G8106" s="1"/>
      <c r="N8106" s="1"/>
    </row>
    <row r="8107" spans="7:14" x14ac:dyDescent="0.35">
      <c r="G8107" s="1"/>
      <c r="N8107" s="1"/>
    </row>
    <row r="8108" spans="7:14" x14ac:dyDescent="0.35">
      <c r="G8108" s="1"/>
      <c r="N8108" s="1"/>
    </row>
    <row r="8109" spans="7:14" x14ac:dyDescent="0.35">
      <c r="G8109" s="1"/>
      <c r="N8109" s="1"/>
    </row>
    <row r="8110" spans="7:14" x14ac:dyDescent="0.35">
      <c r="G8110" s="1"/>
      <c r="N8110" s="1"/>
    </row>
    <row r="8111" spans="7:14" x14ac:dyDescent="0.35">
      <c r="G8111" s="1"/>
      <c r="N8111" s="1"/>
    </row>
    <row r="8112" spans="7:14" x14ac:dyDescent="0.35">
      <c r="G8112" s="1"/>
      <c r="N8112" s="1"/>
    </row>
    <row r="8113" spans="7:14" x14ac:dyDescent="0.35">
      <c r="G8113" s="1"/>
      <c r="N8113" s="1"/>
    </row>
    <row r="8114" spans="7:14" x14ac:dyDescent="0.35">
      <c r="G8114" s="1"/>
      <c r="N8114" s="1"/>
    </row>
    <row r="8115" spans="7:14" x14ac:dyDescent="0.35">
      <c r="G8115" s="1"/>
      <c r="N8115" s="1"/>
    </row>
    <row r="8116" spans="7:14" x14ac:dyDescent="0.35">
      <c r="G8116" s="1"/>
      <c r="N8116" s="1"/>
    </row>
    <row r="8117" spans="7:14" x14ac:dyDescent="0.35">
      <c r="G8117" s="1"/>
      <c r="N8117" s="1"/>
    </row>
    <row r="8118" spans="7:14" x14ac:dyDescent="0.35">
      <c r="G8118" s="1"/>
      <c r="N8118" s="1"/>
    </row>
    <row r="8119" spans="7:14" x14ac:dyDescent="0.35">
      <c r="G8119" s="1"/>
      <c r="N8119" s="1"/>
    </row>
    <row r="8120" spans="7:14" x14ac:dyDescent="0.35">
      <c r="G8120" s="1"/>
      <c r="N8120" s="1"/>
    </row>
    <row r="8121" spans="7:14" x14ac:dyDescent="0.35">
      <c r="G8121" s="1"/>
      <c r="N8121" s="1"/>
    </row>
    <row r="8122" spans="7:14" x14ac:dyDescent="0.35">
      <c r="G8122" s="1"/>
      <c r="N8122" s="1"/>
    </row>
    <row r="8123" spans="7:14" x14ac:dyDescent="0.35">
      <c r="G8123" s="1"/>
      <c r="N8123" s="1"/>
    </row>
    <row r="8124" spans="7:14" x14ac:dyDescent="0.35">
      <c r="G8124" s="1"/>
      <c r="N8124" s="1"/>
    </row>
    <row r="8125" spans="7:14" x14ac:dyDescent="0.35">
      <c r="G8125" s="1"/>
      <c r="N8125" s="1"/>
    </row>
    <row r="8126" spans="7:14" x14ac:dyDescent="0.35">
      <c r="G8126" s="1"/>
      <c r="N8126" s="1"/>
    </row>
    <row r="8127" spans="7:14" x14ac:dyDescent="0.35">
      <c r="G8127" s="1"/>
      <c r="N8127" s="1"/>
    </row>
    <row r="8128" spans="7:14" x14ac:dyDescent="0.35">
      <c r="G8128" s="1"/>
      <c r="N8128" s="1"/>
    </row>
    <row r="8129" spans="7:14" x14ac:dyDescent="0.35">
      <c r="G8129" s="1"/>
      <c r="N8129" s="1"/>
    </row>
    <row r="8130" spans="7:14" x14ac:dyDescent="0.35">
      <c r="G8130" s="1"/>
      <c r="N8130" s="1"/>
    </row>
    <row r="8131" spans="7:14" x14ac:dyDescent="0.35">
      <c r="G8131" s="1"/>
      <c r="N8131" s="1"/>
    </row>
    <row r="8132" spans="7:14" x14ac:dyDescent="0.35">
      <c r="G8132" s="1"/>
      <c r="N8132" s="1"/>
    </row>
    <row r="8133" spans="7:14" x14ac:dyDescent="0.35">
      <c r="G8133" s="1"/>
      <c r="N8133" s="1"/>
    </row>
    <row r="8134" spans="7:14" x14ac:dyDescent="0.35">
      <c r="G8134" s="1"/>
      <c r="N8134" s="1"/>
    </row>
    <row r="8135" spans="7:14" x14ac:dyDescent="0.35">
      <c r="G8135" s="1"/>
      <c r="N8135" s="1"/>
    </row>
    <row r="8136" spans="7:14" x14ac:dyDescent="0.35">
      <c r="G8136" s="1"/>
      <c r="N8136" s="1"/>
    </row>
    <row r="8137" spans="7:14" x14ac:dyDescent="0.35">
      <c r="G8137" s="1"/>
      <c r="N8137" s="1"/>
    </row>
    <row r="8138" spans="7:14" x14ac:dyDescent="0.35">
      <c r="G8138" s="1"/>
      <c r="N8138" s="1"/>
    </row>
    <row r="8139" spans="7:14" x14ac:dyDescent="0.35">
      <c r="G8139" s="1"/>
      <c r="N8139" s="1"/>
    </row>
    <row r="8140" spans="7:14" x14ac:dyDescent="0.35">
      <c r="G8140" s="1"/>
      <c r="N8140" s="1"/>
    </row>
    <row r="8141" spans="7:14" x14ac:dyDescent="0.35">
      <c r="G8141" s="1"/>
      <c r="N8141" s="1"/>
    </row>
    <row r="8142" spans="7:14" x14ac:dyDescent="0.35">
      <c r="G8142" s="1"/>
      <c r="N8142" s="1"/>
    </row>
    <row r="8143" spans="7:14" x14ac:dyDescent="0.35">
      <c r="G8143" s="1"/>
      <c r="N8143" s="1"/>
    </row>
    <row r="8144" spans="7:14" x14ac:dyDescent="0.35">
      <c r="G8144" s="1"/>
      <c r="N8144" s="1"/>
    </row>
    <row r="8145" spans="7:14" x14ac:dyDescent="0.35">
      <c r="G8145" s="1"/>
      <c r="N8145" s="1"/>
    </row>
    <row r="8146" spans="7:14" x14ac:dyDescent="0.35">
      <c r="G8146" s="1"/>
      <c r="N8146" s="1"/>
    </row>
    <row r="8147" spans="7:14" x14ac:dyDescent="0.35">
      <c r="G8147" s="1"/>
      <c r="N8147" s="1"/>
    </row>
    <row r="8148" spans="7:14" x14ac:dyDescent="0.35">
      <c r="G8148" s="1"/>
      <c r="N8148" s="1"/>
    </row>
    <row r="8149" spans="7:14" x14ac:dyDescent="0.35">
      <c r="G8149" s="1"/>
      <c r="N8149" s="1"/>
    </row>
    <row r="8150" spans="7:14" x14ac:dyDescent="0.35">
      <c r="G8150" s="1"/>
      <c r="N8150" s="1"/>
    </row>
    <row r="8151" spans="7:14" x14ac:dyDescent="0.35">
      <c r="G8151" s="1"/>
      <c r="N8151" s="1"/>
    </row>
    <row r="8152" spans="7:14" x14ac:dyDescent="0.35">
      <c r="G8152" s="1"/>
      <c r="N8152" s="1"/>
    </row>
    <row r="8153" spans="7:14" x14ac:dyDescent="0.35">
      <c r="G8153" s="1"/>
      <c r="N8153" s="1"/>
    </row>
    <row r="8154" spans="7:14" x14ac:dyDescent="0.35">
      <c r="G8154" s="1"/>
      <c r="N8154" s="1"/>
    </row>
    <row r="8155" spans="7:14" x14ac:dyDescent="0.35">
      <c r="G8155" s="1"/>
      <c r="N8155" s="1"/>
    </row>
    <row r="8156" spans="7:14" x14ac:dyDescent="0.35">
      <c r="G8156" s="1"/>
      <c r="N8156" s="1"/>
    </row>
    <row r="8157" spans="7:14" x14ac:dyDescent="0.35">
      <c r="G8157" s="1"/>
      <c r="N8157" s="1"/>
    </row>
    <row r="8158" spans="7:14" x14ac:dyDescent="0.35">
      <c r="G8158" s="1"/>
      <c r="N8158" s="1"/>
    </row>
    <row r="8159" spans="7:14" x14ac:dyDescent="0.35">
      <c r="G8159" s="1"/>
      <c r="N8159" s="1"/>
    </row>
    <row r="8160" spans="7:14" x14ac:dyDescent="0.35">
      <c r="G8160" s="1"/>
      <c r="N8160" s="1"/>
    </row>
    <row r="8161" spans="7:14" x14ac:dyDescent="0.35">
      <c r="G8161" s="1"/>
      <c r="N8161" s="1"/>
    </row>
    <row r="8162" spans="7:14" x14ac:dyDescent="0.35">
      <c r="G8162" s="1"/>
      <c r="N8162" s="1"/>
    </row>
    <row r="8163" spans="7:14" x14ac:dyDescent="0.35">
      <c r="G8163" s="1"/>
      <c r="N8163" s="1"/>
    </row>
    <row r="8164" spans="7:14" x14ac:dyDescent="0.35">
      <c r="G8164" s="1"/>
      <c r="N8164" s="1"/>
    </row>
    <row r="8165" spans="7:14" x14ac:dyDescent="0.35">
      <c r="G8165" s="1"/>
      <c r="N8165" s="1"/>
    </row>
    <row r="8166" spans="7:14" x14ac:dyDescent="0.35">
      <c r="G8166" s="1"/>
      <c r="N8166" s="1"/>
    </row>
    <row r="8167" spans="7:14" x14ac:dyDescent="0.35">
      <c r="G8167" s="1"/>
      <c r="N8167" s="1"/>
    </row>
    <row r="8168" spans="7:14" x14ac:dyDescent="0.35">
      <c r="G8168" s="1"/>
      <c r="N8168" s="1"/>
    </row>
    <row r="8169" spans="7:14" x14ac:dyDescent="0.35">
      <c r="G8169" s="1"/>
      <c r="N8169" s="1"/>
    </row>
    <row r="8170" spans="7:14" x14ac:dyDescent="0.35">
      <c r="G8170" s="1"/>
      <c r="N8170" s="1"/>
    </row>
    <row r="8171" spans="7:14" x14ac:dyDescent="0.35">
      <c r="G8171" s="1"/>
      <c r="N8171" s="1"/>
    </row>
    <row r="8172" spans="7:14" x14ac:dyDescent="0.35">
      <c r="G8172" s="1"/>
      <c r="N8172" s="1"/>
    </row>
    <row r="8173" spans="7:14" x14ac:dyDescent="0.35">
      <c r="G8173" s="1"/>
      <c r="N8173" s="1"/>
    </row>
    <row r="8174" spans="7:14" x14ac:dyDescent="0.35">
      <c r="G8174" s="1"/>
      <c r="N8174" s="1"/>
    </row>
    <row r="8175" spans="7:14" x14ac:dyDescent="0.35">
      <c r="G8175" s="1"/>
      <c r="N8175" s="1"/>
    </row>
    <row r="8176" spans="7:14" x14ac:dyDescent="0.35">
      <c r="G8176" s="1"/>
      <c r="N8176" s="1"/>
    </row>
    <row r="8177" spans="7:14" x14ac:dyDescent="0.35">
      <c r="G8177" s="1"/>
      <c r="N8177" s="1"/>
    </row>
    <row r="8178" spans="7:14" x14ac:dyDescent="0.35">
      <c r="G8178" s="1"/>
      <c r="N8178" s="1"/>
    </row>
    <row r="8179" spans="7:14" x14ac:dyDescent="0.35">
      <c r="G8179" s="1"/>
      <c r="N8179" s="1"/>
    </row>
    <row r="8180" spans="7:14" x14ac:dyDescent="0.35">
      <c r="G8180" s="1"/>
      <c r="N8180" s="1"/>
    </row>
    <row r="8181" spans="7:14" x14ac:dyDescent="0.35">
      <c r="G8181" s="1"/>
      <c r="N8181" s="1"/>
    </row>
    <row r="8182" spans="7:14" x14ac:dyDescent="0.35">
      <c r="G8182" s="1"/>
      <c r="N8182" s="1"/>
    </row>
    <row r="8183" spans="7:14" x14ac:dyDescent="0.35">
      <c r="G8183" s="1"/>
      <c r="N8183" s="1"/>
    </row>
    <row r="8184" spans="7:14" x14ac:dyDescent="0.35">
      <c r="G8184" s="1"/>
      <c r="N8184" s="1"/>
    </row>
    <row r="8185" spans="7:14" x14ac:dyDescent="0.35">
      <c r="G8185" s="1"/>
      <c r="N8185" s="1"/>
    </row>
    <row r="8186" spans="7:14" x14ac:dyDescent="0.35">
      <c r="G8186" s="1"/>
      <c r="N8186" s="1"/>
    </row>
    <row r="8187" spans="7:14" x14ac:dyDescent="0.35">
      <c r="G8187" s="1"/>
      <c r="N8187" s="1"/>
    </row>
    <row r="8188" spans="7:14" x14ac:dyDescent="0.35">
      <c r="G8188" s="1"/>
      <c r="N8188" s="1"/>
    </row>
    <row r="8189" spans="7:14" x14ac:dyDescent="0.35">
      <c r="G8189" s="1"/>
      <c r="N8189" s="1"/>
    </row>
    <row r="8190" spans="7:14" x14ac:dyDescent="0.35">
      <c r="G8190" s="1"/>
      <c r="N8190" s="1"/>
    </row>
    <row r="8191" spans="7:14" x14ac:dyDescent="0.35">
      <c r="G8191" s="1"/>
      <c r="N8191" s="1"/>
    </row>
    <row r="8192" spans="7:14" x14ac:dyDescent="0.35">
      <c r="G8192" s="1"/>
      <c r="N8192" s="1"/>
    </row>
    <row r="8193" spans="7:14" x14ac:dyDescent="0.35">
      <c r="G8193" s="1"/>
      <c r="N8193" s="1"/>
    </row>
    <row r="8194" spans="7:14" x14ac:dyDescent="0.35">
      <c r="G8194" s="1"/>
      <c r="N8194" s="1"/>
    </row>
    <row r="8195" spans="7:14" x14ac:dyDescent="0.35">
      <c r="G8195" s="1"/>
      <c r="N8195" s="1"/>
    </row>
    <row r="8196" spans="7:14" x14ac:dyDescent="0.35">
      <c r="G8196" s="1"/>
      <c r="N8196" s="1"/>
    </row>
    <row r="8197" spans="7:14" x14ac:dyDescent="0.35">
      <c r="G8197" s="1"/>
      <c r="N8197" s="1"/>
    </row>
    <row r="8198" spans="7:14" x14ac:dyDescent="0.35">
      <c r="G8198" s="1"/>
      <c r="N8198" s="1"/>
    </row>
    <row r="8199" spans="7:14" x14ac:dyDescent="0.35">
      <c r="G8199" s="1"/>
      <c r="N8199" s="1"/>
    </row>
    <row r="8200" spans="7:14" x14ac:dyDescent="0.35">
      <c r="G8200" s="1"/>
      <c r="N8200" s="1"/>
    </row>
    <row r="8201" spans="7:14" x14ac:dyDescent="0.35">
      <c r="G8201" s="1"/>
      <c r="N8201" s="1"/>
    </row>
    <row r="8202" spans="7:14" x14ac:dyDescent="0.35">
      <c r="G8202" s="1"/>
      <c r="N8202" s="1"/>
    </row>
    <row r="8203" spans="7:14" x14ac:dyDescent="0.35">
      <c r="G8203" s="1"/>
      <c r="N8203" s="1"/>
    </row>
    <row r="8204" spans="7:14" x14ac:dyDescent="0.35">
      <c r="G8204" s="1"/>
      <c r="N8204" s="1"/>
    </row>
    <row r="8205" spans="7:14" x14ac:dyDescent="0.35">
      <c r="G8205" s="1"/>
      <c r="N8205" s="1"/>
    </row>
    <row r="8206" spans="7:14" x14ac:dyDescent="0.35">
      <c r="G8206" s="1"/>
      <c r="N8206" s="1"/>
    </row>
    <row r="8207" spans="7:14" x14ac:dyDescent="0.35">
      <c r="G8207" s="1"/>
      <c r="N8207" s="1"/>
    </row>
    <row r="8208" spans="7:14" x14ac:dyDescent="0.35">
      <c r="G8208" s="1"/>
      <c r="N8208" s="1"/>
    </row>
    <row r="8209" spans="7:14" x14ac:dyDescent="0.35">
      <c r="G8209" s="1"/>
      <c r="N8209" s="1"/>
    </row>
    <row r="8210" spans="7:14" x14ac:dyDescent="0.35">
      <c r="G8210" s="1"/>
      <c r="N8210" s="1"/>
    </row>
    <row r="8211" spans="7:14" x14ac:dyDescent="0.35">
      <c r="G8211" s="1"/>
      <c r="N8211" s="1"/>
    </row>
    <row r="8212" spans="7:14" x14ac:dyDescent="0.35">
      <c r="G8212" s="1"/>
      <c r="N8212" s="1"/>
    </row>
    <row r="8213" spans="7:14" x14ac:dyDescent="0.35">
      <c r="G8213" s="1"/>
      <c r="N8213" s="1"/>
    </row>
    <row r="8214" spans="7:14" x14ac:dyDescent="0.35">
      <c r="G8214" s="1"/>
      <c r="N8214" s="1"/>
    </row>
    <row r="8215" spans="7:14" x14ac:dyDescent="0.35">
      <c r="G8215" s="1"/>
      <c r="N8215" s="1"/>
    </row>
    <row r="8216" spans="7:14" x14ac:dyDescent="0.35">
      <c r="G8216" s="1"/>
      <c r="N8216" s="1"/>
    </row>
    <row r="8217" spans="7:14" x14ac:dyDescent="0.35">
      <c r="G8217" s="1"/>
      <c r="N8217" s="1"/>
    </row>
    <row r="8218" spans="7:14" x14ac:dyDescent="0.35">
      <c r="G8218" s="1"/>
      <c r="N8218" s="1"/>
    </row>
    <row r="8219" spans="7:14" x14ac:dyDescent="0.35">
      <c r="G8219" s="1"/>
      <c r="N8219" s="1"/>
    </row>
    <row r="8220" spans="7:14" x14ac:dyDescent="0.35">
      <c r="G8220" s="1"/>
      <c r="N8220" s="1"/>
    </row>
    <row r="8221" spans="7:14" x14ac:dyDescent="0.35">
      <c r="G8221" s="1"/>
      <c r="N8221" s="1"/>
    </row>
    <row r="8222" spans="7:14" x14ac:dyDescent="0.35">
      <c r="G8222" s="1"/>
      <c r="N8222" s="1"/>
    </row>
    <row r="8223" spans="7:14" x14ac:dyDescent="0.35">
      <c r="G8223" s="1"/>
      <c r="N8223" s="1"/>
    </row>
    <row r="8224" spans="7:14" x14ac:dyDescent="0.35">
      <c r="G8224" s="1"/>
      <c r="N8224" s="1"/>
    </row>
    <row r="8225" spans="7:14" x14ac:dyDescent="0.35">
      <c r="G8225" s="1"/>
      <c r="N8225" s="1"/>
    </row>
    <row r="8226" spans="7:14" x14ac:dyDescent="0.35">
      <c r="G8226" s="1"/>
      <c r="N8226" s="1"/>
    </row>
    <row r="8227" spans="7:14" x14ac:dyDescent="0.35">
      <c r="G8227" s="1"/>
      <c r="N8227" s="1"/>
    </row>
    <row r="8228" spans="7:14" x14ac:dyDescent="0.35">
      <c r="G8228" s="1"/>
      <c r="N8228" s="1"/>
    </row>
    <row r="8229" spans="7:14" x14ac:dyDescent="0.35">
      <c r="G8229" s="1"/>
      <c r="N8229" s="1"/>
    </row>
    <row r="8230" spans="7:14" x14ac:dyDescent="0.35">
      <c r="G8230" s="1"/>
      <c r="N8230" s="1"/>
    </row>
    <row r="8231" spans="7:14" x14ac:dyDescent="0.35">
      <c r="G8231" s="1"/>
      <c r="N8231" s="1"/>
    </row>
    <row r="8232" spans="7:14" x14ac:dyDescent="0.35">
      <c r="G8232" s="1"/>
      <c r="N8232" s="1"/>
    </row>
    <row r="8233" spans="7:14" x14ac:dyDescent="0.35">
      <c r="G8233" s="1"/>
      <c r="N8233" s="1"/>
    </row>
    <row r="8234" spans="7:14" x14ac:dyDescent="0.35">
      <c r="G8234" s="1"/>
      <c r="N8234" s="1"/>
    </row>
    <row r="8235" spans="7:14" x14ac:dyDescent="0.35">
      <c r="G8235" s="1"/>
      <c r="N8235" s="1"/>
    </row>
    <row r="8236" spans="7:14" x14ac:dyDescent="0.35">
      <c r="G8236" s="1"/>
      <c r="N8236" s="1"/>
    </row>
    <row r="8237" spans="7:14" x14ac:dyDescent="0.35">
      <c r="G8237" s="1"/>
      <c r="N8237" s="1"/>
    </row>
    <row r="8238" spans="7:14" x14ac:dyDescent="0.35">
      <c r="G8238" s="1"/>
      <c r="N8238" s="1"/>
    </row>
    <row r="8239" spans="7:14" x14ac:dyDescent="0.35">
      <c r="G8239" s="1"/>
      <c r="N8239" s="1"/>
    </row>
    <row r="8240" spans="7:14" x14ac:dyDescent="0.35">
      <c r="G8240" s="1"/>
      <c r="N8240" s="1"/>
    </row>
    <row r="8241" spans="7:14" x14ac:dyDescent="0.35">
      <c r="G8241" s="1"/>
      <c r="N8241" s="1"/>
    </row>
    <row r="8242" spans="7:14" x14ac:dyDescent="0.35">
      <c r="G8242" s="1"/>
      <c r="N8242" s="1"/>
    </row>
    <row r="8243" spans="7:14" x14ac:dyDescent="0.35">
      <c r="G8243" s="1"/>
      <c r="N8243" s="1"/>
    </row>
    <row r="8244" spans="7:14" x14ac:dyDescent="0.35">
      <c r="G8244" s="1"/>
      <c r="N8244" s="1"/>
    </row>
    <row r="8245" spans="7:14" x14ac:dyDescent="0.35">
      <c r="G8245" s="1"/>
      <c r="N8245" s="1"/>
    </row>
    <row r="8246" spans="7:14" x14ac:dyDescent="0.35">
      <c r="G8246" s="1"/>
      <c r="N8246" s="1"/>
    </row>
    <row r="8247" spans="7:14" x14ac:dyDescent="0.35">
      <c r="G8247" s="1"/>
      <c r="N8247" s="1"/>
    </row>
    <row r="8248" spans="7:14" x14ac:dyDescent="0.35">
      <c r="G8248" s="1"/>
      <c r="N8248" s="1"/>
    </row>
    <row r="8249" spans="7:14" x14ac:dyDescent="0.35">
      <c r="G8249" s="1"/>
      <c r="N8249" s="1"/>
    </row>
    <row r="8250" spans="7:14" x14ac:dyDescent="0.35">
      <c r="G8250" s="1"/>
      <c r="N8250" s="1"/>
    </row>
    <row r="8251" spans="7:14" x14ac:dyDescent="0.35">
      <c r="G8251" s="1"/>
      <c r="N8251" s="1"/>
    </row>
    <row r="8252" spans="7:14" x14ac:dyDescent="0.35">
      <c r="G8252" s="1"/>
      <c r="N8252" s="1"/>
    </row>
    <row r="8253" spans="7:14" x14ac:dyDescent="0.35">
      <c r="G8253" s="1"/>
      <c r="N8253" s="1"/>
    </row>
    <row r="8254" spans="7:14" x14ac:dyDescent="0.35">
      <c r="G8254" s="1"/>
      <c r="N8254" s="1"/>
    </row>
    <row r="8255" spans="7:14" x14ac:dyDescent="0.35">
      <c r="G8255" s="1"/>
      <c r="N8255" s="1"/>
    </row>
    <row r="8256" spans="7:14" x14ac:dyDescent="0.35">
      <c r="G8256" s="1"/>
      <c r="N8256" s="1"/>
    </row>
    <row r="8257" spans="7:14" x14ac:dyDescent="0.35">
      <c r="G8257" s="1"/>
      <c r="N8257" s="1"/>
    </row>
    <row r="8258" spans="7:14" x14ac:dyDescent="0.35">
      <c r="G8258" s="1"/>
      <c r="N8258" s="1"/>
    </row>
    <row r="8259" spans="7:14" x14ac:dyDescent="0.35">
      <c r="G8259" s="1"/>
      <c r="N8259" s="1"/>
    </row>
    <row r="8260" spans="7:14" x14ac:dyDescent="0.35">
      <c r="G8260" s="1"/>
      <c r="N8260" s="1"/>
    </row>
    <row r="8261" spans="7:14" x14ac:dyDescent="0.35">
      <c r="G8261" s="1"/>
      <c r="N8261" s="1"/>
    </row>
    <row r="8262" spans="7:14" x14ac:dyDescent="0.35">
      <c r="G8262" s="1"/>
      <c r="N8262" s="1"/>
    </row>
    <row r="8263" spans="7:14" x14ac:dyDescent="0.35">
      <c r="G8263" s="1"/>
      <c r="N8263" s="1"/>
    </row>
    <row r="8264" spans="7:14" x14ac:dyDescent="0.35">
      <c r="G8264" s="1"/>
      <c r="N8264" s="1"/>
    </row>
    <row r="8265" spans="7:14" x14ac:dyDescent="0.35">
      <c r="G8265" s="1"/>
      <c r="N8265" s="1"/>
    </row>
    <row r="8266" spans="7:14" x14ac:dyDescent="0.35">
      <c r="G8266" s="1"/>
      <c r="N8266" s="1"/>
    </row>
    <row r="8267" spans="7:14" x14ac:dyDescent="0.35">
      <c r="G8267" s="1"/>
      <c r="N8267" s="1"/>
    </row>
    <row r="8268" spans="7:14" x14ac:dyDescent="0.35">
      <c r="G8268" s="1"/>
      <c r="N8268" s="1"/>
    </row>
    <row r="8269" spans="7:14" x14ac:dyDescent="0.35">
      <c r="G8269" s="1"/>
      <c r="N8269" s="1"/>
    </row>
    <row r="8270" spans="7:14" x14ac:dyDescent="0.35">
      <c r="G8270" s="1"/>
      <c r="N8270" s="1"/>
    </row>
    <row r="8271" spans="7:14" x14ac:dyDescent="0.35">
      <c r="G8271" s="1"/>
      <c r="N8271" s="1"/>
    </row>
    <row r="8272" spans="7:14" x14ac:dyDescent="0.35">
      <c r="G8272" s="1"/>
      <c r="N8272" s="1"/>
    </row>
    <row r="8273" spans="7:14" x14ac:dyDescent="0.35">
      <c r="G8273" s="1"/>
      <c r="N8273" s="1"/>
    </row>
    <row r="8274" spans="7:14" x14ac:dyDescent="0.35">
      <c r="G8274" s="1"/>
      <c r="N8274" s="1"/>
    </row>
    <row r="8275" spans="7:14" x14ac:dyDescent="0.35">
      <c r="G8275" s="1"/>
      <c r="N8275" s="1"/>
    </row>
    <row r="8276" spans="7:14" x14ac:dyDescent="0.35">
      <c r="G8276" s="1"/>
      <c r="N8276" s="1"/>
    </row>
    <row r="8277" spans="7:14" x14ac:dyDescent="0.35">
      <c r="G8277" s="1"/>
      <c r="N8277" s="1"/>
    </row>
    <row r="8278" spans="7:14" x14ac:dyDescent="0.35">
      <c r="G8278" s="1"/>
      <c r="N8278" s="1"/>
    </row>
    <row r="8279" spans="7:14" x14ac:dyDescent="0.35">
      <c r="G8279" s="1"/>
      <c r="N8279" s="1"/>
    </row>
    <row r="8280" spans="7:14" x14ac:dyDescent="0.35">
      <c r="G8280" s="1"/>
      <c r="N8280" s="1"/>
    </row>
    <row r="8281" spans="7:14" x14ac:dyDescent="0.35">
      <c r="G8281" s="1"/>
      <c r="N8281" s="1"/>
    </row>
    <row r="8282" spans="7:14" x14ac:dyDescent="0.35">
      <c r="G8282" s="1"/>
      <c r="N8282" s="1"/>
    </row>
    <row r="8283" spans="7:14" x14ac:dyDescent="0.35">
      <c r="G8283" s="1"/>
      <c r="N8283" s="1"/>
    </row>
    <row r="8284" spans="7:14" x14ac:dyDescent="0.35">
      <c r="G8284" s="1"/>
      <c r="N8284" s="1"/>
    </row>
    <row r="8285" spans="7:14" x14ac:dyDescent="0.35">
      <c r="G8285" s="1"/>
      <c r="N8285" s="1"/>
    </row>
    <row r="8286" spans="7:14" x14ac:dyDescent="0.35">
      <c r="G8286" s="1"/>
      <c r="N8286" s="1"/>
    </row>
    <row r="8287" spans="7:14" x14ac:dyDescent="0.35">
      <c r="G8287" s="1"/>
      <c r="N8287" s="1"/>
    </row>
    <row r="8288" spans="7:14" x14ac:dyDescent="0.35">
      <c r="G8288" s="1"/>
      <c r="N8288" s="1"/>
    </row>
    <row r="8289" spans="7:14" x14ac:dyDescent="0.35">
      <c r="G8289" s="1"/>
      <c r="N8289" s="1"/>
    </row>
    <row r="8290" spans="7:14" x14ac:dyDescent="0.35">
      <c r="G8290" s="1"/>
      <c r="N8290" s="1"/>
    </row>
    <row r="8291" spans="7:14" x14ac:dyDescent="0.35">
      <c r="G8291" s="1"/>
      <c r="N8291" s="1"/>
    </row>
    <row r="8292" spans="7:14" x14ac:dyDescent="0.35">
      <c r="G8292" s="1"/>
      <c r="N8292" s="1"/>
    </row>
    <row r="8293" spans="7:14" x14ac:dyDescent="0.35">
      <c r="G8293" s="1"/>
      <c r="N8293" s="1"/>
    </row>
    <row r="8294" spans="7:14" x14ac:dyDescent="0.35">
      <c r="G8294" s="1"/>
      <c r="N8294" s="1"/>
    </row>
    <row r="8295" spans="7:14" x14ac:dyDescent="0.35">
      <c r="G8295" s="1"/>
      <c r="N8295" s="1"/>
    </row>
    <row r="8296" spans="7:14" x14ac:dyDescent="0.35">
      <c r="G8296" s="1"/>
      <c r="N8296" s="1"/>
    </row>
    <row r="8297" spans="7:14" x14ac:dyDescent="0.35">
      <c r="G8297" s="1"/>
      <c r="N8297" s="1"/>
    </row>
    <row r="8298" spans="7:14" x14ac:dyDescent="0.35">
      <c r="G8298" s="1"/>
      <c r="N8298" s="1"/>
    </row>
    <row r="8299" spans="7:14" x14ac:dyDescent="0.35">
      <c r="G8299" s="1"/>
      <c r="N8299" s="1"/>
    </row>
    <row r="8300" spans="7:14" x14ac:dyDescent="0.35">
      <c r="G8300" s="1"/>
      <c r="N8300" s="1"/>
    </row>
    <row r="8301" spans="7:14" x14ac:dyDescent="0.35">
      <c r="G8301" s="1"/>
      <c r="N8301" s="1"/>
    </row>
    <row r="8302" spans="7:14" x14ac:dyDescent="0.35">
      <c r="G8302" s="1"/>
      <c r="N8302" s="1"/>
    </row>
    <row r="8303" spans="7:14" x14ac:dyDescent="0.35">
      <c r="G8303" s="1"/>
      <c r="N8303" s="1"/>
    </row>
    <row r="8304" spans="7:14" x14ac:dyDescent="0.35">
      <c r="G8304" s="1"/>
      <c r="N8304" s="1"/>
    </row>
    <row r="8305" spans="7:14" x14ac:dyDescent="0.35">
      <c r="G8305" s="1"/>
      <c r="N8305" s="1"/>
    </row>
    <row r="8306" spans="7:14" x14ac:dyDescent="0.35">
      <c r="G8306" s="1"/>
      <c r="N8306" s="1"/>
    </row>
    <row r="8307" spans="7:14" x14ac:dyDescent="0.35">
      <c r="G8307" s="1"/>
      <c r="N8307" s="1"/>
    </row>
    <row r="8308" spans="7:14" x14ac:dyDescent="0.35">
      <c r="G8308" s="1"/>
      <c r="N8308" s="1"/>
    </row>
    <row r="8309" spans="7:14" x14ac:dyDescent="0.35">
      <c r="G8309" s="1"/>
      <c r="N8309" s="1"/>
    </row>
    <row r="8310" spans="7:14" x14ac:dyDescent="0.35">
      <c r="G8310" s="1"/>
      <c r="N8310" s="1"/>
    </row>
    <row r="8311" spans="7:14" x14ac:dyDescent="0.35">
      <c r="G8311" s="1"/>
      <c r="N8311" s="1"/>
    </row>
    <row r="8312" spans="7:14" x14ac:dyDescent="0.35">
      <c r="G8312" s="1"/>
      <c r="N8312" s="1"/>
    </row>
    <row r="8313" spans="7:14" x14ac:dyDescent="0.35">
      <c r="G8313" s="1"/>
      <c r="N8313" s="1"/>
    </row>
    <row r="8314" spans="7:14" x14ac:dyDescent="0.35">
      <c r="G8314" s="1"/>
      <c r="N8314" s="1"/>
    </row>
    <row r="8315" spans="7:14" x14ac:dyDescent="0.35">
      <c r="G8315" s="1"/>
      <c r="N8315" s="1"/>
    </row>
    <row r="8316" spans="7:14" x14ac:dyDescent="0.35">
      <c r="G8316" s="1"/>
      <c r="N8316" s="1"/>
    </row>
    <row r="8317" spans="7:14" x14ac:dyDescent="0.35">
      <c r="G8317" s="1"/>
      <c r="N8317" s="1"/>
    </row>
    <row r="8318" spans="7:14" x14ac:dyDescent="0.35">
      <c r="G8318" s="1"/>
      <c r="N8318" s="1"/>
    </row>
    <row r="8319" spans="7:14" x14ac:dyDescent="0.35">
      <c r="G8319" s="1"/>
      <c r="N8319" s="1"/>
    </row>
    <row r="8320" spans="7:14" x14ac:dyDescent="0.35">
      <c r="G8320" s="1"/>
      <c r="N8320" s="1"/>
    </row>
    <row r="8321" spans="7:14" x14ac:dyDescent="0.35">
      <c r="G8321" s="1"/>
      <c r="N8321" s="1"/>
    </row>
    <row r="8322" spans="7:14" x14ac:dyDescent="0.35">
      <c r="G8322" s="1"/>
      <c r="N8322" s="1"/>
    </row>
    <row r="8323" spans="7:14" x14ac:dyDescent="0.35">
      <c r="G8323" s="1"/>
      <c r="N8323" s="1"/>
    </row>
    <row r="8324" spans="7:14" x14ac:dyDescent="0.35">
      <c r="G8324" s="1"/>
      <c r="N8324" s="1"/>
    </row>
    <row r="8325" spans="7:14" x14ac:dyDescent="0.35">
      <c r="G8325" s="1"/>
      <c r="N8325" s="1"/>
    </row>
    <row r="8326" spans="7:14" x14ac:dyDescent="0.35">
      <c r="G8326" s="1"/>
      <c r="N8326" s="1"/>
    </row>
    <row r="8327" spans="7:14" x14ac:dyDescent="0.35">
      <c r="G8327" s="1"/>
      <c r="N8327" s="1"/>
    </row>
    <row r="8328" spans="7:14" x14ac:dyDescent="0.35">
      <c r="G8328" s="1"/>
      <c r="N8328" s="1"/>
    </row>
    <row r="8329" spans="7:14" x14ac:dyDescent="0.35">
      <c r="G8329" s="1"/>
      <c r="N8329" s="1"/>
    </row>
    <row r="8330" spans="7:14" x14ac:dyDescent="0.35">
      <c r="G8330" s="1"/>
      <c r="N8330" s="1"/>
    </row>
    <row r="8331" spans="7:14" x14ac:dyDescent="0.35">
      <c r="G8331" s="1"/>
      <c r="N8331" s="1"/>
    </row>
    <row r="8332" spans="7:14" x14ac:dyDescent="0.35">
      <c r="G8332" s="1"/>
      <c r="N8332" s="1"/>
    </row>
    <row r="8333" spans="7:14" x14ac:dyDescent="0.35">
      <c r="G8333" s="1"/>
      <c r="N8333" s="1"/>
    </row>
    <row r="8334" spans="7:14" x14ac:dyDescent="0.35">
      <c r="G8334" s="1"/>
      <c r="N8334" s="1"/>
    </row>
    <row r="8335" spans="7:14" x14ac:dyDescent="0.35">
      <c r="G8335" s="1"/>
      <c r="N8335" s="1"/>
    </row>
    <row r="8336" spans="7:14" x14ac:dyDescent="0.35">
      <c r="G8336" s="1"/>
      <c r="N8336" s="1"/>
    </row>
    <row r="8337" spans="7:14" x14ac:dyDescent="0.35">
      <c r="G8337" s="1"/>
      <c r="N8337" s="1"/>
    </row>
    <row r="8338" spans="7:14" x14ac:dyDescent="0.35">
      <c r="G8338" s="1"/>
      <c r="N8338" s="1"/>
    </row>
    <row r="8339" spans="7:14" x14ac:dyDescent="0.35">
      <c r="G8339" s="1"/>
      <c r="N8339" s="1"/>
    </row>
    <row r="8340" spans="7:14" x14ac:dyDescent="0.35">
      <c r="G8340" s="1"/>
      <c r="N8340" s="1"/>
    </row>
    <row r="8341" spans="7:14" x14ac:dyDescent="0.35">
      <c r="G8341" s="1"/>
      <c r="N8341" s="1"/>
    </row>
    <row r="8342" spans="7:14" x14ac:dyDescent="0.35">
      <c r="G8342" s="1"/>
      <c r="N8342" s="1"/>
    </row>
    <row r="8343" spans="7:14" x14ac:dyDescent="0.35">
      <c r="G8343" s="1"/>
      <c r="N8343" s="1"/>
    </row>
    <row r="8344" spans="7:14" x14ac:dyDescent="0.35">
      <c r="G8344" s="1"/>
      <c r="N8344" s="1"/>
    </row>
    <row r="8345" spans="7:14" x14ac:dyDescent="0.35">
      <c r="G8345" s="1"/>
      <c r="N8345" s="1"/>
    </row>
    <row r="8346" spans="7:14" x14ac:dyDescent="0.35">
      <c r="G8346" s="1"/>
      <c r="N8346" s="1"/>
    </row>
    <row r="8347" spans="7:14" x14ac:dyDescent="0.35">
      <c r="G8347" s="1"/>
      <c r="N8347" s="1"/>
    </row>
    <row r="8348" spans="7:14" x14ac:dyDescent="0.35">
      <c r="G8348" s="1"/>
      <c r="N8348" s="1"/>
    </row>
    <row r="8349" spans="7:14" x14ac:dyDescent="0.35">
      <c r="G8349" s="1"/>
      <c r="N8349" s="1"/>
    </row>
    <row r="8350" spans="7:14" x14ac:dyDescent="0.35">
      <c r="G8350" s="1"/>
      <c r="N8350" s="1"/>
    </row>
    <row r="8351" spans="7:14" x14ac:dyDescent="0.35">
      <c r="G8351" s="1"/>
      <c r="N8351" s="1"/>
    </row>
    <row r="8352" spans="7:14" x14ac:dyDescent="0.35">
      <c r="G8352" s="1"/>
      <c r="N8352" s="1"/>
    </row>
    <row r="8353" spans="7:14" x14ac:dyDescent="0.35">
      <c r="G8353" s="1"/>
      <c r="N8353" s="1"/>
    </row>
    <row r="8354" spans="7:14" x14ac:dyDescent="0.35">
      <c r="G8354" s="1"/>
      <c r="N8354" s="1"/>
    </row>
    <row r="8355" spans="7:14" x14ac:dyDescent="0.35">
      <c r="G8355" s="1"/>
      <c r="N8355" s="1"/>
    </row>
    <row r="8356" spans="7:14" x14ac:dyDescent="0.35">
      <c r="G8356" s="1"/>
      <c r="N8356" s="1"/>
    </row>
    <row r="8357" spans="7:14" x14ac:dyDescent="0.35">
      <c r="G8357" s="1"/>
      <c r="N8357" s="1"/>
    </row>
    <row r="8358" spans="7:14" x14ac:dyDescent="0.35">
      <c r="G8358" s="1"/>
      <c r="N8358" s="1"/>
    </row>
    <row r="8359" spans="7:14" x14ac:dyDescent="0.35">
      <c r="G8359" s="1"/>
      <c r="N8359" s="1"/>
    </row>
    <row r="8360" spans="7:14" x14ac:dyDescent="0.35">
      <c r="G8360" s="1"/>
      <c r="N8360" s="1"/>
    </row>
    <row r="8361" spans="7:14" x14ac:dyDescent="0.35">
      <c r="G8361" s="1"/>
      <c r="N8361" s="1"/>
    </row>
    <row r="8362" spans="7:14" x14ac:dyDescent="0.35">
      <c r="G8362" s="1"/>
      <c r="N8362" s="1"/>
    </row>
    <row r="8363" spans="7:14" x14ac:dyDescent="0.35">
      <c r="G8363" s="1"/>
      <c r="N8363" s="1"/>
    </row>
    <row r="8364" spans="7:14" x14ac:dyDescent="0.35">
      <c r="G8364" s="1"/>
      <c r="N8364" s="1"/>
    </row>
    <row r="8365" spans="7:14" x14ac:dyDescent="0.35">
      <c r="G8365" s="1"/>
      <c r="N8365" s="1"/>
    </row>
    <row r="8366" spans="7:14" x14ac:dyDescent="0.35">
      <c r="G8366" s="1"/>
      <c r="N8366" s="1"/>
    </row>
    <row r="8367" spans="7:14" x14ac:dyDescent="0.35">
      <c r="G8367" s="1"/>
      <c r="N8367" s="1"/>
    </row>
    <row r="8368" spans="7:14" x14ac:dyDescent="0.35">
      <c r="G8368" s="1"/>
      <c r="N8368" s="1"/>
    </row>
    <row r="8369" spans="7:14" x14ac:dyDescent="0.35">
      <c r="G8369" s="1"/>
      <c r="N8369" s="1"/>
    </row>
    <row r="8370" spans="7:14" x14ac:dyDescent="0.35">
      <c r="G8370" s="1"/>
      <c r="N8370" s="1"/>
    </row>
    <row r="8371" spans="7:14" x14ac:dyDescent="0.35">
      <c r="G8371" s="1"/>
      <c r="N8371" s="1"/>
    </row>
    <row r="8372" spans="7:14" x14ac:dyDescent="0.35">
      <c r="G8372" s="1"/>
      <c r="N8372" s="1"/>
    </row>
    <row r="8373" spans="7:14" x14ac:dyDescent="0.35">
      <c r="G8373" s="1"/>
      <c r="N8373" s="1"/>
    </row>
    <row r="8374" spans="7:14" x14ac:dyDescent="0.35">
      <c r="G8374" s="1"/>
      <c r="N8374" s="1"/>
    </row>
    <row r="8375" spans="7:14" x14ac:dyDescent="0.35">
      <c r="G8375" s="1"/>
      <c r="N8375" s="1"/>
    </row>
    <row r="8376" spans="7:14" x14ac:dyDescent="0.35">
      <c r="G8376" s="1"/>
      <c r="N8376" s="1"/>
    </row>
    <row r="8377" spans="7:14" x14ac:dyDescent="0.35">
      <c r="G8377" s="1"/>
      <c r="N8377" s="1"/>
    </row>
    <row r="8378" spans="7:14" x14ac:dyDescent="0.35">
      <c r="G8378" s="1"/>
      <c r="N8378" s="1"/>
    </row>
    <row r="8379" spans="7:14" x14ac:dyDescent="0.35">
      <c r="G8379" s="1"/>
      <c r="N8379" s="1"/>
    </row>
    <row r="8380" spans="7:14" x14ac:dyDescent="0.35">
      <c r="G8380" s="1"/>
      <c r="N8380" s="1"/>
    </row>
    <row r="8381" spans="7:14" x14ac:dyDescent="0.35">
      <c r="G8381" s="1"/>
      <c r="N8381" s="1"/>
    </row>
    <row r="8382" spans="7:14" x14ac:dyDescent="0.35">
      <c r="G8382" s="1"/>
      <c r="N8382" s="1"/>
    </row>
    <row r="8383" spans="7:14" x14ac:dyDescent="0.35">
      <c r="G8383" s="1"/>
      <c r="N8383" s="1"/>
    </row>
    <row r="8384" spans="7:14" x14ac:dyDescent="0.35">
      <c r="G8384" s="1"/>
      <c r="N8384" s="1"/>
    </row>
    <row r="8385" spans="7:14" x14ac:dyDescent="0.35">
      <c r="G8385" s="1"/>
      <c r="N8385" s="1"/>
    </row>
    <row r="8386" spans="7:14" x14ac:dyDescent="0.35">
      <c r="G8386" s="1"/>
      <c r="N8386" s="1"/>
    </row>
    <row r="8387" spans="7:14" x14ac:dyDescent="0.35">
      <c r="G8387" s="1"/>
      <c r="N8387" s="1"/>
    </row>
    <row r="8388" spans="7:14" x14ac:dyDescent="0.35">
      <c r="G8388" s="1"/>
      <c r="N8388" s="1"/>
    </row>
    <row r="8389" spans="7:14" x14ac:dyDescent="0.35">
      <c r="G8389" s="1"/>
      <c r="N8389" s="1"/>
    </row>
    <row r="8390" spans="7:14" x14ac:dyDescent="0.35">
      <c r="G8390" s="1"/>
      <c r="N8390" s="1"/>
    </row>
    <row r="8391" spans="7:14" x14ac:dyDescent="0.35">
      <c r="G8391" s="1"/>
      <c r="N8391" s="1"/>
    </row>
    <row r="8392" spans="7:14" x14ac:dyDescent="0.35">
      <c r="G8392" s="1"/>
      <c r="N8392" s="1"/>
    </row>
    <row r="8393" spans="7:14" x14ac:dyDescent="0.35">
      <c r="G8393" s="1"/>
      <c r="N8393" s="1"/>
    </row>
    <row r="8394" spans="7:14" x14ac:dyDescent="0.35">
      <c r="G8394" s="1"/>
      <c r="N8394" s="1"/>
    </row>
    <row r="8395" spans="7:14" x14ac:dyDescent="0.35">
      <c r="G8395" s="1"/>
      <c r="N8395" s="1"/>
    </row>
    <row r="8396" spans="7:14" x14ac:dyDescent="0.35">
      <c r="G8396" s="1"/>
      <c r="N8396" s="1"/>
    </row>
    <row r="8397" spans="7:14" x14ac:dyDescent="0.35">
      <c r="G8397" s="1"/>
      <c r="N8397" s="1"/>
    </row>
    <row r="8398" spans="7:14" x14ac:dyDescent="0.35">
      <c r="G8398" s="1"/>
      <c r="N8398" s="1"/>
    </row>
    <row r="8399" spans="7:14" x14ac:dyDescent="0.35">
      <c r="G8399" s="1"/>
      <c r="N8399" s="1"/>
    </row>
    <row r="8400" spans="7:14" x14ac:dyDescent="0.35">
      <c r="G8400" s="1"/>
      <c r="N8400" s="1"/>
    </row>
    <row r="8401" spans="7:14" x14ac:dyDescent="0.35">
      <c r="G8401" s="1"/>
      <c r="N8401" s="1"/>
    </row>
    <row r="8402" spans="7:14" x14ac:dyDescent="0.35">
      <c r="G8402" s="1"/>
      <c r="N8402" s="1"/>
    </row>
    <row r="8403" spans="7:14" x14ac:dyDescent="0.35">
      <c r="G8403" s="1"/>
      <c r="N8403" s="1"/>
    </row>
    <row r="8404" spans="7:14" x14ac:dyDescent="0.35">
      <c r="G8404" s="1"/>
      <c r="N8404" s="1"/>
    </row>
    <row r="8405" spans="7:14" x14ac:dyDescent="0.35">
      <c r="G8405" s="1"/>
      <c r="N8405" s="1"/>
    </row>
    <row r="8406" spans="7:14" x14ac:dyDescent="0.35">
      <c r="G8406" s="1"/>
      <c r="N8406" s="1"/>
    </row>
    <row r="8407" spans="7:14" x14ac:dyDescent="0.35">
      <c r="G8407" s="1"/>
      <c r="N8407" s="1"/>
    </row>
    <row r="8408" spans="7:14" x14ac:dyDescent="0.35">
      <c r="G8408" s="1"/>
      <c r="N8408" s="1"/>
    </row>
    <row r="8409" spans="7:14" x14ac:dyDescent="0.35">
      <c r="G8409" s="1"/>
      <c r="N8409" s="1"/>
    </row>
    <row r="8410" spans="7:14" x14ac:dyDescent="0.35">
      <c r="G8410" s="1"/>
      <c r="N8410" s="1"/>
    </row>
    <row r="8411" spans="7:14" x14ac:dyDescent="0.35">
      <c r="G8411" s="1"/>
      <c r="N8411" s="1"/>
    </row>
    <row r="8412" spans="7:14" x14ac:dyDescent="0.35">
      <c r="G8412" s="1"/>
      <c r="N8412" s="1"/>
    </row>
    <row r="8413" spans="7:14" x14ac:dyDescent="0.35">
      <c r="G8413" s="1"/>
      <c r="N8413" s="1"/>
    </row>
    <row r="8414" spans="7:14" x14ac:dyDescent="0.35">
      <c r="G8414" s="1"/>
      <c r="N8414" s="1"/>
    </row>
    <row r="8415" spans="7:14" x14ac:dyDescent="0.35">
      <c r="G8415" s="1"/>
      <c r="N8415" s="1"/>
    </row>
    <row r="8416" spans="7:14" x14ac:dyDescent="0.35">
      <c r="G8416" s="1"/>
      <c r="N8416" s="1"/>
    </row>
    <row r="8417" spans="7:14" x14ac:dyDescent="0.35">
      <c r="G8417" s="1"/>
      <c r="N8417" s="1"/>
    </row>
    <row r="8418" spans="7:14" x14ac:dyDescent="0.35">
      <c r="G8418" s="1"/>
      <c r="N8418" s="1"/>
    </row>
    <row r="8419" spans="7:14" x14ac:dyDescent="0.35">
      <c r="G8419" s="1"/>
      <c r="N8419" s="1"/>
    </row>
    <row r="8420" spans="7:14" x14ac:dyDescent="0.35">
      <c r="G8420" s="1"/>
      <c r="N8420" s="1"/>
    </row>
    <row r="8421" spans="7:14" x14ac:dyDescent="0.35">
      <c r="G8421" s="1"/>
      <c r="N8421" s="1"/>
    </row>
    <row r="8422" spans="7:14" x14ac:dyDescent="0.35">
      <c r="G8422" s="1"/>
      <c r="N8422" s="1"/>
    </row>
    <row r="8423" spans="7:14" x14ac:dyDescent="0.35">
      <c r="G8423" s="1"/>
      <c r="N8423" s="1"/>
    </row>
    <row r="8424" spans="7:14" x14ac:dyDescent="0.35">
      <c r="G8424" s="1"/>
      <c r="N8424" s="1"/>
    </row>
    <row r="8425" spans="7:14" x14ac:dyDescent="0.35">
      <c r="G8425" s="1"/>
      <c r="N8425" s="1"/>
    </row>
    <row r="8426" spans="7:14" x14ac:dyDescent="0.35">
      <c r="G8426" s="1"/>
      <c r="N8426" s="1"/>
    </row>
    <row r="8427" spans="7:14" x14ac:dyDescent="0.35">
      <c r="G8427" s="1"/>
      <c r="N8427" s="1"/>
    </row>
    <row r="8428" spans="7:14" x14ac:dyDescent="0.35">
      <c r="G8428" s="1"/>
      <c r="N8428" s="1"/>
    </row>
    <row r="8429" spans="7:14" x14ac:dyDescent="0.35">
      <c r="G8429" s="1"/>
      <c r="N8429" s="1"/>
    </row>
    <row r="8430" spans="7:14" x14ac:dyDescent="0.35">
      <c r="G8430" s="1"/>
      <c r="N8430" s="1"/>
    </row>
    <row r="8431" spans="7:14" x14ac:dyDescent="0.35">
      <c r="G8431" s="1"/>
      <c r="N8431" s="1"/>
    </row>
    <row r="8432" spans="7:14" x14ac:dyDescent="0.35">
      <c r="G8432" s="1"/>
      <c r="N8432" s="1"/>
    </row>
    <row r="8433" spans="7:14" x14ac:dyDescent="0.35">
      <c r="G8433" s="1"/>
      <c r="N8433" s="1"/>
    </row>
    <row r="8434" spans="7:14" x14ac:dyDescent="0.35">
      <c r="G8434" s="1"/>
      <c r="N8434" s="1"/>
    </row>
    <row r="8435" spans="7:14" x14ac:dyDescent="0.35">
      <c r="G8435" s="1"/>
      <c r="N8435" s="1"/>
    </row>
    <row r="8436" spans="7:14" x14ac:dyDescent="0.35">
      <c r="G8436" s="1"/>
      <c r="N8436" s="1"/>
    </row>
    <row r="8437" spans="7:14" x14ac:dyDescent="0.35">
      <c r="G8437" s="1"/>
      <c r="N8437" s="1"/>
    </row>
    <row r="8438" spans="7:14" x14ac:dyDescent="0.35">
      <c r="G8438" s="1"/>
      <c r="N8438" s="1"/>
    </row>
    <row r="8439" spans="7:14" x14ac:dyDescent="0.35">
      <c r="G8439" s="1"/>
      <c r="N8439" s="1"/>
    </row>
    <row r="8440" spans="7:14" x14ac:dyDescent="0.35">
      <c r="G8440" s="1"/>
      <c r="N8440" s="1"/>
    </row>
    <row r="8441" spans="7:14" x14ac:dyDescent="0.35">
      <c r="G8441" s="1"/>
      <c r="N8441" s="1"/>
    </row>
    <row r="8442" spans="7:14" x14ac:dyDescent="0.35">
      <c r="G8442" s="1"/>
      <c r="N8442" s="1"/>
    </row>
    <row r="8443" spans="7:14" x14ac:dyDescent="0.35">
      <c r="G8443" s="1"/>
      <c r="N8443" s="1"/>
    </row>
    <row r="8444" spans="7:14" x14ac:dyDescent="0.35">
      <c r="G8444" s="1"/>
      <c r="N8444" s="1"/>
    </row>
    <row r="8445" spans="7:14" x14ac:dyDescent="0.35">
      <c r="G8445" s="1"/>
      <c r="N8445" s="1"/>
    </row>
    <row r="8446" spans="7:14" x14ac:dyDescent="0.35">
      <c r="G8446" s="1"/>
      <c r="N8446" s="1"/>
    </row>
    <row r="8447" spans="7:14" x14ac:dyDescent="0.35">
      <c r="G8447" s="1"/>
      <c r="N8447" s="1"/>
    </row>
    <row r="8448" spans="7:14" x14ac:dyDescent="0.35">
      <c r="G8448" s="1"/>
      <c r="N8448" s="1"/>
    </row>
    <row r="8449" spans="7:14" x14ac:dyDescent="0.35">
      <c r="G8449" s="1"/>
      <c r="N8449" s="1"/>
    </row>
    <row r="8450" spans="7:14" x14ac:dyDescent="0.35">
      <c r="G8450" s="1"/>
      <c r="N8450" s="1"/>
    </row>
    <row r="8451" spans="7:14" x14ac:dyDescent="0.35">
      <c r="G8451" s="1"/>
      <c r="N8451" s="1"/>
    </row>
    <row r="8452" spans="7:14" x14ac:dyDescent="0.35">
      <c r="G8452" s="1"/>
      <c r="N8452" s="1"/>
    </row>
    <row r="8453" spans="7:14" x14ac:dyDescent="0.35">
      <c r="G8453" s="1"/>
      <c r="N8453" s="1"/>
    </row>
    <row r="8454" spans="7:14" x14ac:dyDescent="0.35">
      <c r="G8454" s="1"/>
      <c r="N8454" s="1"/>
    </row>
    <row r="8455" spans="7:14" x14ac:dyDescent="0.35">
      <c r="G8455" s="1"/>
      <c r="N8455" s="1"/>
    </row>
    <row r="8456" spans="7:14" x14ac:dyDescent="0.35">
      <c r="G8456" s="1"/>
      <c r="N8456" s="1"/>
    </row>
    <row r="8457" spans="7:14" x14ac:dyDescent="0.35">
      <c r="G8457" s="1"/>
      <c r="N8457" s="1"/>
    </row>
    <row r="8458" spans="7:14" x14ac:dyDescent="0.35">
      <c r="G8458" s="1"/>
      <c r="N8458" s="1"/>
    </row>
    <row r="8459" spans="7:14" x14ac:dyDescent="0.35">
      <c r="G8459" s="1"/>
      <c r="N8459" s="1"/>
    </row>
    <row r="8460" spans="7:14" x14ac:dyDescent="0.35">
      <c r="G8460" s="1"/>
      <c r="N8460" s="1"/>
    </row>
    <row r="8461" spans="7:14" x14ac:dyDescent="0.35">
      <c r="G8461" s="1"/>
      <c r="N8461" s="1"/>
    </row>
    <row r="8462" spans="7:14" x14ac:dyDescent="0.35">
      <c r="G8462" s="1"/>
      <c r="N8462" s="1"/>
    </row>
    <row r="8463" spans="7:14" x14ac:dyDescent="0.35">
      <c r="G8463" s="1"/>
      <c r="N8463" s="1"/>
    </row>
    <row r="8464" spans="7:14" x14ac:dyDescent="0.35">
      <c r="G8464" s="1"/>
      <c r="N8464" s="1"/>
    </row>
    <row r="8465" spans="7:14" x14ac:dyDescent="0.35">
      <c r="G8465" s="1"/>
      <c r="N8465" s="1"/>
    </row>
    <row r="8466" spans="7:14" x14ac:dyDescent="0.35">
      <c r="G8466" s="1"/>
      <c r="N8466" s="1"/>
    </row>
    <row r="8467" spans="7:14" x14ac:dyDescent="0.35">
      <c r="G8467" s="1"/>
      <c r="N8467" s="1"/>
    </row>
    <row r="8468" spans="7:14" x14ac:dyDescent="0.35">
      <c r="G8468" s="1"/>
      <c r="N8468" s="1"/>
    </row>
    <row r="8469" spans="7:14" x14ac:dyDescent="0.35">
      <c r="G8469" s="1"/>
      <c r="N8469" s="1"/>
    </row>
    <row r="8470" spans="7:14" x14ac:dyDescent="0.35">
      <c r="G8470" s="1"/>
      <c r="N8470" s="1"/>
    </row>
    <row r="8471" spans="7:14" x14ac:dyDescent="0.35">
      <c r="G8471" s="1"/>
      <c r="N8471" s="1"/>
    </row>
    <row r="8472" spans="7:14" x14ac:dyDescent="0.35">
      <c r="G8472" s="1"/>
      <c r="N8472" s="1"/>
    </row>
    <row r="8473" spans="7:14" x14ac:dyDescent="0.35">
      <c r="G8473" s="1"/>
      <c r="N8473" s="1"/>
    </row>
    <row r="8474" spans="7:14" x14ac:dyDescent="0.35">
      <c r="G8474" s="1"/>
      <c r="N8474" s="1"/>
    </row>
    <row r="8475" spans="7:14" x14ac:dyDescent="0.35">
      <c r="G8475" s="1"/>
      <c r="N8475" s="1"/>
    </row>
    <row r="8476" spans="7:14" x14ac:dyDescent="0.35">
      <c r="G8476" s="1"/>
      <c r="N8476" s="1"/>
    </row>
    <row r="8477" spans="7:14" x14ac:dyDescent="0.35">
      <c r="G8477" s="1"/>
      <c r="N8477" s="1"/>
    </row>
    <row r="8478" spans="7:14" x14ac:dyDescent="0.35">
      <c r="G8478" s="1"/>
      <c r="N8478" s="1"/>
    </row>
    <row r="8479" spans="7:14" x14ac:dyDescent="0.35">
      <c r="G8479" s="1"/>
      <c r="N8479" s="1"/>
    </row>
    <row r="8480" spans="7:14" x14ac:dyDescent="0.35">
      <c r="G8480" s="1"/>
      <c r="N8480" s="1"/>
    </row>
    <row r="8481" spans="7:14" x14ac:dyDescent="0.35">
      <c r="G8481" s="1"/>
      <c r="N8481" s="1"/>
    </row>
    <row r="8482" spans="7:14" x14ac:dyDescent="0.35">
      <c r="G8482" s="1"/>
      <c r="N8482" s="1"/>
    </row>
    <row r="8483" spans="7:14" x14ac:dyDescent="0.35">
      <c r="G8483" s="1"/>
      <c r="N8483" s="1"/>
    </row>
    <row r="8484" spans="7:14" x14ac:dyDescent="0.35">
      <c r="G8484" s="1"/>
      <c r="N8484" s="1"/>
    </row>
    <row r="8485" spans="7:14" x14ac:dyDescent="0.35">
      <c r="G8485" s="1"/>
      <c r="N8485" s="1"/>
    </row>
    <row r="8486" spans="7:14" x14ac:dyDescent="0.35">
      <c r="G8486" s="1"/>
      <c r="N8486" s="1"/>
    </row>
    <row r="8487" spans="7:14" x14ac:dyDescent="0.35">
      <c r="G8487" s="1"/>
      <c r="N8487" s="1"/>
    </row>
    <row r="8488" spans="7:14" x14ac:dyDescent="0.35">
      <c r="G8488" s="1"/>
      <c r="N8488" s="1"/>
    </row>
    <row r="8489" spans="7:14" x14ac:dyDescent="0.35">
      <c r="G8489" s="1"/>
      <c r="N8489" s="1"/>
    </row>
    <row r="8490" spans="7:14" x14ac:dyDescent="0.35">
      <c r="G8490" s="1"/>
      <c r="N8490" s="1"/>
    </row>
    <row r="8491" spans="7:14" x14ac:dyDescent="0.35">
      <c r="G8491" s="1"/>
      <c r="N8491" s="1"/>
    </row>
    <row r="8492" spans="7:14" x14ac:dyDescent="0.35">
      <c r="G8492" s="1"/>
      <c r="N8492" s="1"/>
    </row>
    <row r="8493" spans="7:14" x14ac:dyDescent="0.35">
      <c r="G8493" s="1"/>
      <c r="N8493" s="1"/>
    </row>
    <row r="8494" spans="7:14" x14ac:dyDescent="0.35">
      <c r="G8494" s="1"/>
      <c r="N8494" s="1"/>
    </row>
    <row r="8495" spans="7:14" x14ac:dyDescent="0.35">
      <c r="G8495" s="1"/>
      <c r="N8495" s="1"/>
    </row>
    <row r="8496" spans="7:14" x14ac:dyDescent="0.35">
      <c r="G8496" s="1"/>
      <c r="N8496" s="1"/>
    </row>
    <row r="8497" spans="7:14" x14ac:dyDescent="0.35">
      <c r="G8497" s="1"/>
      <c r="N8497" s="1"/>
    </row>
    <row r="8498" spans="7:14" x14ac:dyDescent="0.35">
      <c r="G8498" s="1"/>
      <c r="N8498" s="1"/>
    </row>
    <row r="8499" spans="7:14" x14ac:dyDescent="0.35">
      <c r="G8499" s="1"/>
      <c r="N8499" s="1"/>
    </row>
    <row r="8500" spans="7:14" x14ac:dyDescent="0.35">
      <c r="G8500" s="1"/>
      <c r="N8500" s="1"/>
    </row>
    <row r="8501" spans="7:14" x14ac:dyDescent="0.35">
      <c r="G8501" s="1"/>
      <c r="N8501" s="1"/>
    </row>
    <row r="8502" spans="7:14" x14ac:dyDescent="0.35">
      <c r="G8502" s="1"/>
      <c r="N8502" s="1"/>
    </row>
    <row r="8503" spans="7:14" x14ac:dyDescent="0.35">
      <c r="G8503" s="1"/>
      <c r="N8503" s="1"/>
    </row>
    <row r="8504" spans="7:14" x14ac:dyDescent="0.35">
      <c r="G8504" s="1"/>
      <c r="N8504" s="1"/>
    </row>
    <row r="8505" spans="7:14" x14ac:dyDescent="0.35">
      <c r="G8505" s="1"/>
      <c r="N8505" s="1"/>
    </row>
    <row r="8506" spans="7:14" x14ac:dyDescent="0.35">
      <c r="G8506" s="1"/>
      <c r="N8506" s="1"/>
    </row>
    <row r="8507" spans="7:14" x14ac:dyDescent="0.35">
      <c r="G8507" s="1"/>
      <c r="N8507" s="1"/>
    </row>
    <row r="8508" spans="7:14" x14ac:dyDescent="0.35">
      <c r="G8508" s="1"/>
      <c r="N8508" s="1"/>
    </row>
    <row r="8509" spans="7:14" x14ac:dyDescent="0.35">
      <c r="G8509" s="1"/>
      <c r="N8509" s="1"/>
    </row>
    <row r="8510" spans="7:14" x14ac:dyDescent="0.35">
      <c r="G8510" s="1"/>
      <c r="N8510" s="1"/>
    </row>
    <row r="8511" spans="7:14" x14ac:dyDescent="0.35">
      <c r="G8511" s="1"/>
      <c r="N8511" s="1"/>
    </row>
    <row r="8512" spans="7:14" x14ac:dyDescent="0.35">
      <c r="G8512" s="1"/>
      <c r="N8512" s="1"/>
    </row>
    <row r="8513" spans="7:14" x14ac:dyDescent="0.35">
      <c r="G8513" s="1"/>
      <c r="N8513" s="1"/>
    </row>
    <row r="8514" spans="7:14" x14ac:dyDescent="0.35">
      <c r="G8514" s="1"/>
      <c r="N8514" s="1"/>
    </row>
    <row r="8515" spans="7:14" x14ac:dyDescent="0.35">
      <c r="G8515" s="1"/>
      <c r="N8515" s="1"/>
    </row>
    <row r="8516" spans="7:14" x14ac:dyDescent="0.35">
      <c r="G8516" s="1"/>
      <c r="N8516" s="1"/>
    </row>
    <row r="8517" spans="7:14" x14ac:dyDescent="0.35">
      <c r="G8517" s="1"/>
      <c r="N8517" s="1"/>
    </row>
    <row r="8518" spans="7:14" x14ac:dyDescent="0.35">
      <c r="G8518" s="1"/>
      <c r="N8518" s="1"/>
    </row>
    <row r="8519" spans="7:14" x14ac:dyDescent="0.35">
      <c r="G8519" s="1"/>
      <c r="N8519" s="1"/>
    </row>
    <row r="8520" spans="7:14" x14ac:dyDescent="0.35">
      <c r="G8520" s="1"/>
      <c r="N8520" s="1"/>
    </row>
    <row r="8521" spans="7:14" x14ac:dyDescent="0.35">
      <c r="G8521" s="1"/>
      <c r="N8521" s="1"/>
    </row>
    <row r="8522" spans="7:14" x14ac:dyDescent="0.35">
      <c r="G8522" s="1"/>
      <c r="N8522" s="1"/>
    </row>
    <row r="8523" spans="7:14" x14ac:dyDescent="0.35">
      <c r="G8523" s="1"/>
      <c r="N8523" s="1"/>
    </row>
    <row r="8524" spans="7:14" x14ac:dyDescent="0.35">
      <c r="G8524" s="1"/>
      <c r="N8524" s="1"/>
    </row>
    <row r="8525" spans="7:14" x14ac:dyDescent="0.35">
      <c r="G8525" s="1"/>
      <c r="N8525" s="1"/>
    </row>
    <row r="8526" spans="7:14" x14ac:dyDescent="0.35">
      <c r="G8526" s="1"/>
      <c r="N8526" s="1"/>
    </row>
    <row r="8527" spans="7:14" x14ac:dyDescent="0.35">
      <c r="G8527" s="1"/>
      <c r="N8527" s="1"/>
    </row>
    <row r="8528" spans="7:14" x14ac:dyDescent="0.35">
      <c r="G8528" s="1"/>
      <c r="N8528" s="1"/>
    </row>
    <row r="8529" spans="7:14" x14ac:dyDescent="0.35">
      <c r="G8529" s="1"/>
      <c r="N8529" s="1"/>
    </row>
    <row r="8530" spans="7:14" x14ac:dyDescent="0.35">
      <c r="G8530" s="1"/>
      <c r="N8530" s="1"/>
    </row>
    <row r="8531" spans="7:14" x14ac:dyDescent="0.35">
      <c r="G8531" s="1"/>
      <c r="N8531" s="1"/>
    </row>
    <row r="8532" spans="7:14" x14ac:dyDescent="0.35">
      <c r="G8532" s="1"/>
      <c r="N8532" s="1"/>
    </row>
    <row r="8533" spans="7:14" x14ac:dyDescent="0.35">
      <c r="G8533" s="1"/>
      <c r="N8533" s="1"/>
    </row>
    <row r="8534" spans="7:14" x14ac:dyDescent="0.35">
      <c r="G8534" s="1"/>
      <c r="N8534" s="1"/>
    </row>
    <row r="8535" spans="7:14" x14ac:dyDescent="0.35">
      <c r="G8535" s="1"/>
      <c r="N8535" s="1"/>
    </row>
    <row r="8536" spans="7:14" x14ac:dyDescent="0.35">
      <c r="G8536" s="1"/>
      <c r="N8536" s="1"/>
    </row>
    <row r="8537" spans="7:14" x14ac:dyDescent="0.35">
      <c r="G8537" s="1"/>
      <c r="N8537" s="1"/>
    </row>
    <row r="8538" spans="7:14" x14ac:dyDescent="0.35">
      <c r="G8538" s="1"/>
      <c r="N8538" s="1"/>
    </row>
    <row r="8539" spans="7:14" x14ac:dyDescent="0.35">
      <c r="G8539" s="1"/>
      <c r="N8539" s="1"/>
    </row>
    <row r="8540" spans="7:14" x14ac:dyDescent="0.35">
      <c r="G8540" s="1"/>
      <c r="N8540" s="1"/>
    </row>
    <row r="8541" spans="7:14" x14ac:dyDescent="0.35">
      <c r="G8541" s="1"/>
      <c r="N8541" s="1"/>
    </row>
    <row r="8542" spans="7:14" x14ac:dyDescent="0.35">
      <c r="G8542" s="1"/>
      <c r="N8542" s="1"/>
    </row>
    <row r="8543" spans="7:14" x14ac:dyDescent="0.35">
      <c r="G8543" s="1"/>
      <c r="N8543" s="1"/>
    </row>
    <row r="8544" spans="7:14" x14ac:dyDescent="0.35">
      <c r="G8544" s="1"/>
      <c r="N8544" s="1"/>
    </row>
    <row r="8545" spans="7:14" x14ac:dyDescent="0.35">
      <c r="G8545" s="1"/>
      <c r="N8545" s="1"/>
    </row>
    <row r="8546" spans="7:14" x14ac:dyDescent="0.35">
      <c r="G8546" s="1"/>
      <c r="N8546" s="1"/>
    </row>
    <row r="8547" spans="7:14" x14ac:dyDescent="0.35">
      <c r="G8547" s="1"/>
      <c r="N8547" s="1"/>
    </row>
    <row r="8548" spans="7:14" x14ac:dyDescent="0.35">
      <c r="G8548" s="1"/>
      <c r="N8548" s="1"/>
    </row>
    <row r="8549" spans="7:14" x14ac:dyDescent="0.35">
      <c r="G8549" s="1"/>
      <c r="N8549" s="1"/>
    </row>
    <row r="8550" spans="7:14" x14ac:dyDescent="0.35">
      <c r="G8550" s="1"/>
      <c r="N8550" s="1"/>
    </row>
    <row r="8551" spans="7:14" x14ac:dyDescent="0.35">
      <c r="G8551" s="1"/>
      <c r="N8551" s="1"/>
    </row>
    <row r="8552" spans="7:14" x14ac:dyDescent="0.35">
      <c r="G8552" s="1"/>
      <c r="N8552" s="1"/>
    </row>
    <row r="8553" spans="7:14" x14ac:dyDescent="0.35">
      <c r="G8553" s="1"/>
      <c r="N8553" s="1"/>
    </row>
    <row r="8554" spans="7:14" x14ac:dyDescent="0.35">
      <c r="G8554" s="1"/>
      <c r="N8554" s="1"/>
    </row>
    <row r="8555" spans="7:14" x14ac:dyDescent="0.35">
      <c r="G8555" s="1"/>
      <c r="N8555" s="1"/>
    </row>
    <row r="8556" spans="7:14" x14ac:dyDescent="0.35">
      <c r="G8556" s="1"/>
      <c r="N8556" s="1"/>
    </row>
    <row r="8557" spans="7:14" x14ac:dyDescent="0.35">
      <c r="G8557" s="1"/>
      <c r="N8557" s="1"/>
    </row>
    <row r="8558" spans="7:14" x14ac:dyDescent="0.35">
      <c r="G8558" s="1"/>
      <c r="N8558" s="1"/>
    </row>
    <row r="8559" spans="7:14" x14ac:dyDescent="0.35">
      <c r="G8559" s="1"/>
      <c r="N8559" s="1"/>
    </row>
    <row r="8560" spans="7:14" x14ac:dyDescent="0.35">
      <c r="G8560" s="1"/>
      <c r="N8560" s="1"/>
    </row>
    <row r="8561" spans="7:14" x14ac:dyDescent="0.35">
      <c r="G8561" s="1"/>
      <c r="N8561" s="1"/>
    </row>
    <row r="8562" spans="7:14" x14ac:dyDescent="0.35">
      <c r="G8562" s="1"/>
      <c r="N8562" s="1"/>
    </row>
    <row r="8563" spans="7:14" x14ac:dyDescent="0.35">
      <c r="G8563" s="1"/>
      <c r="N8563" s="1"/>
    </row>
    <row r="8564" spans="7:14" x14ac:dyDescent="0.35">
      <c r="G8564" s="1"/>
      <c r="N8564" s="1"/>
    </row>
    <row r="8565" spans="7:14" x14ac:dyDescent="0.35">
      <c r="G8565" s="1"/>
      <c r="N8565" s="1"/>
    </row>
    <row r="8566" spans="7:14" x14ac:dyDescent="0.35">
      <c r="G8566" s="1"/>
      <c r="N8566" s="1"/>
    </row>
    <row r="8567" spans="7:14" x14ac:dyDescent="0.35">
      <c r="G8567" s="1"/>
      <c r="N8567" s="1"/>
    </row>
    <row r="8568" spans="7:14" x14ac:dyDescent="0.35">
      <c r="G8568" s="1"/>
      <c r="N8568" s="1"/>
    </row>
    <row r="8569" spans="7:14" x14ac:dyDescent="0.35">
      <c r="G8569" s="1"/>
      <c r="N8569" s="1"/>
    </row>
    <row r="8570" spans="7:14" x14ac:dyDescent="0.35">
      <c r="G8570" s="1"/>
      <c r="N8570" s="1"/>
    </row>
    <row r="8571" spans="7:14" x14ac:dyDescent="0.35">
      <c r="G8571" s="1"/>
      <c r="N8571" s="1"/>
    </row>
    <row r="8572" spans="7:14" x14ac:dyDescent="0.35">
      <c r="G8572" s="1"/>
      <c r="N8572" s="1"/>
    </row>
    <row r="8573" spans="7:14" x14ac:dyDescent="0.35">
      <c r="G8573" s="1"/>
      <c r="N8573" s="1"/>
    </row>
    <row r="8574" spans="7:14" x14ac:dyDescent="0.35">
      <c r="G8574" s="1"/>
      <c r="N8574" s="1"/>
    </row>
    <row r="8575" spans="7:14" x14ac:dyDescent="0.35">
      <c r="G8575" s="1"/>
      <c r="N8575" s="1"/>
    </row>
    <row r="8576" spans="7:14" x14ac:dyDescent="0.35">
      <c r="G8576" s="1"/>
      <c r="N8576" s="1"/>
    </row>
    <row r="8577" spans="7:14" x14ac:dyDescent="0.35">
      <c r="G8577" s="1"/>
      <c r="N8577" s="1"/>
    </row>
    <row r="8578" spans="7:14" x14ac:dyDescent="0.35">
      <c r="G8578" s="1"/>
      <c r="N8578" s="1"/>
    </row>
    <row r="8579" spans="7:14" x14ac:dyDescent="0.35">
      <c r="G8579" s="1"/>
      <c r="N8579" s="1"/>
    </row>
    <row r="8580" spans="7:14" x14ac:dyDescent="0.35">
      <c r="G8580" s="1"/>
      <c r="N8580" s="1"/>
    </row>
    <row r="8581" spans="7:14" x14ac:dyDescent="0.35">
      <c r="G8581" s="1"/>
      <c r="N8581" s="1"/>
    </row>
    <row r="8582" spans="7:14" x14ac:dyDescent="0.35">
      <c r="G8582" s="1"/>
      <c r="N8582" s="1"/>
    </row>
    <row r="8583" spans="7:14" x14ac:dyDescent="0.35">
      <c r="G8583" s="1"/>
      <c r="N8583" s="1"/>
    </row>
    <row r="8584" spans="7:14" x14ac:dyDescent="0.35">
      <c r="G8584" s="1"/>
      <c r="N8584" s="1"/>
    </row>
    <row r="8585" spans="7:14" x14ac:dyDescent="0.35">
      <c r="G8585" s="1"/>
      <c r="N8585" s="1"/>
    </row>
    <row r="8586" spans="7:14" x14ac:dyDescent="0.35">
      <c r="G8586" s="1"/>
      <c r="N8586" s="1"/>
    </row>
    <row r="8587" spans="7:14" x14ac:dyDescent="0.35">
      <c r="G8587" s="1"/>
      <c r="N8587" s="1"/>
    </row>
    <row r="8588" spans="7:14" x14ac:dyDescent="0.35">
      <c r="G8588" s="1"/>
      <c r="N8588" s="1"/>
    </row>
    <row r="8589" spans="7:14" x14ac:dyDescent="0.35">
      <c r="G8589" s="1"/>
      <c r="N8589" s="1"/>
    </row>
    <row r="8590" spans="7:14" x14ac:dyDescent="0.35">
      <c r="G8590" s="1"/>
      <c r="N8590" s="1"/>
    </row>
    <row r="8591" spans="7:14" x14ac:dyDescent="0.35">
      <c r="G8591" s="1"/>
      <c r="N8591" s="1"/>
    </row>
    <row r="8592" spans="7:14" x14ac:dyDescent="0.35">
      <c r="G8592" s="1"/>
      <c r="N8592" s="1"/>
    </row>
    <row r="8593" spans="7:14" x14ac:dyDescent="0.35">
      <c r="G8593" s="1"/>
      <c r="N8593" s="1"/>
    </row>
    <row r="8594" spans="7:14" x14ac:dyDescent="0.35">
      <c r="G8594" s="1"/>
      <c r="N8594" s="1"/>
    </row>
    <row r="8595" spans="7:14" x14ac:dyDescent="0.35">
      <c r="G8595" s="1"/>
      <c r="N8595" s="1"/>
    </row>
    <row r="8596" spans="7:14" x14ac:dyDescent="0.35">
      <c r="G8596" s="1"/>
      <c r="N8596" s="1"/>
    </row>
    <row r="8597" spans="7:14" x14ac:dyDescent="0.35">
      <c r="G8597" s="1"/>
      <c r="N8597" s="1"/>
    </row>
    <row r="8598" spans="7:14" x14ac:dyDescent="0.35">
      <c r="G8598" s="1"/>
      <c r="N8598" s="1"/>
    </row>
    <row r="8599" spans="7:14" x14ac:dyDescent="0.35">
      <c r="G8599" s="1"/>
      <c r="N8599" s="1"/>
    </row>
    <row r="8600" spans="7:14" x14ac:dyDescent="0.35">
      <c r="G8600" s="1"/>
      <c r="N8600" s="1"/>
    </row>
    <row r="8601" spans="7:14" x14ac:dyDescent="0.35">
      <c r="G8601" s="1"/>
      <c r="N8601" s="1"/>
    </row>
    <row r="8602" spans="7:14" x14ac:dyDescent="0.35">
      <c r="G8602" s="1"/>
      <c r="N8602" s="1"/>
    </row>
    <row r="8603" spans="7:14" x14ac:dyDescent="0.35">
      <c r="G8603" s="1"/>
      <c r="N8603" s="1"/>
    </row>
    <row r="8604" spans="7:14" x14ac:dyDescent="0.35">
      <c r="G8604" s="1"/>
      <c r="N8604" s="1"/>
    </row>
    <row r="8605" spans="7:14" x14ac:dyDescent="0.35">
      <c r="G8605" s="1"/>
      <c r="N8605" s="1"/>
    </row>
    <row r="8606" spans="7:14" x14ac:dyDescent="0.35">
      <c r="G8606" s="1"/>
      <c r="N8606" s="1"/>
    </row>
    <row r="8607" spans="7:14" x14ac:dyDescent="0.35">
      <c r="G8607" s="1"/>
      <c r="N8607" s="1"/>
    </row>
    <row r="8608" spans="7:14" x14ac:dyDescent="0.35">
      <c r="G8608" s="1"/>
      <c r="N8608" s="1"/>
    </row>
    <row r="8609" spans="7:14" x14ac:dyDescent="0.35">
      <c r="G8609" s="1"/>
      <c r="N8609" s="1"/>
    </row>
    <row r="8610" spans="7:14" x14ac:dyDescent="0.35">
      <c r="G8610" s="1"/>
      <c r="N8610" s="1"/>
    </row>
    <row r="8611" spans="7:14" x14ac:dyDescent="0.35">
      <c r="G8611" s="1"/>
      <c r="N8611" s="1"/>
    </row>
    <row r="8612" spans="7:14" x14ac:dyDescent="0.35">
      <c r="G8612" s="1"/>
      <c r="N8612" s="1"/>
    </row>
    <row r="8613" spans="7:14" x14ac:dyDescent="0.35">
      <c r="G8613" s="1"/>
      <c r="N8613" s="1"/>
    </row>
    <row r="8614" spans="7:14" x14ac:dyDescent="0.35">
      <c r="G8614" s="1"/>
      <c r="N8614" s="1"/>
    </row>
    <row r="8615" spans="7:14" x14ac:dyDescent="0.35">
      <c r="G8615" s="1"/>
      <c r="N8615" s="1"/>
    </row>
    <row r="8616" spans="7:14" x14ac:dyDescent="0.35">
      <c r="G8616" s="1"/>
      <c r="N8616" s="1"/>
    </row>
    <row r="8617" spans="7:14" x14ac:dyDescent="0.35">
      <c r="G8617" s="1"/>
      <c r="N8617" s="1"/>
    </row>
    <row r="8618" spans="7:14" x14ac:dyDescent="0.35">
      <c r="G8618" s="1"/>
      <c r="N8618" s="1"/>
    </row>
    <row r="8619" spans="7:14" x14ac:dyDescent="0.35">
      <c r="G8619" s="1"/>
      <c r="N8619" s="1"/>
    </row>
    <row r="8620" spans="7:14" x14ac:dyDescent="0.35">
      <c r="G8620" s="1"/>
      <c r="N8620" s="1"/>
    </row>
    <row r="8621" spans="7:14" x14ac:dyDescent="0.35">
      <c r="G8621" s="1"/>
      <c r="N8621" s="1"/>
    </row>
    <row r="8622" spans="7:14" x14ac:dyDescent="0.35">
      <c r="G8622" s="1"/>
      <c r="N8622" s="1"/>
    </row>
    <row r="8623" spans="7:14" x14ac:dyDescent="0.35">
      <c r="G8623" s="1"/>
      <c r="N8623" s="1"/>
    </row>
    <row r="8624" spans="7:14" x14ac:dyDescent="0.35">
      <c r="G8624" s="1"/>
      <c r="N8624" s="1"/>
    </row>
    <row r="8625" spans="7:14" x14ac:dyDescent="0.35">
      <c r="G8625" s="1"/>
      <c r="N8625" s="1"/>
    </row>
    <row r="8626" spans="7:14" x14ac:dyDescent="0.35">
      <c r="G8626" s="1"/>
      <c r="N8626" s="1"/>
    </row>
    <row r="8627" spans="7:14" x14ac:dyDescent="0.35">
      <c r="G8627" s="1"/>
      <c r="N8627" s="1"/>
    </row>
    <row r="8628" spans="7:14" x14ac:dyDescent="0.35">
      <c r="G8628" s="1"/>
      <c r="N8628" s="1"/>
    </row>
    <row r="8629" spans="7:14" x14ac:dyDescent="0.35">
      <c r="G8629" s="1"/>
      <c r="N8629" s="1"/>
    </row>
    <row r="8630" spans="7:14" x14ac:dyDescent="0.35">
      <c r="G8630" s="1"/>
      <c r="N8630" s="1"/>
    </row>
    <row r="8631" spans="7:14" x14ac:dyDescent="0.35">
      <c r="G8631" s="1"/>
      <c r="N8631" s="1"/>
    </row>
    <row r="8632" spans="7:14" x14ac:dyDescent="0.35">
      <c r="G8632" s="1"/>
      <c r="N8632" s="1"/>
    </row>
    <row r="8633" spans="7:14" x14ac:dyDescent="0.35">
      <c r="G8633" s="1"/>
      <c r="N8633" s="1"/>
    </row>
    <row r="8634" spans="7:14" x14ac:dyDescent="0.35">
      <c r="G8634" s="1"/>
      <c r="N8634" s="1"/>
    </row>
    <row r="8635" spans="7:14" x14ac:dyDescent="0.35">
      <c r="G8635" s="1"/>
      <c r="N8635" s="1"/>
    </row>
    <row r="8636" spans="7:14" x14ac:dyDescent="0.35">
      <c r="G8636" s="1"/>
      <c r="N8636" s="1"/>
    </row>
    <row r="8637" spans="7:14" x14ac:dyDescent="0.35">
      <c r="G8637" s="1"/>
      <c r="N8637" s="1"/>
    </row>
    <row r="8638" spans="7:14" x14ac:dyDescent="0.35">
      <c r="G8638" s="1"/>
      <c r="N8638" s="1"/>
    </row>
    <row r="8639" spans="7:14" x14ac:dyDescent="0.35">
      <c r="G8639" s="1"/>
      <c r="N8639" s="1"/>
    </row>
    <row r="8640" spans="7:14" x14ac:dyDescent="0.35">
      <c r="G8640" s="1"/>
      <c r="N8640" s="1"/>
    </row>
    <row r="8641" spans="7:14" x14ac:dyDescent="0.35">
      <c r="G8641" s="1"/>
      <c r="N8641" s="1"/>
    </row>
    <row r="8642" spans="7:14" x14ac:dyDescent="0.35">
      <c r="G8642" s="1"/>
      <c r="N8642" s="1"/>
    </row>
    <row r="8643" spans="7:14" x14ac:dyDescent="0.35">
      <c r="G8643" s="1"/>
      <c r="N8643" s="1"/>
    </row>
    <row r="8644" spans="7:14" x14ac:dyDescent="0.35">
      <c r="G8644" s="1"/>
      <c r="N8644" s="1"/>
    </row>
    <row r="8645" spans="7:14" x14ac:dyDescent="0.35">
      <c r="G8645" s="1"/>
      <c r="N8645" s="1"/>
    </row>
    <row r="8646" spans="7:14" x14ac:dyDescent="0.35">
      <c r="G8646" s="1"/>
      <c r="N8646" s="1"/>
    </row>
    <row r="8647" spans="7:14" x14ac:dyDescent="0.35">
      <c r="G8647" s="1"/>
      <c r="N8647" s="1"/>
    </row>
    <row r="8648" spans="7:14" x14ac:dyDescent="0.35">
      <c r="G8648" s="1"/>
      <c r="N8648" s="1"/>
    </row>
    <row r="8649" spans="7:14" x14ac:dyDescent="0.35">
      <c r="G8649" s="1"/>
      <c r="N8649" s="1"/>
    </row>
    <row r="8650" spans="7:14" x14ac:dyDescent="0.35">
      <c r="G8650" s="1"/>
      <c r="N8650" s="1"/>
    </row>
    <row r="8651" spans="7:14" x14ac:dyDescent="0.35">
      <c r="G8651" s="1"/>
      <c r="N8651" s="1"/>
    </row>
    <row r="8652" spans="7:14" x14ac:dyDescent="0.35">
      <c r="G8652" s="1"/>
      <c r="N8652" s="1"/>
    </row>
    <row r="8653" spans="7:14" x14ac:dyDescent="0.35">
      <c r="G8653" s="1"/>
      <c r="N8653" s="1"/>
    </row>
    <row r="8654" spans="7:14" x14ac:dyDescent="0.35">
      <c r="G8654" s="1"/>
      <c r="N8654" s="1"/>
    </row>
    <row r="8655" spans="7:14" x14ac:dyDescent="0.35">
      <c r="G8655" s="1"/>
      <c r="N8655" s="1"/>
    </row>
    <row r="8656" spans="7:14" x14ac:dyDescent="0.35">
      <c r="G8656" s="1"/>
      <c r="N8656" s="1"/>
    </row>
    <row r="8657" spans="7:14" x14ac:dyDescent="0.35">
      <c r="G8657" s="1"/>
      <c r="N8657" s="1"/>
    </row>
    <row r="8658" spans="7:14" x14ac:dyDescent="0.35">
      <c r="G8658" s="1"/>
      <c r="N8658" s="1"/>
    </row>
    <row r="8659" spans="7:14" x14ac:dyDescent="0.35">
      <c r="G8659" s="1"/>
      <c r="N8659" s="1"/>
    </row>
    <row r="8660" spans="7:14" x14ac:dyDescent="0.35">
      <c r="G8660" s="1"/>
      <c r="N8660" s="1"/>
    </row>
    <row r="8661" spans="7:14" x14ac:dyDescent="0.35">
      <c r="G8661" s="1"/>
      <c r="N8661" s="1"/>
    </row>
    <row r="8662" spans="7:14" x14ac:dyDescent="0.35">
      <c r="G8662" s="1"/>
      <c r="N8662" s="1"/>
    </row>
    <row r="8663" spans="7:14" x14ac:dyDescent="0.35">
      <c r="G8663" s="1"/>
      <c r="N8663" s="1"/>
    </row>
    <row r="8664" spans="7:14" x14ac:dyDescent="0.35">
      <c r="G8664" s="1"/>
      <c r="N8664" s="1"/>
    </row>
    <row r="8665" spans="7:14" x14ac:dyDescent="0.35">
      <c r="G8665" s="1"/>
      <c r="N8665" s="1"/>
    </row>
    <row r="8666" spans="7:14" x14ac:dyDescent="0.35">
      <c r="G8666" s="1"/>
      <c r="N8666" s="1"/>
    </row>
    <row r="8667" spans="7:14" x14ac:dyDescent="0.35">
      <c r="G8667" s="1"/>
      <c r="N8667" s="1"/>
    </row>
    <row r="8668" spans="7:14" x14ac:dyDescent="0.35">
      <c r="G8668" s="1"/>
      <c r="N8668" s="1"/>
    </row>
    <row r="8669" spans="7:14" x14ac:dyDescent="0.35">
      <c r="G8669" s="1"/>
      <c r="N8669" s="1"/>
    </row>
    <row r="8670" spans="7:14" x14ac:dyDescent="0.35">
      <c r="G8670" s="1"/>
      <c r="N8670" s="1"/>
    </row>
    <row r="8671" spans="7:14" x14ac:dyDescent="0.35">
      <c r="G8671" s="1"/>
      <c r="N8671" s="1"/>
    </row>
    <row r="8672" spans="7:14" x14ac:dyDescent="0.35">
      <c r="G8672" s="1"/>
      <c r="N8672" s="1"/>
    </row>
    <row r="8673" spans="7:14" x14ac:dyDescent="0.35">
      <c r="G8673" s="1"/>
      <c r="N8673" s="1"/>
    </row>
    <row r="8674" spans="7:14" x14ac:dyDescent="0.35">
      <c r="G8674" s="1"/>
      <c r="N8674" s="1"/>
    </row>
    <row r="8675" spans="7:14" x14ac:dyDescent="0.35">
      <c r="G8675" s="1"/>
      <c r="N8675" s="1"/>
    </row>
    <row r="8676" spans="7:14" x14ac:dyDescent="0.35">
      <c r="G8676" s="1"/>
      <c r="N8676" s="1"/>
    </row>
    <row r="8677" spans="7:14" x14ac:dyDescent="0.35">
      <c r="G8677" s="1"/>
      <c r="N8677" s="1"/>
    </row>
    <row r="8678" spans="7:14" x14ac:dyDescent="0.35">
      <c r="G8678" s="1"/>
      <c r="N8678" s="1"/>
    </row>
    <row r="8679" spans="7:14" x14ac:dyDescent="0.35">
      <c r="G8679" s="1"/>
      <c r="N8679" s="1"/>
    </row>
    <row r="8680" spans="7:14" x14ac:dyDescent="0.35">
      <c r="G8680" s="1"/>
      <c r="N8680" s="1"/>
    </row>
    <row r="8681" spans="7:14" x14ac:dyDescent="0.35">
      <c r="G8681" s="1"/>
      <c r="N8681" s="1"/>
    </row>
    <row r="8682" spans="7:14" x14ac:dyDescent="0.35">
      <c r="G8682" s="1"/>
      <c r="N8682" s="1"/>
    </row>
    <row r="8683" spans="7:14" x14ac:dyDescent="0.35">
      <c r="G8683" s="1"/>
      <c r="N8683" s="1"/>
    </row>
    <row r="8684" spans="7:14" x14ac:dyDescent="0.35">
      <c r="G8684" s="1"/>
      <c r="N8684" s="1"/>
    </row>
    <row r="8685" spans="7:14" x14ac:dyDescent="0.35">
      <c r="G8685" s="1"/>
      <c r="N8685" s="1"/>
    </row>
    <row r="8686" spans="7:14" x14ac:dyDescent="0.35">
      <c r="G8686" s="1"/>
      <c r="N8686" s="1"/>
    </row>
    <row r="8687" spans="7:14" x14ac:dyDescent="0.35">
      <c r="G8687" s="1"/>
      <c r="N8687" s="1"/>
    </row>
    <row r="8688" spans="7:14" x14ac:dyDescent="0.35">
      <c r="G8688" s="1"/>
      <c r="N8688" s="1"/>
    </row>
    <row r="8689" spans="7:14" x14ac:dyDescent="0.35">
      <c r="G8689" s="1"/>
      <c r="N8689" s="1"/>
    </row>
    <row r="8690" spans="7:14" x14ac:dyDescent="0.35">
      <c r="G8690" s="1"/>
      <c r="N8690" s="1"/>
    </row>
    <row r="8691" spans="7:14" x14ac:dyDescent="0.35">
      <c r="G8691" s="1"/>
      <c r="N8691" s="1"/>
    </row>
    <row r="8692" spans="7:14" x14ac:dyDescent="0.35">
      <c r="G8692" s="1"/>
      <c r="N8692" s="1"/>
    </row>
    <row r="8693" spans="7:14" x14ac:dyDescent="0.35">
      <c r="G8693" s="1"/>
      <c r="N8693" s="1"/>
    </row>
    <row r="8694" spans="7:14" x14ac:dyDescent="0.35">
      <c r="G8694" s="1"/>
      <c r="N8694" s="1"/>
    </row>
    <row r="8695" spans="7:14" x14ac:dyDescent="0.35">
      <c r="G8695" s="1"/>
      <c r="N8695" s="1"/>
    </row>
    <row r="8696" spans="7:14" x14ac:dyDescent="0.35">
      <c r="G8696" s="1"/>
      <c r="N8696" s="1"/>
    </row>
    <row r="8697" spans="7:14" x14ac:dyDescent="0.35">
      <c r="G8697" s="1"/>
      <c r="N8697" s="1"/>
    </row>
    <row r="8698" spans="7:14" x14ac:dyDescent="0.35">
      <c r="G8698" s="1"/>
      <c r="N8698" s="1"/>
    </row>
    <row r="8699" spans="7:14" x14ac:dyDescent="0.35">
      <c r="G8699" s="1"/>
      <c r="N8699" s="1"/>
    </row>
    <row r="8700" spans="7:14" x14ac:dyDescent="0.35">
      <c r="G8700" s="1"/>
      <c r="N8700" s="1"/>
    </row>
    <row r="8701" spans="7:14" x14ac:dyDescent="0.35">
      <c r="G8701" s="1"/>
      <c r="N8701" s="1"/>
    </row>
    <row r="8702" spans="7:14" x14ac:dyDescent="0.35">
      <c r="G8702" s="1"/>
      <c r="N8702" s="1"/>
    </row>
    <row r="8703" spans="7:14" x14ac:dyDescent="0.35">
      <c r="G8703" s="1"/>
      <c r="N8703" s="1"/>
    </row>
    <row r="8704" spans="7:14" x14ac:dyDescent="0.35">
      <c r="G8704" s="1"/>
      <c r="N8704" s="1"/>
    </row>
    <row r="8705" spans="7:14" x14ac:dyDescent="0.35">
      <c r="G8705" s="1"/>
      <c r="N8705" s="1"/>
    </row>
    <row r="8706" spans="7:14" x14ac:dyDescent="0.35">
      <c r="G8706" s="1"/>
      <c r="N8706" s="1"/>
    </row>
    <row r="8707" spans="7:14" x14ac:dyDescent="0.35">
      <c r="G8707" s="1"/>
      <c r="N8707" s="1"/>
    </row>
    <row r="8708" spans="7:14" x14ac:dyDescent="0.35">
      <c r="G8708" s="1"/>
      <c r="N8708" s="1"/>
    </row>
    <row r="8709" spans="7:14" x14ac:dyDescent="0.35">
      <c r="G8709" s="1"/>
      <c r="N8709" s="1"/>
    </row>
    <row r="8710" spans="7:14" x14ac:dyDescent="0.35">
      <c r="G8710" s="1"/>
      <c r="N8710" s="1"/>
    </row>
    <row r="8711" spans="7:14" x14ac:dyDescent="0.35">
      <c r="G8711" s="1"/>
      <c r="N8711" s="1"/>
    </row>
    <row r="8712" spans="7:14" x14ac:dyDescent="0.35">
      <c r="G8712" s="1"/>
      <c r="N8712" s="1"/>
    </row>
    <row r="8713" spans="7:14" x14ac:dyDescent="0.35">
      <c r="G8713" s="1"/>
      <c r="N8713" s="1"/>
    </row>
    <row r="8714" spans="7:14" x14ac:dyDescent="0.35">
      <c r="G8714" s="1"/>
      <c r="N8714" s="1"/>
    </row>
    <row r="8715" spans="7:14" x14ac:dyDescent="0.35">
      <c r="G8715" s="1"/>
      <c r="N8715" s="1"/>
    </row>
    <row r="8716" spans="7:14" x14ac:dyDescent="0.35">
      <c r="G8716" s="1"/>
      <c r="N8716" s="1"/>
    </row>
    <row r="8717" spans="7:14" x14ac:dyDescent="0.35">
      <c r="G8717" s="1"/>
      <c r="N8717" s="1"/>
    </row>
    <row r="8718" spans="7:14" x14ac:dyDescent="0.35">
      <c r="G8718" s="1"/>
      <c r="N8718" s="1"/>
    </row>
    <row r="8719" spans="7:14" x14ac:dyDescent="0.35">
      <c r="G8719" s="1"/>
      <c r="N8719" s="1"/>
    </row>
    <row r="8720" spans="7:14" x14ac:dyDescent="0.35">
      <c r="G8720" s="1"/>
      <c r="N8720" s="1"/>
    </row>
    <row r="8721" spans="7:14" x14ac:dyDescent="0.35">
      <c r="G8721" s="1"/>
      <c r="N8721" s="1"/>
    </row>
    <row r="8722" spans="7:14" x14ac:dyDescent="0.35">
      <c r="G8722" s="1"/>
      <c r="N8722" s="1"/>
    </row>
    <row r="8723" spans="7:14" x14ac:dyDescent="0.35">
      <c r="G8723" s="1"/>
      <c r="N8723" s="1"/>
    </row>
    <row r="8724" spans="7:14" x14ac:dyDescent="0.35">
      <c r="G8724" s="1"/>
      <c r="N8724" s="1"/>
    </row>
    <row r="8725" spans="7:14" x14ac:dyDescent="0.35">
      <c r="G8725" s="1"/>
      <c r="N8725" s="1"/>
    </row>
    <row r="8726" spans="7:14" x14ac:dyDescent="0.35">
      <c r="G8726" s="1"/>
      <c r="N8726" s="1"/>
    </row>
    <row r="8727" spans="7:14" x14ac:dyDescent="0.35">
      <c r="G8727" s="1"/>
      <c r="N8727" s="1"/>
    </row>
    <row r="8728" spans="7:14" x14ac:dyDescent="0.35">
      <c r="G8728" s="1"/>
      <c r="N8728" s="1"/>
    </row>
    <row r="8729" spans="7:14" x14ac:dyDescent="0.35">
      <c r="G8729" s="1"/>
      <c r="N8729" s="1"/>
    </row>
    <row r="8730" spans="7:14" x14ac:dyDescent="0.35">
      <c r="G8730" s="1"/>
      <c r="N8730" s="1"/>
    </row>
    <row r="8731" spans="7:14" x14ac:dyDescent="0.35">
      <c r="G8731" s="1"/>
      <c r="N8731" s="1"/>
    </row>
    <row r="8732" spans="7:14" x14ac:dyDescent="0.35">
      <c r="G8732" s="1"/>
      <c r="N8732" s="1"/>
    </row>
    <row r="8733" spans="7:14" x14ac:dyDescent="0.35">
      <c r="G8733" s="1"/>
      <c r="N8733" s="1"/>
    </row>
    <row r="8734" spans="7:14" x14ac:dyDescent="0.35">
      <c r="G8734" s="1"/>
      <c r="N8734" s="1"/>
    </row>
    <row r="8735" spans="7:14" x14ac:dyDescent="0.35">
      <c r="G8735" s="1"/>
      <c r="N8735" s="1"/>
    </row>
    <row r="8736" spans="7:14" x14ac:dyDescent="0.35">
      <c r="G8736" s="1"/>
      <c r="N8736" s="1"/>
    </row>
    <row r="8737" spans="7:14" x14ac:dyDescent="0.35">
      <c r="G8737" s="1"/>
      <c r="N8737" s="1"/>
    </row>
    <row r="8738" spans="7:14" x14ac:dyDescent="0.35">
      <c r="G8738" s="1"/>
      <c r="N8738" s="1"/>
    </row>
    <row r="8739" spans="7:14" x14ac:dyDescent="0.35">
      <c r="G8739" s="1"/>
      <c r="N8739" s="1"/>
    </row>
    <row r="8740" spans="7:14" x14ac:dyDescent="0.35">
      <c r="G8740" s="1"/>
      <c r="N8740" s="1"/>
    </row>
    <row r="8741" spans="7:14" x14ac:dyDescent="0.35">
      <c r="G8741" s="1"/>
      <c r="N8741" s="1"/>
    </row>
    <row r="8742" spans="7:14" x14ac:dyDescent="0.35">
      <c r="G8742" s="1"/>
      <c r="N8742" s="1"/>
    </row>
    <row r="8743" spans="7:14" x14ac:dyDescent="0.35">
      <c r="G8743" s="1"/>
      <c r="N8743" s="1"/>
    </row>
    <row r="8744" spans="7:14" x14ac:dyDescent="0.35">
      <c r="G8744" s="1"/>
      <c r="N8744" s="1"/>
    </row>
    <row r="8745" spans="7:14" x14ac:dyDescent="0.35">
      <c r="G8745" s="1"/>
      <c r="N8745" s="1"/>
    </row>
    <row r="8746" spans="7:14" x14ac:dyDescent="0.35">
      <c r="G8746" s="1"/>
      <c r="N8746" s="1"/>
    </row>
    <row r="8747" spans="7:14" x14ac:dyDescent="0.35">
      <c r="G8747" s="1"/>
      <c r="N8747" s="1"/>
    </row>
    <row r="8748" spans="7:14" x14ac:dyDescent="0.35">
      <c r="G8748" s="1"/>
      <c r="N8748" s="1"/>
    </row>
    <row r="8749" spans="7:14" x14ac:dyDescent="0.35">
      <c r="G8749" s="1"/>
      <c r="N8749" s="1"/>
    </row>
    <row r="8750" spans="7:14" x14ac:dyDescent="0.35">
      <c r="G8750" s="1"/>
      <c r="N8750" s="1"/>
    </row>
    <row r="8751" spans="7:14" x14ac:dyDescent="0.35">
      <c r="G8751" s="1"/>
      <c r="N8751" s="1"/>
    </row>
    <row r="8752" spans="7:14" x14ac:dyDescent="0.35">
      <c r="G8752" s="1"/>
      <c r="N8752" s="1"/>
    </row>
    <row r="8753" spans="7:14" x14ac:dyDescent="0.35">
      <c r="G8753" s="1"/>
      <c r="N8753" s="1"/>
    </row>
    <row r="8754" spans="7:14" x14ac:dyDescent="0.35">
      <c r="G8754" s="1"/>
      <c r="N8754" s="1"/>
    </row>
    <row r="8755" spans="7:14" x14ac:dyDescent="0.35">
      <c r="G8755" s="1"/>
      <c r="N8755" s="1"/>
    </row>
    <row r="8756" spans="7:14" x14ac:dyDescent="0.35">
      <c r="G8756" s="1"/>
      <c r="N8756" s="1"/>
    </row>
    <row r="8757" spans="7:14" x14ac:dyDescent="0.35">
      <c r="G8757" s="1"/>
      <c r="N8757" s="1"/>
    </row>
    <row r="8758" spans="7:14" x14ac:dyDescent="0.35">
      <c r="G8758" s="1"/>
      <c r="N8758" s="1"/>
    </row>
    <row r="8759" spans="7:14" x14ac:dyDescent="0.35">
      <c r="G8759" s="1"/>
      <c r="N8759" s="1"/>
    </row>
    <row r="8760" spans="7:14" x14ac:dyDescent="0.35">
      <c r="G8760" s="1"/>
      <c r="N8760" s="1"/>
    </row>
    <row r="8761" spans="7:14" x14ac:dyDescent="0.35">
      <c r="G8761" s="1"/>
      <c r="N8761" s="1"/>
    </row>
    <row r="8762" spans="7:14" x14ac:dyDescent="0.35">
      <c r="G8762" s="1"/>
      <c r="N8762" s="1"/>
    </row>
    <row r="8763" spans="7:14" x14ac:dyDescent="0.35">
      <c r="G8763" s="1"/>
      <c r="N8763" s="1"/>
    </row>
    <row r="8764" spans="7:14" x14ac:dyDescent="0.35">
      <c r="G8764" s="1"/>
      <c r="N8764" s="1"/>
    </row>
    <row r="8765" spans="7:14" x14ac:dyDescent="0.35">
      <c r="G8765" s="1"/>
      <c r="N8765" s="1"/>
    </row>
    <row r="8766" spans="7:14" x14ac:dyDescent="0.35">
      <c r="G8766" s="1"/>
      <c r="N8766" s="1"/>
    </row>
    <row r="8767" spans="7:14" x14ac:dyDescent="0.35">
      <c r="G8767" s="1"/>
      <c r="N8767" s="1"/>
    </row>
    <row r="8768" spans="7:14" x14ac:dyDescent="0.35">
      <c r="G8768" s="1"/>
      <c r="N8768" s="1"/>
    </row>
    <row r="8769" spans="7:14" x14ac:dyDescent="0.35">
      <c r="G8769" s="1"/>
      <c r="N8769" s="1"/>
    </row>
    <row r="8770" spans="7:14" x14ac:dyDescent="0.35">
      <c r="G8770" s="1"/>
      <c r="N8770" s="1"/>
    </row>
    <row r="8771" spans="7:14" x14ac:dyDescent="0.35">
      <c r="G8771" s="1"/>
      <c r="N8771" s="1"/>
    </row>
    <row r="8772" spans="7:14" x14ac:dyDescent="0.35">
      <c r="G8772" s="1"/>
      <c r="N8772" s="1"/>
    </row>
    <row r="8773" spans="7:14" x14ac:dyDescent="0.35">
      <c r="G8773" s="1"/>
      <c r="N8773" s="1"/>
    </row>
    <row r="8774" spans="7:14" x14ac:dyDescent="0.35">
      <c r="G8774" s="1"/>
      <c r="N8774" s="1"/>
    </row>
    <row r="8775" spans="7:14" x14ac:dyDescent="0.35">
      <c r="G8775" s="1"/>
      <c r="N8775" s="1"/>
    </row>
    <row r="8776" spans="7:14" x14ac:dyDescent="0.35">
      <c r="G8776" s="1"/>
      <c r="N8776" s="1"/>
    </row>
    <row r="8777" spans="7:14" x14ac:dyDescent="0.35">
      <c r="G8777" s="1"/>
      <c r="N8777" s="1"/>
    </row>
    <row r="8778" spans="7:14" x14ac:dyDescent="0.35">
      <c r="G8778" s="1"/>
      <c r="N8778" s="1"/>
    </row>
    <row r="8779" spans="7:14" x14ac:dyDescent="0.35">
      <c r="G8779" s="1"/>
      <c r="N8779" s="1"/>
    </row>
    <row r="8780" spans="7:14" x14ac:dyDescent="0.35">
      <c r="G8780" s="1"/>
      <c r="N8780" s="1"/>
    </row>
    <row r="8781" spans="7:14" x14ac:dyDescent="0.35">
      <c r="G8781" s="1"/>
      <c r="N8781" s="1"/>
    </row>
    <row r="8782" spans="7:14" x14ac:dyDescent="0.35">
      <c r="G8782" s="1"/>
      <c r="N8782" s="1"/>
    </row>
    <row r="8783" spans="7:14" x14ac:dyDescent="0.35">
      <c r="G8783" s="1"/>
      <c r="N8783" s="1"/>
    </row>
    <row r="8784" spans="7:14" x14ac:dyDescent="0.35">
      <c r="G8784" s="1"/>
      <c r="N8784" s="1"/>
    </row>
    <row r="8785" spans="7:14" x14ac:dyDescent="0.35">
      <c r="G8785" s="1"/>
      <c r="N8785" s="1"/>
    </row>
    <row r="8786" spans="7:14" x14ac:dyDescent="0.35">
      <c r="G8786" s="1"/>
      <c r="N8786" s="1"/>
    </row>
    <row r="8787" spans="7:14" x14ac:dyDescent="0.35">
      <c r="G8787" s="1"/>
      <c r="N8787" s="1"/>
    </row>
    <row r="8788" spans="7:14" x14ac:dyDescent="0.35">
      <c r="G8788" s="1"/>
      <c r="N8788" s="1"/>
    </row>
    <row r="8789" spans="7:14" x14ac:dyDescent="0.35">
      <c r="G8789" s="1"/>
      <c r="N8789" s="1"/>
    </row>
    <row r="8790" spans="7:14" x14ac:dyDescent="0.35">
      <c r="G8790" s="1"/>
      <c r="N8790" s="1"/>
    </row>
    <row r="8791" spans="7:14" x14ac:dyDescent="0.35">
      <c r="G8791" s="1"/>
      <c r="N8791" s="1"/>
    </row>
    <row r="8792" spans="7:14" x14ac:dyDescent="0.35">
      <c r="G8792" s="1"/>
      <c r="N8792" s="1"/>
    </row>
    <row r="8793" spans="7:14" x14ac:dyDescent="0.35">
      <c r="G8793" s="1"/>
      <c r="N8793" s="1"/>
    </row>
    <row r="8794" spans="7:14" x14ac:dyDescent="0.35">
      <c r="G8794" s="1"/>
      <c r="N8794" s="1"/>
    </row>
    <row r="8795" spans="7:14" x14ac:dyDescent="0.35">
      <c r="G8795" s="1"/>
      <c r="N8795" s="1"/>
    </row>
    <row r="8796" spans="7:14" x14ac:dyDescent="0.35">
      <c r="G8796" s="1"/>
      <c r="N8796" s="1"/>
    </row>
    <row r="8797" spans="7:14" x14ac:dyDescent="0.35">
      <c r="G8797" s="1"/>
      <c r="N8797" s="1"/>
    </row>
    <row r="8798" spans="7:14" x14ac:dyDescent="0.35">
      <c r="G8798" s="1"/>
      <c r="N8798" s="1"/>
    </row>
    <row r="8799" spans="7:14" x14ac:dyDescent="0.35">
      <c r="G8799" s="1"/>
      <c r="N8799" s="1"/>
    </row>
    <row r="8800" spans="7:14" x14ac:dyDescent="0.35">
      <c r="G8800" s="1"/>
      <c r="N8800" s="1"/>
    </row>
    <row r="8801" spans="7:14" x14ac:dyDescent="0.35">
      <c r="G8801" s="1"/>
      <c r="N8801" s="1"/>
    </row>
    <row r="8802" spans="7:14" x14ac:dyDescent="0.35">
      <c r="G8802" s="1"/>
      <c r="N8802" s="1"/>
    </row>
    <row r="8803" spans="7:14" x14ac:dyDescent="0.35">
      <c r="G8803" s="1"/>
      <c r="N8803" s="1"/>
    </row>
    <row r="8804" spans="7:14" x14ac:dyDescent="0.35">
      <c r="G8804" s="1"/>
      <c r="N8804" s="1"/>
    </row>
    <row r="8805" spans="7:14" x14ac:dyDescent="0.35">
      <c r="G8805" s="1"/>
      <c r="N8805" s="1"/>
    </row>
    <row r="8806" spans="7:14" x14ac:dyDescent="0.35">
      <c r="G8806" s="1"/>
      <c r="N8806" s="1"/>
    </row>
    <row r="8807" spans="7:14" x14ac:dyDescent="0.35">
      <c r="G8807" s="1"/>
      <c r="N8807" s="1"/>
    </row>
    <row r="8808" spans="7:14" x14ac:dyDescent="0.35">
      <c r="G8808" s="1"/>
      <c r="N8808" s="1"/>
    </row>
    <row r="8809" spans="7:14" x14ac:dyDescent="0.35">
      <c r="G8809" s="1"/>
      <c r="N8809" s="1"/>
    </row>
    <row r="8810" spans="7:14" x14ac:dyDescent="0.35">
      <c r="G8810" s="1"/>
      <c r="N8810" s="1"/>
    </row>
    <row r="8811" spans="7:14" x14ac:dyDescent="0.35">
      <c r="G8811" s="1"/>
      <c r="N8811" s="1"/>
    </row>
    <row r="8812" spans="7:14" x14ac:dyDescent="0.35">
      <c r="G8812" s="1"/>
      <c r="N8812" s="1"/>
    </row>
    <row r="8813" spans="7:14" x14ac:dyDescent="0.35">
      <c r="G8813" s="1"/>
      <c r="N8813" s="1"/>
    </row>
    <row r="8814" spans="7:14" x14ac:dyDescent="0.35">
      <c r="G8814" s="1"/>
      <c r="N8814" s="1"/>
    </row>
    <row r="8815" spans="7:14" x14ac:dyDescent="0.35">
      <c r="G8815" s="1"/>
      <c r="N8815" s="1"/>
    </row>
    <row r="8816" spans="7:14" x14ac:dyDescent="0.35">
      <c r="G8816" s="1"/>
      <c r="N8816" s="1"/>
    </row>
    <row r="8817" spans="7:14" x14ac:dyDescent="0.35">
      <c r="G8817" s="1"/>
      <c r="N8817" s="1"/>
    </row>
    <row r="8818" spans="7:14" x14ac:dyDescent="0.35">
      <c r="G8818" s="1"/>
      <c r="N8818" s="1"/>
    </row>
    <row r="8819" spans="7:14" x14ac:dyDescent="0.35">
      <c r="G8819" s="1"/>
      <c r="N8819" s="1"/>
    </row>
    <row r="8820" spans="7:14" x14ac:dyDescent="0.35">
      <c r="G8820" s="1"/>
      <c r="N8820" s="1"/>
    </row>
    <row r="8821" spans="7:14" x14ac:dyDescent="0.35">
      <c r="G8821" s="1"/>
      <c r="N8821" s="1"/>
    </row>
    <row r="8822" spans="7:14" x14ac:dyDescent="0.35">
      <c r="G8822" s="1"/>
      <c r="N8822" s="1"/>
    </row>
    <row r="8823" spans="7:14" x14ac:dyDescent="0.35">
      <c r="G8823" s="1"/>
      <c r="N8823" s="1"/>
    </row>
    <row r="8824" spans="7:14" x14ac:dyDescent="0.35">
      <c r="G8824" s="1"/>
      <c r="N8824" s="1"/>
    </row>
    <row r="8825" spans="7:14" x14ac:dyDescent="0.35">
      <c r="G8825" s="1"/>
      <c r="N8825" s="1"/>
    </row>
    <row r="8826" spans="7:14" x14ac:dyDescent="0.35">
      <c r="G8826" s="1"/>
      <c r="N8826" s="1"/>
    </row>
    <row r="8827" spans="7:14" x14ac:dyDescent="0.35">
      <c r="G8827" s="1"/>
      <c r="N8827" s="1"/>
    </row>
    <row r="8828" spans="7:14" x14ac:dyDescent="0.35">
      <c r="G8828" s="1"/>
      <c r="N8828" s="1"/>
    </row>
    <row r="8829" spans="7:14" x14ac:dyDescent="0.35">
      <c r="G8829" s="1"/>
      <c r="N8829" s="1"/>
    </row>
    <row r="8830" spans="7:14" x14ac:dyDescent="0.35">
      <c r="G8830" s="1"/>
      <c r="N8830" s="1"/>
    </row>
    <row r="8831" spans="7:14" x14ac:dyDescent="0.35">
      <c r="G8831" s="1"/>
      <c r="N8831" s="1"/>
    </row>
    <row r="8832" spans="7:14" x14ac:dyDescent="0.35">
      <c r="G8832" s="1"/>
      <c r="N8832" s="1"/>
    </row>
    <row r="8833" spans="7:14" x14ac:dyDescent="0.35">
      <c r="G8833" s="1"/>
      <c r="N8833" s="1"/>
    </row>
    <row r="8834" spans="7:14" x14ac:dyDescent="0.35">
      <c r="G8834" s="1"/>
      <c r="N8834" s="1"/>
    </row>
    <row r="8835" spans="7:14" x14ac:dyDescent="0.35">
      <c r="G8835" s="1"/>
      <c r="N8835" s="1"/>
    </row>
    <row r="8836" spans="7:14" x14ac:dyDescent="0.35">
      <c r="G8836" s="1"/>
      <c r="N8836" s="1"/>
    </row>
    <row r="8837" spans="7:14" x14ac:dyDescent="0.35">
      <c r="G8837" s="1"/>
      <c r="N8837" s="1"/>
    </row>
    <row r="8838" spans="7:14" x14ac:dyDescent="0.35">
      <c r="G8838" s="1"/>
      <c r="N8838" s="1"/>
    </row>
    <row r="8839" spans="7:14" x14ac:dyDescent="0.35">
      <c r="G8839" s="1"/>
      <c r="N8839" s="1"/>
    </row>
    <row r="8840" spans="7:14" x14ac:dyDescent="0.35">
      <c r="G8840" s="1"/>
      <c r="N8840" s="1"/>
    </row>
    <row r="8841" spans="7:14" x14ac:dyDescent="0.35">
      <c r="G8841" s="1"/>
      <c r="N8841" s="1"/>
    </row>
    <row r="8842" spans="7:14" x14ac:dyDescent="0.35">
      <c r="G8842" s="1"/>
      <c r="N8842" s="1"/>
    </row>
    <row r="8843" spans="7:14" x14ac:dyDescent="0.35">
      <c r="G8843" s="1"/>
      <c r="N8843" s="1"/>
    </row>
    <row r="8844" spans="7:14" x14ac:dyDescent="0.35">
      <c r="G8844" s="1"/>
      <c r="N8844" s="1"/>
    </row>
    <row r="8845" spans="7:14" x14ac:dyDescent="0.35">
      <c r="G8845" s="1"/>
      <c r="N8845" s="1"/>
    </row>
    <row r="8846" spans="7:14" x14ac:dyDescent="0.35">
      <c r="G8846" s="1"/>
      <c r="N8846" s="1"/>
    </row>
    <row r="8847" spans="7:14" x14ac:dyDescent="0.35">
      <c r="G8847" s="1"/>
      <c r="N8847" s="1"/>
    </row>
    <row r="8848" spans="7:14" x14ac:dyDescent="0.35">
      <c r="G8848" s="1"/>
      <c r="N8848" s="1"/>
    </row>
    <row r="8849" spans="7:14" x14ac:dyDescent="0.35">
      <c r="G8849" s="1"/>
      <c r="N8849" s="1"/>
    </row>
    <row r="8850" spans="7:14" x14ac:dyDescent="0.35">
      <c r="G8850" s="1"/>
      <c r="N8850" s="1"/>
    </row>
    <row r="8851" spans="7:14" x14ac:dyDescent="0.35">
      <c r="G8851" s="1"/>
      <c r="N8851" s="1"/>
    </row>
    <row r="8852" spans="7:14" x14ac:dyDescent="0.35">
      <c r="G8852" s="1"/>
      <c r="N8852" s="1"/>
    </row>
    <row r="8853" spans="7:14" x14ac:dyDescent="0.35">
      <c r="G8853" s="1"/>
      <c r="N8853" s="1"/>
    </row>
    <row r="8854" spans="7:14" x14ac:dyDescent="0.35">
      <c r="G8854" s="1"/>
      <c r="N8854" s="1"/>
    </row>
    <row r="8855" spans="7:14" x14ac:dyDescent="0.35">
      <c r="G8855" s="1"/>
      <c r="N8855" s="1"/>
    </row>
    <row r="8856" spans="7:14" x14ac:dyDescent="0.35">
      <c r="G8856" s="1"/>
      <c r="N8856" s="1"/>
    </row>
    <row r="8857" spans="7:14" x14ac:dyDescent="0.35">
      <c r="G8857" s="1"/>
      <c r="N8857" s="1"/>
    </row>
    <row r="8858" spans="7:14" x14ac:dyDescent="0.35">
      <c r="G8858" s="1"/>
      <c r="N8858" s="1"/>
    </row>
    <row r="8859" spans="7:14" x14ac:dyDescent="0.35">
      <c r="G8859" s="1"/>
      <c r="N8859" s="1"/>
    </row>
    <row r="8860" spans="7:14" x14ac:dyDescent="0.35">
      <c r="G8860" s="1"/>
      <c r="N8860" s="1"/>
    </row>
    <row r="8861" spans="7:14" x14ac:dyDescent="0.35">
      <c r="G8861" s="1"/>
      <c r="N8861" s="1"/>
    </row>
    <row r="8862" spans="7:14" x14ac:dyDescent="0.35">
      <c r="G8862" s="1"/>
      <c r="N8862" s="1"/>
    </row>
    <row r="8863" spans="7:14" x14ac:dyDescent="0.35">
      <c r="G8863" s="1"/>
      <c r="N8863" s="1"/>
    </row>
    <row r="8864" spans="7:14" x14ac:dyDescent="0.35">
      <c r="G8864" s="1"/>
      <c r="N8864" s="1"/>
    </row>
    <row r="8865" spans="7:14" x14ac:dyDescent="0.35">
      <c r="G8865" s="1"/>
      <c r="N8865" s="1"/>
    </row>
    <row r="8866" spans="7:14" x14ac:dyDescent="0.35">
      <c r="G8866" s="1"/>
      <c r="N8866" s="1"/>
    </row>
    <row r="8867" spans="7:14" x14ac:dyDescent="0.35">
      <c r="G8867" s="1"/>
      <c r="N8867" s="1"/>
    </row>
    <row r="8868" spans="7:14" x14ac:dyDescent="0.35">
      <c r="G8868" s="1"/>
      <c r="N8868" s="1"/>
    </row>
    <row r="8869" spans="7:14" x14ac:dyDescent="0.35">
      <c r="G8869" s="1"/>
      <c r="N8869" s="1"/>
    </row>
    <row r="8870" spans="7:14" x14ac:dyDescent="0.35">
      <c r="G8870" s="1"/>
      <c r="N8870" s="1"/>
    </row>
    <row r="8871" spans="7:14" x14ac:dyDescent="0.35">
      <c r="G8871" s="1"/>
      <c r="N8871" s="1"/>
    </row>
    <row r="8872" spans="7:14" x14ac:dyDescent="0.35">
      <c r="G8872" s="1"/>
      <c r="N8872" s="1"/>
    </row>
    <row r="8873" spans="7:14" x14ac:dyDescent="0.35">
      <c r="G8873" s="1"/>
      <c r="N8873" s="1"/>
    </row>
    <row r="8874" spans="7:14" x14ac:dyDescent="0.35">
      <c r="G8874" s="1"/>
      <c r="N8874" s="1"/>
    </row>
    <row r="8875" spans="7:14" x14ac:dyDescent="0.35">
      <c r="G8875" s="1"/>
      <c r="N8875" s="1"/>
    </row>
    <row r="8876" spans="7:14" x14ac:dyDescent="0.35">
      <c r="G8876" s="1"/>
      <c r="N8876" s="1"/>
    </row>
    <row r="8877" spans="7:14" x14ac:dyDescent="0.35">
      <c r="G8877" s="1"/>
      <c r="N8877" s="1"/>
    </row>
    <row r="8878" spans="7:14" x14ac:dyDescent="0.35">
      <c r="G8878" s="1"/>
      <c r="N8878" s="1"/>
    </row>
    <row r="8879" spans="7:14" x14ac:dyDescent="0.35">
      <c r="G8879" s="1"/>
      <c r="N8879" s="1"/>
    </row>
    <row r="8880" spans="7:14" x14ac:dyDescent="0.35">
      <c r="G8880" s="1"/>
      <c r="N8880" s="1"/>
    </row>
    <row r="8881" spans="7:14" x14ac:dyDescent="0.35">
      <c r="G8881" s="1"/>
      <c r="N8881" s="1"/>
    </row>
    <row r="8882" spans="7:14" x14ac:dyDescent="0.35">
      <c r="G8882" s="1"/>
      <c r="N8882" s="1"/>
    </row>
    <row r="8883" spans="7:14" x14ac:dyDescent="0.35">
      <c r="G8883" s="1"/>
      <c r="N8883" s="1"/>
    </row>
    <row r="8884" spans="7:14" x14ac:dyDescent="0.35">
      <c r="G8884" s="1"/>
      <c r="N8884" s="1"/>
    </row>
    <row r="8885" spans="7:14" x14ac:dyDescent="0.35">
      <c r="G8885" s="1"/>
      <c r="N8885" s="1"/>
    </row>
    <row r="8886" spans="7:14" x14ac:dyDescent="0.35">
      <c r="G8886" s="1"/>
      <c r="N8886" s="1"/>
    </row>
    <row r="8887" spans="7:14" x14ac:dyDescent="0.35">
      <c r="G8887" s="1"/>
      <c r="N8887" s="1"/>
    </row>
    <row r="8888" spans="7:14" x14ac:dyDescent="0.35">
      <c r="G8888" s="1"/>
      <c r="N8888" s="1"/>
    </row>
    <row r="8889" spans="7:14" x14ac:dyDescent="0.35">
      <c r="G8889" s="1"/>
      <c r="N8889" s="1"/>
    </row>
    <row r="8890" spans="7:14" x14ac:dyDescent="0.35">
      <c r="G8890" s="1"/>
      <c r="N8890" s="1"/>
    </row>
    <row r="8891" spans="7:14" x14ac:dyDescent="0.35">
      <c r="G8891" s="1"/>
      <c r="N8891" s="1"/>
    </row>
    <row r="8892" spans="7:14" x14ac:dyDescent="0.35">
      <c r="G8892" s="1"/>
      <c r="N8892" s="1"/>
    </row>
    <row r="8893" spans="7:14" x14ac:dyDescent="0.35">
      <c r="G8893" s="1"/>
      <c r="N8893" s="1"/>
    </row>
    <row r="8894" spans="7:14" x14ac:dyDescent="0.35">
      <c r="G8894" s="1"/>
      <c r="N8894" s="1"/>
    </row>
    <row r="8895" spans="7:14" x14ac:dyDescent="0.35">
      <c r="G8895" s="1"/>
      <c r="N8895" s="1"/>
    </row>
    <row r="8896" spans="7:14" x14ac:dyDescent="0.35">
      <c r="G8896" s="1"/>
      <c r="N8896" s="1"/>
    </row>
    <row r="8897" spans="7:14" x14ac:dyDescent="0.35">
      <c r="G8897" s="1"/>
      <c r="N8897" s="1"/>
    </row>
    <row r="8898" spans="7:14" x14ac:dyDescent="0.35">
      <c r="G8898" s="1"/>
      <c r="N8898" s="1"/>
    </row>
    <row r="8899" spans="7:14" x14ac:dyDescent="0.35">
      <c r="G8899" s="1"/>
      <c r="N8899" s="1"/>
    </row>
    <row r="8900" spans="7:14" x14ac:dyDescent="0.35">
      <c r="G8900" s="1"/>
      <c r="N8900" s="1"/>
    </row>
    <row r="8901" spans="7:14" x14ac:dyDescent="0.35">
      <c r="G8901" s="1"/>
      <c r="N8901" s="1"/>
    </row>
    <row r="8902" spans="7:14" x14ac:dyDescent="0.35">
      <c r="G8902" s="1"/>
      <c r="N8902" s="1"/>
    </row>
    <row r="8903" spans="7:14" x14ac:dyDescent="0.35">
      <c r="G8903" s="1"/>
      <c r="N8903" s="1"/>
    </row>
    <row r="8904" spans="7:14" x14ac:dyDescent="0.35">
      <c r="G8904" s="1"/>
      <c r="N8904" s="1"/>
    </row>
    <row r="8905" spans="7:14" x14ac:dyDescent="0.35">
      <c r="G8905" s="1"/>
      <c r="N8905" s="1"/>
    </row>
    <row r="8906" spans="7:14" x14ac:dyDescent="0.35">
      <c r="G8906" s="1"/>
      <c r="N8906" s="1"/>
    </row>
    <row r="8907" spans="7:14" x14ac:dyDescent="0.35">
      <c r="G8907" s="1"/>
      <c r="N8907" s="1"/>
    </row>
    <row r="8908" spans="7:14" x14ac:dyDescent="0.35">
      <c r="G8908" s="1"/>
      <c r="N8908" s="1"/>
    </row>
    <row r="8909" spans="7:14" x14ac:dyDescent="0.35">
      <c r="G8909" s="1"/>
      <c r="N8909" s="1"/>
    </row>
    <row r="8910" spans="7:14" x14ac:dyDescent="0.35">
      <c r="G8910" s="1"/>
      <c r="N8910" s="1"/>
    </row>
    <row r="8911" spans="7:14" x14ac:dyDescent="0.35">
      <c r="G8911" s="1"/>
      <c r="N8911" s="1"/>
    </row>
    <row r="8912" spans="7:14" x14ac:dyDescent="0.35">
      <c r="G8912" s="1"/>
      <c r="N8912" s="1"/>
    </row>
    <row r="8913" spans="7:14" x14ac:dyDescent="0.35">
      <c r="G8913" s="1"/>
      <c r="N8913" s="1"/>
    </row>
    <row r="8914" spans="7:14" x14ac:dyDescent="0.35">
      <c r="G8914" s="1"/>
      <c r="N8914" s="1"/>
    </row>
    <row r="8915" spans="7:14" x14ac:dyDescent="0.35">
      <c r="G8915" s="1"/>
      <c r="N8915" s="1"/>
    </row>
    <row r="8916" spans="7:14" x14ac:dyDescent="0.35">
      <c r="G8916" s="1"/>
      <c r="N8916" s="1"/>
    </row>
    <row r="8917" spans="7:14" x14ac:dyDescent="0.35">
      <c r="G8917" s="1"/>
      <c r="N8917" s="1"/>
    </row>
    <row r="8918" spans="7:14" x14ac:dyDescent="0.35">
      <c r="G8918" s="1"/>
      <c r="N8918" s="1"/>
    </row>
    <row r="8919" spans="7:14" x14ac:dyDescent="0.35">
      <c r="G8919" s="1"/>
      <c r="N8919" s="1"/>
    </row>
    <row r="8920" spans="7:14" x14ac:dyDescent="0.35">
      <c r="G8920" s="1"/>
      <c r="N8920" s="1"/>
    </row>
    <row r="8921" spans="7:14" x14ac:dyDescent="0.35">
      <c r="G8921" s="1"/>
      <c r="N8921" s="1"/>
    </row>
    <row r="8922" spans="7:14" x14ac:dyDescent="0.35">
      <c r="G8922" s="1"/>
      <c r="N8922" s="1"/>
    </row>
    <row r="8923" spans="7:14" x14ac:dyDescent="0.35">
      <c r="G8923" s="1"/>
      <c r="N8923" s="1"/>
    </row>
    <row r="8924" spans="7:14" x14ac:dyDescent="0.35">
      <c r="G8924" s="1"/>
      <c r="N8924" s="1"/>
    </row>
    <row r="8925" spans="7:14" x14ac:dyDescent="0.35">
      <c r="G8925" s="1"/>
      <c r="N8925" s="1"/>
    </row>
    <row r="8926" spans="7:14" x14ac:dyDescent="0.35">
      <c r="G8926" s="1"/>
      <c r="N8926" s="1"/>
    </row>
    <row r="8927" spans="7:14" x14ac:dyDescent="0.35">
      <c r="G8927" s="1"/>
      <c r="N8927" s="1"/>
    </row>
    <row r="8928" spans="7:14" x14ac:dyDescent="0.35">
      <c r="G8928" s="1"/>
      <c r="N8928" s="1"/>
    </row>
    <row r="8929" spans="7:14" x14ac:dyDescent="0.35">
      <c r="G8929" s="1"/>
      <c r="N8929" s="1"/>
    </row>
    <row r="8930" spans="7:14" x14ac:dyDescent="0.35">
      <c r="G8930" s="1"/>
      <c r="N8930" s="1"/>
    </row>
    <row r="8931" spans="7:14" x14ac:dyDescent="0.35">
      <c r="G8931" s="1"/>
      <c r="N8931" s="1"/>
    </row>
    <row r="8932" spans="7:14" x14ac:dyDescent="0.35">
      <c r="G8932" s="1"/>
      <c r="N8932" s="1"/>
    </row>
    <row r="8933" spans="7:14" x14ac:dyDescent="0.35">
      <c r="G8933" s="1"/>
      <c r="N8933" s="1"/>
    </row>
    <row r="8934" spans="7:14" x14ac:dyDescent="0.35">
      <c r="G8934" s="1"/>
      <c r="N8934" s="1"/>
    </row>
    <row r="8935" spans="7:14" x14ac:dyDescent="0.35">
      <c r="G8935" s="1"/>
      <c r="N8935" s="1"/>
    </row>
    <row r="8936" spans="7:14" x14ac:dyDescent="0.35">
      <c r="G8936" s="1"/>
      <c r="N8936" s="1"/>
    </row>
    <row r="8937" spans="7:14" x14ac:dyDescent="0.35">
      <c r="G8937" s="1"/>
      <c r="N8937" s="1"/>
    </row>
    <row r="8938" spans="7:14" x14ac:dyDescent="0.35">
      <c r="G8938" s="1"/>
      <c r="N8938" s="1"/>
    </row>
    <row r="8939" spans="7:14" x14ac:dyDescent="0.35">
      <c r="G8939" s="1"/>
      <c r="N8939" s="1"/>
    </row>
    <row r="8940" spans="7:14" x14ac:dyDescent="0.35">
      <c r="G8940" s="1"/>
      <c r="N8940" s="1"/>
    </row>
    <row r="8941" spans="7:14" x14ac:dyDescent="0.35">
      <c r="G8941" s="1"/>
      <c r="N8941" s="1"/>
    </row>
    <row r="8942" spans="7:14" x14ac:dyDescent="0.35">
      <c r="G8942" s="1"/>
      <c r="N8942" s="1"/>
    </row>
    <row r="8943" spans="7:14" x14ac:dyDescent="0.35">
      <c r="G8943" s="1"/>
      <c r="N8943" s="1"/>
    </row>
    <row r="8944" spans="7:14" x14ac:dyDescent="0.35">
      <c r="G8944" s="1"/>
      <c r="N8944" s="1"/>
    </row>
    <row r="8945" spans="7:14" x14ac:dyDescent="0.35">
      <c r="G8945" s="1"/>
      <c r="N8945" s="1"/>
    </row>
    <row r="8946" spans="7:14" x14ac:dyDescent="0.35">
      <c r="G8946" s="1"/>
      <c r="N8946" s="1"/>
    </row>
    <row r="8947" spans="7:14" x14ac:dyDescent="0.35">
      <c r="G8947" s="1"/>
      <c r="N8947" s="1"/>
    </row>
    <row r="8948" spans="7:14" x14ac:dyDescent="0.35">
      <c r="G8948" s="1"/>
      <c r="N8948" s="1"/>
    </row>
    <row r="8949" spans="7:14" x14ac:dyDescent="0.35">
      <c r="G8949" s="1"/>
      <c r="N8949" s="1"/>
    </row>
    <row r="8950" spans="7:14" x14ac:dyDescent="0.35">
      <c r="G8950" s="1"/>
      <c r="N8950" s="1"/>
    </row>
    <row r="8951" spans="7:14" x14ac:dyDescent="0.35">
      <c r="G8951" s="1"/>
      <c r="N8951" s="1"/>
    </row>
    <row r="8952" spans="7:14" x14ac:dyDescent="0.35">
      <c r="G8952" s="1"/>
      <c r="N8952" s="1"/>
    </row>
    <row r="8953" spans="7:14" x14ac:dyDescent="0.35">
      <c r="G8953" s="1"/>
      <c r="N8953" s="1"/>
    </row>
    <row r="8954" spans="7:14" x14ac:dyDescent="0.35">
      <c r="G8954" s="1"/>
      <c r="N8954" s="1"/>
    </row>
    <row r="8955" spans="7:14" x14ac:dyDescent="0.35">
      <c r="G8955" s="1"/>
      <c r="N8955" s="1"/>
    </row>
    <row r="8956" spans="7:14" x14ac:dyDescent="0.35">
      <c r="G8956" s="1"/>
      <c r="N8956" s="1"/>
    </row>
    <row r="8957" spans="7:14" x14ac:dyDescent="0.35">
      <c r="G8957" s="1"/>
      <c r="N8957" s="1"/>
    </row>
    <row r="8958" spans="7:14" x14ac:dyDescent="0.35">
      <c r="G8958" s="1"/>
      <c r="N8958" s="1"/>
    </row>
    <row r="8959" spans="7:14" x14ac:dyDescent="0.35">
      <c r="G8959" s="1"/>
      <c r="N8959" s="1"/>
    </row>
    <row r="8960" spans="7:14" x14ac:dyDescent="0.35">
      <c r="G8960" s="1"/>
      <c r="N8960" s="1"/>
    </row>
    <row r="8961" spans="7:14" x14ac:dyDescent="0.35">
      <c r="G8961" s="1"/>
      <c r="N8961" s="1"/>
    </row>
    <row r="8962" spans="7:14" x14ac:dyDescent="0.35">
      <c r="G8962" s="1"/>
      <c r="N8962" s="1"/>
    </row>
    <row r="8963" spans="7:14" x14ac:dyDescent="0.35">
      <c r="G8963" s="1"/>
      <c r="N8963" s="1"/>
    </row>
    <row r="8964" spans="7:14" x14ac:dyDescent="0.35">
      <c r="G8964" s="1"/>
      <c r="N8964" s="1"/>
    </row>
    <row r="8965" spans="7:14" x14ac:dyDescent="0.35">
      <c r="G8965" s="1"/>
      <c r="N8965" s="1"/>
    </row>
    <row r="8966" spans="7:14" x14ac:dyDescent="0.35">
      <c r="G8966" s="1"/>
      <c r="N8966" s="1"/>
    </row>
    <row r="8967" spans="7:14" x14ac:dyDescent="0.35">
      <c r="G8967" s="1"/>
      <c r="N8967" s="1"/>
    </row>
    <row r="8968" spans="7:14" x14ac:dyDescent="0.35">
      <c r="G8968" s="1"/>
      <c r="N8968" s="1"/>
    </row>
    <row r="8969" spans="7:14" x14ac:dyDescent="0.35">
      <c r="G8969" s="1"/>
      <c r="N8969" s="1"/>
    </row>
    <row r="8970" spans="7:14" x14ac:dyDescent="0.35">
      <c r="G8970" s="1"/>
      <c r="N8970" s="1"/>
    </row>
    <row r="8971" spans="7:14" x14ac:dyDescent="0.35">
      <c r="G8971" s="1"/>
      <c r="N8971" s="1"/>
    </row>
    <row r="8972" spans="7:14" x14ac:dyDescent="0.35">
      <c r="G8972" s="1"/>
      <c r="N8972" s="1"/>
    </row>
    <row r="8973" spans="7:14" x14ac:dyDescent="0.35">
      <c r="G8973" s="1"/>
      <c r="N8973" s="1"/>
    </row>
    <row r="8974" spans="7:14" x14ac:dyDescent="0.35">
      <c r="G8974" s="1"/>
      <c r="N8974" s="1"/>
    </row>
    <row r="8975" spans="7:14" x14ac:dyDescent="0.35">
      <c r="G8975" s="1"/>
      <c r="N8975" s="1"/>
    </row>
    <row r="8976" spans="7:14" x14ac:dyDescent="0.35">
      <c r="G8976" s="1"/>
      <c r="N8976" s="1"/>
    </row>
    <row r="8977" spans="7:14" x14ac:dyDescent="0.35">
      <c r="G8977" s="1"/>
      <c r="N8977" s="1"/>
    </row>
    <row r="8978" spans="7:14" x14ac:dyDescent="0.35">
      <c r="G8978" s="1"/>
      <c r="N8978" s="1"/>
    </row>
    <row r="8979" spans="7:14" x14ac:dyDescent="0.35">
      <c r="G8979" s="1"/>
      <c r="N8979" s="1"/>
    </row>
    <row r="8980" spans="7:14" x14ac:dyDescent="0.35">
      <c r="G8980" s="1"/>
      <c r="N8980" s="1"/>
    </row>
    <row r="8981" spans="7:14" x14ac:dyDescent="0.35">
      <c r="G8981" s="1"/>
      <c r="N8981" s="1"/>
    </row>
    <row r="8982" spans="7:14" x14ac:dyDescent="0.35">
      <c r="G8982" s="1"/>
      <c r="N8982" s="1"/>
    </row>
    <row r="8983" spans="7:14" x14ac:dyDescent="0.35">
      <c r="G8983" s="1"/>
      <c r="N8983" s="1"/>
    </row>
    <row r="8984" spans="7:14" x14ac:dyDescent="0.35">
      <c r="G8984" s="1"/>
      <c r="N8984" s="1"/>
    </row>
    <row r="8985" spans="7:14" x14ac:dyDescent="0.35">
      <c r="G8985" s="1"/>
      <c r="N8985" s="1"/>
    </row>
    <row r="8986" spans="7:14" x14ac:dyDescent="0.35">
      <c r="G8986" s="1"/>
      <c r="N8986" s="1"/>
    </row>
    <row r="8987" spans="7:14" x14ac:dyDescent="0.35">
      <c r="G8987" s="1"/>
      <c r="N8987" s="1"/>
    </row>
    <row r="8988" spans="7:14" x14ac:dyDescent="0.35">
      <c r="G8988" s="1"/>
      <c r="N8988" s="1"/>
    </row>
    <row r="8989" spans="7:14" x14ac:dyDescent="0.35">
      <c r="G8989" s="1"/>
      <c r="N8989" s="1"/>
    </row>
    <row r="8990" spans="7:14" x14ac:dyDescent="0.35">
      <c r="G8990" s="1"/>
      <c r="N8990" s="1"/>
    </row>
    <row r="8991" spans="7:14" x14ac:dyDescent="0.35">
      <c r="G8991" s="1"/>
      <c r="N8991" s="1"/>
    </row>
    <row r="8992" spans="7:14" x14ac:dyDescent="0.35">
      <c r="G8992" s="1"/>
      <c r="N8992" s="1"/>
    </row>
    <row r="8993" spans="7:14" x14ac:dyDescent="0.35">
      <c r="G8993" s="1"/>
      <c r="N8993" s="1"/>
    </row>
    <row r="8994" spans="7:14" x14ac:dyDescent="0.35">
      <c r="G8994" s="1"/>
      <c r="N8994" s="1"/>
    </row>
    <row r="8995" spans="7:14" x14ac:dyDescent="0.35">
      <c r="G8995" s="1"/>
      <c r="N8995" s="1"/>
    </row>
    <row r="8996" spans="7:14" x14ac:dyDescent="0.35">
      <c r="G8996" s="1"/>
      <c r="N8996" s="1"/>
    </row>
    <row r="8997" spans="7:14" x14ac:dyDescent="0.35">
      <c r="G8997" s="1"/>
      <c r="N8997" s="1"/>
    </row>
    <row r="8998" spans="7:14" x14ac:dyDescent="0.35">
      <c r="G8998" s="1"/>
      <c r="N8998" s="1"/>
    </row>
    <row r="8999" spans="7:14" x14ac:dyDescent="0.35">
      <c r="G8999" s="1"/>
      <c r="N8999" s="1"/>
    </row>
    <row r="9000" spans="7:14" x14ac:dyDescent="0.35">
      <c r="G9000" s="1"/>
      <c r="N9000" s="1"/>
    </row>
    <row r="9001" spans="7:14" x14ac:dyDescent="0.35">
      <c r="G9001" s="1"/>
      <c r="N9001" s="1"/>
    </row>
    <row r="9002" spans="7:14" x14ac:dyDescent="0.35">
      <c r="G9002" s="1"/>
      <c r="N9002" s="1"/>
    </row>
    <row r="9003" spans="7:14" x14ac:dyDescent="0.35">
      <c r="G9003" s="1"/>
      <c r="N9003" s="1"/>
    </row>
    <row r="9004" spans="7:14" x14ac:dyDescent="0.35">
      <c r="G9004" s="1"/>
      <c r="N9004" s="1"/>
    </row>
    <row r="9005" spans="7:14" x14ac:dyDescent="0.35">
      <c r="G9005" s="1"/>
      <c r="N9005" s="1"/>
    </row>
    <row r="9006" spans="7:14" x14ac:dyDescent="0.35">
      <c r="G9006" s="1"/>
      <c r="N9006" s="1"/>
    </row>
    <row r="9007" spans="7:14" x14ac:dyDescent="0.35">
      <c r="G9007" s="1"/>
      <c r="N9007" s="1"/>
    </row>
    <row r="9008" spans="7:14" x14ac:dyDescent="0.35">
      <c r="G9008" s="1"/>
      <c r="N9008" s="1"/>
    </row>
    <row r="9009" spans="7:14" x14ac:dyDescent="0.35">
      <c r="G9009" s="1"/>
      <c r="N9009" s="1"/>
    </row>
    <row r="9010" spans="7:14" x14ac:dyDescent="0.35">
      <c r="G9010" s="1"/>
      <c r="N9010" s="1"/>
    </row>
    <row r="9011" spans="7:14" x14ac:dyDescent="0.35">
      <c r="G9011" s="1"/>
      <c r="N9011" s="1"/>
    </row>
    <row r="9012" spans="7:14" x14ac:dyDescent="0.35">
      <c r="G9012" s="1"/>
      <c r="N9012" s="1"/>
    </row>
    <row r="9013" spans="7:14" x14ac:dyDescent="0.35">
      <c r="G9013" s="1"/>
      <c r="N9013" s="1"/>
    </row>
    <row r="9014" spans="7:14" x14ac:dyDescent="0.35">
      <c r="G9014" s="1"/>
      <c r="N9014" s="1"/>
    </row>
    <row r="9015" spans="7:14" x14ac:dyDescent="0.35">
      <c r="G9015" s="1"/>
      <c r="N9015" s="1"/>
    </row>
    <row r="9016" spans="7:14" x14ac:dyDescent="0.35">
      <c r="G9016" s="1"/>
      <c r="N9016" s="1"/>
    </row>
    <row r="9017" spans="7:14" x14ac:dyDescent="0.35">
      <c r="G9017" s="1"/>
      <c r="N9017" s="1"/>
    </row>
    <row r="9018" spans="7:14" x14ac:dyDescent="0.35">
      <c r="G9018" s="1"/>
      <c r="N9018" s="1"/>
    </row>
    <row r="9019" spans="7:14" x14ac:dyDescent="0.35">
      <c r="G9019" s="1"/>
      <c r="N9019" s="1"/>
    </row>
    <row r="9020" spans="7:14" x14ac:dyDescent="0.35">
      <c r="G9020" s="1"/>
      <c r="N9020" s="1"/>
    </row>
    <row r="9021" spans="7:14" x14ac:dyDescent="0.35">
      <c r="G9021" s="1"/>
      <c r="N9021" s="1"/>
    </row>
    <row r="9022" spans="7:14" x14ac:dyDescent="0.35">
      <c r="G9022" s="1"/>
      <c r="N9022" s="1"/>
    </row>
    <row r="9023" spans="7:14" x14ac:dyDescent="0.35">
      <c r="G9023" s="1"/>
      <c r="N9023" s="1"/>
    </row>
    <row r="9024" spans="7:14" x14ac:dyDescent="0.35">
      <c r="G9024" s="1"/>
      <c r="N9024" s="1"/>
    </row>
    <row r="9025" spans="7:14" x14ac:dyDescent="0.35">
      <c r="G9025" s="1"/>
      <c r="N9025" s="1"/>
    </row>
    <row r="9026" spans="7:14" x14ac:dyDescent="0.35">
      <c r="G9026" s="1"/>
      <c r="N9026" s="1"/>
    </row>
    <row r="9027" spans="7:14" x14ac:dyDescent="0.35">
      <c r="G9027" s="1"/>
      <c r="N9027" s="1"/>
    </row>
    <row r="9028" spans="7:14" x14ac:dyDescent="0.35">
      <c r="G9028" s="1"/>
      <c r="N9028" s="1"/>
    </row>
    <row r="9029" spans="7:14" x14ac:dyDescent="0.35">
      <c r="G9029" s="1"/>
      <c r="N9029" s="1"/>
    </row>
    <row r="9030" spans="7:14" x14ac:dyDescent="0.35">
      <c r="G9030" s="1"/>
      <c r="N9030" s="1"/>
    </row>
    <row r="9031" spans="7:14" x14ac:dyDescent="0.35">
      <c r="G9031" s="1"/>
      <c r="N9031" s="1"/>
    </row>
    <row r="9032" spans="7:14" x14ac:dyDescent="0.35">
      <c r="G9032" s="1"/>
      <c r="N9032" s="1"/>
    </row>
    <row r="9033" spans="7:14" x14ac:dyDescent="0.35">
      <c r="G9033" s="1"/>
      <c r="N9033" s="1"/>
    </row>
    <row r="9034" spans="7:14" x14ac:dyDescent="0.35">
      <c r="G9034" s="1"/>
      <c r="N9034" s="1"/>
    </row>
    <row r="9035" spans="7:14" x14ac:dyDescent="0.35">
      <c r="G9035" s="1"/>
      <c r="N9035" s="1"/>
    </row>
    <row r="9036" spans="7:14" x14ac:dyDescent="0.35">
      <c r="G9036" s="1"/>
      <c r="N9036" s="1"/>
    </row>
    <row r="9037" spans="7:14" x14ac:dyDescent="0.35">
      <c r="G9037" s="1"/>
      <c r="N9037" s="1"/>
    </row>
    <row r="9038" spans="7:14" x14ac:dyDescent="0.35">
      <c r="G9038" s="1"/>
      <c r="N9038" s="1"/>
    </row>
    <row r="9039" spans="7:14" x14ac:dyDescent="0.35">
      <c r="G9039" s="1"/>
      <c r="N9039" s="1"/>
    </row>
    <row r="9040" spans="7:14" x14ac:dyDescent="0.35">
      <c r="G9040" s="1"/>
      <c r="N9040" s="1"/>
    </row>
    <row r="9041" spans="7:14" x14ac:dyDescent="0.35">
      <c r="G9041" s="1"/>
      <c r="N9041" s="1"/>
    </row>
    <row r="9042" spans="7:14" x14ac:dyDescent="0.35">
      <c r="G9042" s="1"/>
      <c r="N9042" s="1"/>
    </row>
    <row r="9043" spans="7:14" x14ac:dyDescent="0.35">
      <c r="G9043" s="1"/>
      <c r="N9043" s="1"/>
    </row>
    <row r="9044" spans="7:14" x14ac:dyDescent="0.35">
      <c r="G9044" s="1"/>
      <c r="N9044" s="1"/>
    </row>
    <row r="9045" spans="7:14" x14ac:dyDescent="0.35">
      <c r="G9045" s="1"/>
      <c r="N9045" s="1"/>
    </row>
    <row r="9046" spans="7:14" x14ac:dyDescent="0.35">
      <c r="G9046" s="1"/>
      <c r="N9046" s="1"/>
    </row>
    <row r="9047" spans="7:14" x14ac:dyDescent="0.35">
      <c r="G9047" s="1"/>
      <c r="N9047" s="1"/>
    </row>
    <row r="9048" spans="7:14" x14ac:dyDescent="0.35">
      <c r="G9048" s="1"/>
      <c r="N9048" s="1"/>
    </row>
    <row r="9049" spans="7:14" x14ac:dyDescent="0.35">
      <c r="G9049" s="1"/>
      <c r="N9049" s="1"/>
    </row>
    <row r="9050" spans="7:14" x14ac:dyDescent="0.35">
      <c r="G9050" s="1"/>
      <c r="N9050" s="1"/>
    </row>
    <row r="9051" spans="7:14" x14ac:dyDescent="0.35">
      <c r="G9051" s="1"/>
      <c r="N9051" s="1"/>
    </row>
    <row r="9052" spans="7:14" x14ac:dyDescent="0.35">
      <c r="G9052" s="1"/>
      <c r="N9052" s="1"/>
    </row>
    <row r="9053" spans="7:14" x14ac:dyDescent="0.35">
      <c r="G9053" s="1"/>
      <c r="N9053" s="1"/>
    </row>
    <row r="9054" spans="7:14" x14ac:dyDescent="0.35">
      <c r="G9054" s="1"/>
      <c r="N9054" s="1"/>
    </row>
    <row r="9055" spans="7:14" x14ac:dyDescent="0.35">
      <c r="G9055" s="1"/>
      <c r="N9055" s="1"/>
    </row>
    <row r="9056" spans="7:14" x14ac:dyDescent="0.35">
      <c r="G9056" s="1"/>
      <c r="N9056" s="1"/>
    </row>
    <row r="9057" spans="7:14" x14ac:dyDescent="0.35">
      <c r="G9057" s="1"/>
      <c r="N9057" s="1"/>
    </row>
    <row r="9058" spans="7:14" x14ac:dyDescent="0.35">
      <c r="G9058" s="1"/>
      <c r="N9058" s="1"/>
    </row>
    <row r="9059" spans="7:14" x14ac:dyDescent="0.35">
      <c r="G9059" s="1"/>
      <c r="N9059" s="1"/>
    </row>
    <row r="9060" spans="7:14" x14ac:dyDescent="0.35">
      <c r="G9060" s="1"/>
      <c r="N9060" s="1"/>
    </row>
    <row r="9061" spans="7:14" x14ac:dyDescent="0.35">
      <c r="G9061" s="1"/>
      <c r="N9061" s="1"/>
    </row>
    <row r="9062" spans="7:14" x14ac:dyDescent="0.35">
      <c r="G9062" s="1"/>
      <c r="N9062" s="1"/>
    </row>
    <row r="9063" spans="7:14" x14ac:dyDescent="0.35">
      <c r="G9063" s="1"/>
      <c r="N9063" s="1"/>
    </row>
    <row r="9064" spans="7:14" x14ac:dyDescent="0.35">
      <c r="G9064" s="1"/>
      <c r="N9064" s="1"/>
    </row>
    <row r="9065" spans="7:14" x14ac:dyDescent="0.35">
      <c r="G9065" s="1"/>
      <c r="N9065" s="1"/>
    </row>
    <row r="9066" spans="7:14" x14ac:dyDescent="0.35">
      <c r="G9066" s="1"/>
      <c r="N9066" s="1"/>
    </row>
    <row r="9067" spans="7:14" x14ac:dyDescent="0.35">
      <c r="G9067" s="1"/>
      <c r="N9067" s="1"/>
    </row>
    <row r="9068" spans="7:14" x14ac:dyDescent="0.35">
      <c r="G9068" s="1"/>
      <c r="N9068" s="1"/>
    </row>
    <row r="9069" spans="7:14" x14ac:dyDescent="0.35">
      <c r="G9069" s="1"/>
      <c r="N9069" s="1"/>
    </row>
    <row r="9070" spans="7:14" x14ac:dyDescent="0.35">
      <c r="G9070" s="1"/>
      <c r="N9070" s="1"/>
    </row>
    <row r="9071" spans="7:14" x14ac:dyDescent="0.35">
      <c r="G9071" s="1"/>
      <c r="N9071" s="1"/>
    </row>
    <row r="9072" spans="7:14" x14ac:dyDescent="0.35">
      <c r="G9072" s="1"/>
      <c r="N9072" s="1"/>
    </row>
    <row r="9073" spans="7:14" x14ac:dyDescent="0.35">
      <c r="G9073" s="1"/>
      <c r="N9073" s="1"/>
    </row>
    <row r="9074" spans="7:14" x14ac:dyDescent="0.35">
      <c r="G9074" s="1"/>
      <c r="N9074" s="1"/>
    </row>
    <row r="9075" spans="7:14" x14ac:dyDescent="0.35">
      <c r="G9075" s="1"/>
      <c r="N9075" s="1"/>
    </row>
    <row r="9076" spans="7:14" x14ac:dyDescent="0.35">
      <c r="G9076" s="1"/>
      <c r="N9076" s="1"/>
    </row>
    <row r="9077" spans="7:14" x14ac:dyDescent="0.35">
      <c r="G9077" s="1"/>
      <c r="N9077" s="1"/>
    </row>
    <row r="9078" spans="7:14" x14ac:dyDescent="0.35">
      <c r="G9078" s="1"/>
      <c r="N9078" s="1"/>
    </row>
    <row r="9079" spans="7:14" x14ac:dyDescent="0.35">
      <c r="G9079" s="1"/>
      <c r="N9079" s="1"/>
    </row>
    <row r="9080" spans="7:14" x14ac:dyDescent="0.35">
      <c r="G9080" s="1"/>
      <c r="N9080" s="1"/>
    </row>
    <row r="9081" spans="7:14" x14ac:dyDescent="0.35">
      <c r="G9081" s="1"/>
      <c r="N9081" s="1"/>
    </row>
    <row r="9082" spans="7:14" x14ac:dyDescent="0.35">
      <c r="G9082" s="1"/>
      <c r="N9082" s="1"/>
    </row>
    <row r="9083" spans="7:14" x14ac:dyDescent="0.35">
      <c r="G9083" s="1"/>
      <c r="N9083" s="1"/>
    </row>
    <row r="9084" spans="7:14" x14ac:dyDescent="0.35">
      <c r="G9084" s="1"/>
      <c r="N9084" s="1"/>
    </row>
    <row r="9085" spans="7:14" x14ac:dyDescent="0.35">
      <c r="G9085" s="1"/>
      <c r="N9085" s="1"/>
    </row>
    <row r="9086" spans="7:14" x14ac:dyDescent="0.35">
      <c r="G9086" s="1"/>
      <c r="N9086" s="1"/>
    </row>
    <row r="9087" spans="7:14" x14ac:dyDescent="0.35">
      <c r="G9087" s="1"/>
      <c r="N9087" s="1"/>
    </row>
    <row r="9088" spans="7:14" x14ac:dyDescent="0.35">
      <c r="G9088" s="1"/>
      <c r="N9088" s="1"/>
    </row>
    <row r="9089" spans="7:14" x14ac:dyDescent="0.35">
      <c r="G9089" s="1"/>
      <c r="N9089" s="1"/>
    </row>
    <row r="9090" spans="7:14" x14ac:dyDescent="0.35">
      <c r="G9090" s="1"/>
      <c r="N9090" s="1"/>
    </row>
    <row r="9091" spans="7:14" x14ac:dyDescent="0.35">
      <c r="G9091" s="1"/>
      <c r="N9091" s="1"/>
    </row>
    <row r="9092" spans="7:14" x14ac:dyDescent="0.35">
      <c r="G9092" s="1"/>
      <c r="N9092" s="1"/>
    </row>
    <row r="9093" spans="7:14" x14ac:dyDescent="0.35">
      <c r="G9093" s="1"/>
      <c r="N9093" s="1"/>
    </row>
    <row r="9094" spans="7:14" x14ac:dyDescent="0.35">
      <c r="G9094" s="1"/>
      <c r="N9094" s="1"/>
    </row>
    <row r="9095" spans="7:14" x14ac:dyDescent="0.35">
      <c r="G9095" s="1"/>
      <c r="N9095" s="1"/>
    </row>
    <row r="9096" spans="7:14" x14ac:dyDescent="0.35">
      <c r="G9096" s="1"/>
      <c r="N9096" s="1"/>
    </row>
    <row r="9097" spans="7:14" x14ac:dyDescent="0.35">
      <c r="G9097" s="1"/>
      <c r="N9097" s="1"/>
    </row>
    <row r="9098" spans="7:14" x14ac:dyDescent="0.35">
      <c r="G9098" s="1"/>
      <c r="N9098" s="1"/>
    </row>
    <row r="9099" spans="7:14" x14ac:dyDescent="0.35">
      <c r="G9099" s="1"/>
      <c r="N9099" s="1"/>
    </row>
    <row r="9100" spans="7:14" x14ac:dyDescent="0.35">
      <c r="G9100" s="1"/>
      <c r="N9100" s="1"/>
    </row>
    <row r="9101" spans="7:14" x14ac:dyDescent="0.35">
      <c r="G9101" s="1"/>
      <c r="N9101" s="1"/>
    </row>
    <row r="9102" spans="7:14" x14ac:dyDescent="0.35">
      <c r="G9102" s="1"/>
      <c r="N9102" s="1"/>
    </row>
    <row r="9103" spans="7:14" x14ac:dyDescent="0.35">
      <c r="G9103" s="1"/>
      <c r="N9103" s="1"/>
    </row>
    <row r="9104" spans="7:14" x14ac:dyDescent="0.35">
      <c r="G9104" s="1"/>
      <c r="N9104" s="1"/>
    </row>
    <row r="9105" spans="7:14" x14ac:dyDescent="0.35">
      <c r="G9105" s="1"/>
      <c r="N9105" s="1"/>
    </row>
    <row r="9106" spans="7:14" x14ac:dyDescent="0.35">
      <c r="G9106" s="1"/>
      <c r="N9106" s="1"/>
    </row>
    <row r="9107" spans="7:14" x14ac:dyDescent="0.35">
      <c r="G9107" s="1"/>
      <c r="N9107" s="1"/>
    </row>
    <row r="9108" spans="7:14" x14ac:dyDescent="0.35">
      <c r="G9108" s="1"/>
      <c r="N9108" s="1"/>
    </row>
    <row r="9109" spans="7:14" x14ac:dyDescent="0.35">
      <c r="G9109" s="1"/>
      <c r="N9109" s="1"/>
    </row>
    <row r="9110" spans="7:14" x14ac:dyDescent="0.35">
      <c r="G9110" s="1"/>
      <c r="N9110" s="1"/>
    </row>
    <row r="9111" spans="7:14" x14ac:dyDescent="0.35">
      <c r="G9111" s="1"/>
      <c r="N9111" s="1"/>
    </row>
    <row r="9112" spans="7:14" x14ac:dyDescent="0.35">
      <c r="G9112" s="1"/>
      <c r="N9112" s="1"/>
    </row>
    <row r="9113" spans="7:14" x14ac:dyDescent="0.35">
      <c r="G9113" s="1"/>
      <c r="N9113" s="1"/>
    </row>
    <row r="9114" spans="7:14" x14ac:dyDescent="0.35">
      <c r="G9114" s="1"/>
      <c r="N9114" s="1"/>
    </row>
    <row r="9115" spans="7:14" x14ac:dyDescent="0.35">
      <c r="G9115" s="1"/>
      <c r="N9115" s="1"/>
    </row>
    <row r="9116" spans="7:14" x14ac:dyDescent="0.35">
      <c r="G9116" s="1"/>
      <c r="N9116" s="1"/>
    </row>
    <row r="9117" spans="7:14" x14ac:dyDescent="0.35">
      <c r="G9117" s="1"/>
      <c r="N9117" s="1"/>
    </row>
    <row r="9118" spans="7:14" x14ac:dyDescent="0.35">
      <c r="G9118" s="1"/>
      <c r="N9118" s="1"/>
    </row>
    <row r="9119" spans="7:14" x14ac:dyDescent="0.35">
      <c r="G9119" s="1"/>
      <c r="N9119" s="1"/>
    </row>
    <row r="9120" spans="7:14" x14ac:dyDescent="0.35">
      <c r="G9120" s="1"/>
      <c r="N9120" s="1"/>
    </row>
    <row r="9121" spans="7:14" x14ac:dyDescent="0.35">
      <c r="G9121" s="1"/>
      <c r="N9121" s="1"/>
    </row>
    <row r="9122" spans="7:14" x14ac:dyDescent="0.35">
      <c r="G9122" s="1"/>
      <c r="N9122" s="1"/>
    </row>
    <row r="9123" spans="7:14" x14ac:dyDescent="0.35">
      <c r="G9123" s="1"/>
      <c r="N9123" s="1"/>
    </row>
    <row r="9124" spans="7:14" x14ac:dyDescent="0.35">
      <c r="G9124" s="1"/>
      <c r="N9124" s="1"/>
    </row>
    <row r="9125" spans="7:14" x14ac:dyDescent="0.35">
      <c r="G9125" s="1"/>
      <c r="N9125" s="1"/>
    </row>
    <row r="9126" spans="7:14" x14ac:dyDescent="0.35">
      <c r="G9126" s="1"/>
      <c r="N9126" s="1"/>
    </row>
    <row r="9127" spans="7:14" x14ac:dyDescent="0.35">
      <c r="G9127" s="1"/>
      <c r="N9127" s="1"/>
    </row>
    <row r="9128" spans="7:14" x14ac:dyDescent="0.35">
      <c r="G9128" s="1"/>
      <c r="N9128" s="1"/>
    </row>
    <row r="9129" spans="7:14" x14ac:dyDescent="0.35">
      <c r="G9129" s="1"/>
      <c r="N9129" s="1"/>
    </row>
    <row r="9130" spans="7:14" x14ac:dyDescent="0.35">
      <c r="G9130" s="1"/>
      <c r="N9130" s="1"/>
    </row>
    <row r="9131" spans="7:14" x14ac:dyDescent="0.35">
      <c r="G9131" s="1"/>
      <c r="N9131" s="1"/>
    </row>
    <row r="9132" spans="7:14" x14ac:dyDescent="0.35">
      <c r="G9132" s="1"/>
      <c r="N9132" s="1"/>
    </row>
    <row r="9133" spans="7:14" x14ac:dyDescent="0.35">
      <c r="G9133" s="1"/>
      <c r="N9133" s="1"/>
    </row>
    <row r="9134" spans="7:14" x14ac:dyDescent="0.35">
      <c r="G9134" s="1"/>
      <c r="N9134" s="1"/>
    </row>
    <row r="9135" spans="7:14" x14ac:dyDescent="0.35">
      <c r="G9135" s="1"/>
      <c r="N9135" s="1"/>
    </row>
    <row r="9136" spans="7:14" x14ac:dyDescent="0.35">
      <c r="G9136" s="1"/>
      <c r="N9136" s="1"/>
    </row>
    <row r="9137" spans="7:14" x14ac:dyDescent="0.35">
      <c r="G9137" s="1"/>
      <c r="N9137" s="1"/>
    </row>
    <row r="9138" spans="7:14" x14ac:dyDescent="0.35">
      <c r="G9138" s="1"/>
      <c r="N9138" s="1"/>
    </row>
    <row r="9139" spans="7:14" x14ac:dyDescent="0.35">
      <c r="G9139" s="1"/>
      <c r="N9139" s="1"/>
    </row>
    <row r="9140" spans="7:14" x14ac:dyDescent="0.35">
      <c r="G9140" s="1"/>
      <c r="N9140" s="1"/>
    </row>
    <row r="9141" spans="7:14" x14ac:dyDescent="0.35">
      <c r="G9141" s="1"/>
      <c r="N9141" s="1"/>
    </row>
    <row r="9142" spans="7:14" x14ac:dyDescent="0.35">
      <c r="G9142" s="1"/>
      <c r="N9142" s="1"/>
    </row>
    <row r="9143" spans="7:14" x14ac:dyDescent="0.35">
      <c r="G9143" s="1"/>
      <c r="N9143" s="1"/>
    </row>
    <row r="9144" spans="7:14" x14ac:dyDescent="0.35">
      <c r="G9144" s="1"/>
      <c r="N9144" s="1"/>
    </row>
    <row r="9145" spans="7:14" x14ac:dyDescent="0.35">
      <c r="G9145" s="1"/>
      <c r="N9145" s="1"/>
    </row>
    <row r="9146" spans="7:14" x14ac:dyDescent="0.35">
      <c r="G9146" s="1"/>
      <c r="N9146" s="1"/>
    </row>
    <row r="9147" spans="7:14" x14ac:dyDescent="0.35">
      <c r="G9147" s="1"/>
      <c r="N9147" s="1"/>
    </row>
    <row r="9148" spans="7:14" x14ac:dyDescent="0.35">
      <c r="G9148" s="1"/>
      <c r="N9148" s="1"/>
    </row>
    <row r="9149" spans="7:14" x14ac:dyDescent="0.35">
      <c r="G9149" s="1"/>
      <c r="N9149" s="1"/>
    </row>
    <row r="9150" spans="7:14" x14ac:dyDescent="0.35">
      <c r="G9150" s="1"/>
      <c r="N9150" s="1"/>
    </row>
    <row r="9151" spans="7:14" x14ac:dyDescent="0.35">
      <c r="G9151" s="1"/>
      <c r="N9151" s="1"/>
    </row>
    <row r="9152" spans="7:14" x14ac:dyDescent="0.35">
      <c r="G9152" s="1"/>
      <c r="N9152" s="1"/>
    </row>
    <row r="9153" spans="7:14" x14ac:dyDescent="0.35">
      <c r="G9153" s="1"/>
      <c r="N9153" s="1"/>
    </row>
    <row r="9154" spans="7:14" x14ac:dyDescent="0.35">
      <c r="G9154" s="1"/>
      <c r="N9154" s="1"/>
    </row>
    <row r="9155" spans="7:14" x14ac:dyDescent="0.35">
      <c r="G9155" s="1"/>
      <c r="N9155" s="1"/>
    </row>
    <row r="9156" spans="7:14" x14ac:dyDescent="0.35">
      <c r="G9156" s="1"/>
      <c r="N9156" s="1"/>
    </row>
    <row r="9157" spans="7:14" x14ac:dyDescent="0.35">
      <c r="G9157" s="1"/>
      <c r="N9157" s="1"/>
    </row>
    <row r="9158" spans="7:14" x14ac:dyDescent="0.35">
      <c r="G9158" s="1"/>
      <c r="N9158" s="1"/>
    </row>
    <row r="9159" spans="7:14" x14ac:dyDescent="0.35">
      <c r="G9159" s="1"/>
      <c r="N9159" s="1"/>
    </row>
    <row r="9160" spans="7:14" x14ac:dyDescent="0.35">
      <c r="G9160" s="1"/>
      <c r="N9160" s="1"/>
    </row>
    <row r="9161" spans="7:14" x14ac:dyDescent="0.35">
      <c r="G9161" s="1"/>
      <c r="N9161" s="1"/>
    </row>
    <row r="9162" spans="7:14" x14ac:dyDescent="0.35">
      <c r="G9162" s="1"/>
      <c r="N9162" s="1"/>
    </row>
    <row r="9163" spans="7:14" x14ac:dyDescent="0.35">
      <c r="G9163" s="1"/>
      <c r="N9163" s="1"/>
    </row>
    <row r="9164" spans="7:14" x14ac:dyDescent="0.35">
      <c r="G9164" s="1"/>
      <c r="N9164" s="1"/>
    </row>
    <row r="9165" spans="7:14" x14ac:dyDescent="0.35">
      <c r="G9165" s="1"/>
      <c r="N9165" s="1"/>
    </row>
    <row r="9166" spans="7:14" x14ac:dyDescent="0.35">
      <c r="G9166" s="1"/>
      <c r="N9166" s="1"/>
    </row>
    <row r="9167" spans="7:14" x14ac:dyDescent="0.35">
      <c r="G9167" s="1"/>
      <c r="N9167" s="1"/>
    </row>
    <row r="9168" spans="7:14" x14ac:dyDescent="0.35">
      <c r="G9168" s="1"/>
      <c r="N9168" s="1"/>
    </row>
    <row r="9169" spans="7:14" x14ac:dyDescent="0.35">
      <c r="G9169" s="1"/>
      <c r="N9169" s="1"/>
    </row>
    <row r="9170" spans="7:14" x14ac:dyDescent="0.35">
      <c r="G9170" s="1"/>
      <c r="N9170" s="1"/>
    </row>
    <row r="9171" spans="7:14" x14ac:dyDescent="0.35">
      <c r="G9171" s="1"/>
      <c r="N9171" s="1"/>
    </row>
    <row r="9172" spans="7:14" x14ac:dyDescent="0.35">
      <c r="G9172" s="1"/>
      <c r="N9172" s="1"/>
    </row>
    <row r="9173" spans="7:14" x14ac:dyDescent="0.35">
      <c r="G9173" s="1"/>
      <c r="N9173" s="1"/>
    </row>
    <row r="9174" spans="7:14" x14ac:dyDescent="0.35">
      <c r="G9174" s="1"/>
      <c r="N9174" s="1"/>
    </row>
    <row r="9175" spans="7:14" x14ac:dyDescent="0.35">
      <c r="G9175" s="1"/>
      <c r="N9175" s="1"/>
    </row>
    <row r="9176" spans="7:14" x14ac:dyDescent="0.35">
      <c r="G9176" s="1"/>
      <c r="N9176" s="1"/>
    </row>
    <row r="9177" spans="7:14" x14ac:dyDescent="0.35">
      <c r="G9177" s="1"/>
      <c r="N9177" s="1"/>
    </row>
    <row r="9178" spans="7:14" x14ac:dyDescent="0.35">
      <c r="G9178" s="1"/>
      <c r="N9178" s="1"/>
    </row>
    <row r="9179" spans="7:14" x14ac:dyDescent="0.35">
      <c r="G9179" s="1"/>
      <c r="N9179" s="1"/>
    </row>
    <row r="9180" spans="7:14" x14ac:dyDescent="0.35">
      <c r="G9180" s="1"/>
      <c r="N9180" s="1"/>
    </row>
    <row r="9181" spans="7:14" x14ac:dyDescent="0.35">
      <c r="G9181" s="1"/>
      <c r="N9181" s="1"/>
    </row>
    <row r="9182" spans="7:14" x14ac:dyDescent="0.35">
      <c r="G9182" s="1"/>
      <c r="N9182" s="1"/>
    </row>
    <row r="9183" spans="7:14" x14ac:dyDescent="0.35">
      <c r="G9183" s="1"/>
      <c r="N9183" s="1"/>
    </row>
    <row r="9184" spans="7:14" x14ac:dyDescent="0.35">
      <c r="G9184" s="1"/>
      <c r="N9184" s="1"/>
    </row>
    <row r="9185" spans="7:14" x14ac:dyDescent="0.35">
      <c r="G9185" s="1"/>
      <c r="N9185" s="1"/>
    </row>
    <row r="9186" spans="7:14" x14ac:dyDescent="0.35">
      <c r="G9186" s="1"/>
      <c r="N9186" s="1"/>
    </row>
    <row r="9187" spans="7:14" x14ac:dyDescent="0.35">
      <c r="G9187" s="1"/>
      <c r="N9187" s="1"/>
    </row>
    <row r="9188" spans="7:14" x14ac:dyDescent="0.35">
      <c r="G9188" s="1"/>
      <c r="N9188" s="1"/>
    </row>
    <row r="9189" spans="7:14" x14ac:dyDescent="0.35">
      <c r="G9189" s="1"/>
      <c r="N9189" s="1"/>
    </row>
    <row r="9190" spans="7:14" x14ac:dyDescent="0.35">
      <c r="G9190" s="1"/>
      <c r="N9190" s="1"/>
    </row>
    <row r="9191" spans="7:14" x14ac:dyDescent="0.35">
      <c r="G9191" s="1"/>
      <c r="N9191" s="1"/>
    </row>
    <row r="9192" spans="7:14" x14ac:dyDescent="0.35">
      <c r="G9192" s="1"/>
      <c r="N9192" s="1"/>
    </row>
    <row r="9193" spans="7:14" x14ac:dyDescent="0.35">
      <c r="G9193" s="1"/>
      <c r="N9193" s="1"/>
    </row>
    <row r="9194" spans="7:14" x14ac:dyDescent="0.35">
      <c r="G9194" s="1"/>
      <c r="N9194" s="1"/>
    </row>
    <row r="9195" spans="7:14" x14ac:dyDescent="0.35">
      <c r="G9195" s="1"/>
      <c r="N9195" s="1"/>
    </row>
    <row r="9196" spans="7:14" x14ac:dyDescent="0.35">
      <c r="G9196" s="1"/>
      <c r="N9196" s="1"/>
    </row>
    <row r="9197" spans="7:14" x14ac:dyDescent="0.35">
      <c r="G9197" s="1"/>
      <c r="N9197" s="1"/>
    </row>
    <row r="9198" spans="7:14" x14ac:dyDescent="0.35">
      <c r="G9198" s="1"/>
      <c r="N9198" s="1"/>
    </row>
    <row r="9199" spans="7:14" x14ac:dyDescent="0.35">
      <c r="G9199" s="1"/>
      <c r="N9199" s="1"/>
    </row>
    <row r="9200" spans="7:14" x14ac:dyDescent="0.35">
      <c r="G9200" s="1"/>
      <c r="N9200" s="1"/>
    </row>
    <row r="9201" spans="7:14" x14ac:dyDescent="0.35">
      <c r="G9201" s="1"/>
      <c r="N9201" s="1"/>
    </row>
    <row r="9202" spans="7:14" x14ac:dyDescent="0.35">
      <c r="G9202" s="1"/>
      <c r="N9202" s="1"/>
    </row>
    <row r="9203" spans="7:14" x14ac:dyDescent="0.35">
      <c r="G9203" s="1"/>
      <c r="N9203" s="1"/>
    </row>
    <row r="9204" spans="7:14" x14ac:dyDescent="0.35">
      <c r="G9204" s="1"/>
      <c r="N9204" s="1"/>
    </row>
    <row r="9205" spans="7:14" x14ac:dyDescent="0.35">
      <c r="G9205" s="1"/>
      <c r="N9205" s="1"/>
    </row>
    <row r="9206" spans="7:14" x14ac:dyDescent="0.35">
      <c r="G9206" s="1"/>
      <c r="N9206" s="1"/>
    </row>
    <row r="9207" spans="7:14" x14ac:dyDescent="0.35">
      <c r="G9207" s="1"/>
      <c r="N9207" s="1"/>
    </row>
    <row r="9208" spans="7:14" x14ac:dyDescent="0.35">
      <c r="G9208" s="1"/>
      <c r="N9208" s="1"/>
    </row>
    <row r="9209" spans="7:14" x14ac:dyDescent="0.35">
      <c r="G9209" s="1"/>
      <c r="N9209" s="1"/>
    </row>
    <row r="9210" spans="7:14" x14ac:dyDescent="0.35">
      <c r="G9210" s="1"/>
      <c r="N9210" s="1"/>
    </row>
    <row r="9211" spans="7:14" x14ac:dyDescent="0.35">
      <c r="G9211" s="1"/>
      <c r="N9211" s="1"/>
    </row>
    <row r="9212" spans="7:14" x14ac:dyDescent="0.35">
      <c r="G9212" s="1"/>
      <c r="N9212" s="1"/>
    </row>
    <row r="9213" spans="7:14" x14ac:dyDescent="0.35">
      <c r="G9213" s="1"/>
      <c r="N9213" s="1"/>
    </row>
    <row r="9214" spans="7:14" x14ac:dyDescent="0.35">
      <c r="G9214" s="1"/>
      <c r="N9214" s="1"/>
    </row>
    <row r="9215" spans="7:14" x14ac:dyDescent="0.35">
      <c r="G9215" s="1"/>
      <c r="N9215" s="1"/>
    </row>
    <row r="9216" spans="7:14" x14ac:dyDescent="0.35">
      <c r="G9216" s="1"/>
      <c r="N9216" s="1"/>
    </row>
    <row r="9217" spans="7:14" x14ac:dyDescent="0.35">
      <c r="G9217" s="1"/>
      <c r="N9217" s="1"/>
    </row>
    <row r="9218" spans="7:14" x14ac:dyDescent="0.35">
      <c r="G9218" s="1"/>
      <c r="N9218" s="1"/>
    </row>
    <row r="9219" spans="7:14" x14ac:dyDescent="0.35">
      <c r="G9219" s="1"/>
      <c r="N9219" s="1"/>
    </row>
    <row r="9220" spans="7:14" x14ac:dyDescent="0.35">
      <c r="G9220" s="1"/>
      <c r="N9220" s="1"/>
    </row>
    <row r="9221" spans="7:14" x14ac:dyDescent="0.35">
      <c r="G9221" s="1"/>
      <c r="N9221" s="1"/>
    </row>
    <row r="9222" spans="7:14" x14ac:dyDescent="0.35">
      <c r="G9222" s="1"/>
      <c r="N9222" s="1"/>
    </row>
    <row r="9223" spans="7:14" x14ac:dyDescent="0.35">
      <c r="G9223" s="1"/>
      <c r="N9223" s="1"/>
    </row>
    <row r="9224" spans="7:14" x14ac:dyDescent="0.35">
      <c r="G9224" s="1"/>
      <c r="N9224" s="1"/>
    </row>
    <row r="9225" spans="7:14" x14ac:dyDescent="0.35">
      <c r="G9225" s="1"/>
      <c r="N9225" s="1"/>
    </row>
    <row r="9226" spans="7:14" x14ac:dyDescent="0.35">
      <c r="G9226" s="1"/>
      <c r="N9226" s="1"/>
    </row>
    <row r="9227" spans="7:14" x14ac:dyDescent="0.35">
      <c r="G9227" s="1"/>
      <c r="N9227" s="1"/>
    </row>
    <row r="9228" spans="7:14" x14ac:dyDescent="0.35">
      <c r="G9228" s="1"/>
      <c r="N9228" s="1"/>
    </row>
    <row r="9229" spans="7:14" x14ac:dyDescent="0.35">
      <c r="G9229" s="1"/>
      <c r="N9229" s="1"/>
    </row>
    <row r="9230" spans="7:14" x14ac:dyDescent="0.35">
      <c r="G9230" s="1"/>
      <c r="N9230" s="1"/>
    </row>
    <row r="9231" spans="7:14" x14ac:dyDescent="0.35">
      <c r="G9231" s="1"/>
      <c r="N9231" s="1"/>
    </row>
    <row r="9232" spans="7:14" x14ac:dyDescent="0.35">
      <c r="G9232" s="1"/>
      <c r="N9232" s="1"/>
    </row>
    <row r="9233" spans="7:14" x14ac:dyDescent="0.35">
      <c r="G9233" s="1"/>
      <c r="N9233" s="1"/>
    </row>
    <row r="9234" spans="7:14" x14ac:dyDescent="0.35">
      <c r="G9234" s="1"/>
      <c r="N9234" s="1"/>
    </row>
    <row r="9235" spans="7:14" x14ac:dyDescent="0.35">
      <c r="G9235" s="1"/>
      <c r="N9235" s="1"/>
    </row>
    <row r="9236" spans="7:14" x14ac:dyDescent="0.35">
      <c r="G9236" s="1"/>
      <c r="N9236" s="1"/>
    </row>
    <row r="9237" spans="7:14" x14ac:dyDescent="0.35">
      <c r="G9237" s="1"/>
      <c r="N9237" s="1"/>
    </row>
    <row r="9238" spans="7:14" x14ac:dyDescent="0.35">
      <c r="G9238" s="1"/>
      <c r="N9238" s="1"/>
    </row>
    <row r="9239" spans="7:14" x14ac:dyDescent="0.35">
      <c r="G9239" s="1"/>
      <c r="N9239" s="1"/>
    </row>
    <row r="9240" spans="7:14" x14ac:dyDescent="0.35">
      <c r="G9240" s="1"/>
      <c r="N9240" s="1"/>
    </row>
    <row r="9241" spans="7:14" x14ac:dyDescent="0.35">
      <c r="G9241" s="1"/>
      <c r="N9241" s="1"/>
    </row>
    <row r="9242" spans="7:14" x14ac:dyDescent="0.35">
      <c r="G9242" s="1"/>
      <c r="N9242" s="1"/>
    </row>
    <row r="9243" spans="7:14" x14ac:dyDescent="0.35">
      <c r="G9243" s="1"/>
      <c r="N9243" s="1"/>
    </row>
    <row r="9244" spans="7:14" x14ac:dyDescent="0.35">
      <c r="G9244" s="1"/>
      <c r="N9244" s="1"/>
    </row>
    <row r="9245" spans="7:14" x14ac:dyDescent="0.35">
      <c r="G9245" s="1"/>
      <c r="N9245" s="1"/>
    </row>
    <row r="9246" spans="7:14" x14ac:dyDescent="0.35">
      <c r="G9246" s="1"/>
      <c r="N9246" s="1"/>
    </row>
    <row r="9247" spans="7:14" x14ac:dyDescent="0.35">
      <c r="G9247" s="1"/>
      <c r="N9247" s="1"/>
    </row>
    <row r="9248" spans="7:14" x14ac:dyDescent="0.35">
      <c r="G9248" s="1"/>
      <c r="N9248" s="1"/>
    </row>
    <row r="9249" spans="7:14" x14ac:dyDescent="0.35">
      <c r="G9249" s="1"/>
      <c r="N9249" s="1"/>
    </row>
    <row r="9250" spans="7:14" x14ac:dyDescent="0.35">
      <c r="G9250" s="1"/>
      <c r="N9250" s="1"/>
    </row>
    <row r="9251" spans="7:14" x14ac:dyDescent="0.35">
      <c r="G9251" s="1"/>
      <c r="N9251" s="1"/>
    </row>
    <row r="9252" spans="7:14" x14ac:dyDescent="0.35">
      <c r="G9252" s="1"/>
      <c r="N9252" s="1"/>
    </row>
    <row r="9253" spans="7:14" x14ac:dyDescent="0.35">
      <c r="G9253" s="1"/>
      <c r="N9253" s="1"/>
    </row>
    <row r="9254" spans="7:14" x14ac:dyDescent="0.35">
      <c r="G9254" s="1"/>
      <c r="N9254" s="1"/>
    </row>
    <row r="9255" spans="7:14" x14ac:dyDescent="0.35">
      <c r="G9255" s="1"/>
      <c r="N9255" s="1"/>
    </row>
    <row r="9256" spans="7:14" x14ac:dyDescent="0.35">
      <c r="G9256" s="1"/>
      <c r="N9256" s="1"/>
    </row>
    <row r="9257" spans="7:14" x14ac:dyDescent="0.35">
      <c r="G9257" s="1"/>
      <c r="N9257" s="1"/>
    </row>
    <row r="9258" spans="7:14" x14ac:dyDescent="0.35">
      <c r="G9258" s="1"/>
      <c r="N9258" s="1"/>
    </row>
    <row r="9259" spans="7:14" x14ac:dyDescent="0.35">
      <c r="G9259" s="1"/>
      <c r="N9259" s="1"/>
    </row>
    <row r="9260" spans="7:14" x14ac:dyDescent="0.35">
      <c r="G9260" s="1"/>
      <c r="N9260" s="1"/>
    </row>
    <row r="9261" spans="7:14" x14ac:dyDescent="0.35">
      <c r="G9261" s="1"/>
      <c r="N9261" s="1"/>
    </row>
    <row r="9262" spans="7:14" x14ac:dyDescent="0.35">
      <c r="G9262" s="1"/>
      <c r="N9262" s="1"/>
    </row>
    <row r="9263" spans="7:14" x14ac:dyDescent="0.35">
      <c r="G9263" s="1"/>
      <c r="N9263" s="1"/>
    </row>
    <row r="9264" spans="7:14" x14ac:dyDescent="0.35">
      <c r="G9264" s="1"/>
      <c r="N9264" s="1"/>
    </row>
    <row r="9265" spans="7:14" x14ac:dyDescent="0.35">
      <c r="G9265" s="1"/>
      <c r="N9265" s="1"/>
    </row>
    <row r="9266" spans="7:14" x14ac:dyDescent="0.35">
      <c r="G9266" s="1"/>
      <c r="N9266" s="1"/>
    </row>
    <row r="9267" spans="7:14" x14ac:dyDescent="0.35">
      <c r="G9267" s="1"/>
      <c r="N9267" s="1"/>
    </row>
    <row r="9268" spans="7:14" x14ac:dyDescent="0.35">
      <c r="G9268" s="1"/>
      <c r="N9268" s="1"/>
    </row>
    <row r="9269" spans="7:14" x14ac:dyDescent="0.35">
      <c r="G9269" s="1"/>
      <c r="N9269" s="1"/>
    </row>
    <row r="9270" spans="7:14" x14ac:dyDescent="0.35">
      <c r="G9270" s="1"/>
      <c r="N9270" s="1"/>
    </row>
    <row r="9271" spans="7:14" x14ac:dyDescent="0.35">
      <c r="G9271" s="1"/>
      <c r="N9271" s="1"/>
    </row>
    <row r="9272" spans="7:14" x14ac:dyDescent="0.35">
      <c r="G9272" s="1"/>
      <c r="N9272" s="1"/>
    </row>
    <row r="9273" spans="7:14" x14ac:dyDescent="0.35">
      <c r="G9273" s="1"/>
      <c r="N9273" s="1"/>
    </row>
    <row r="9274" spans="7:14" x14ac:dyDescent="0.35">
      <c r="G9274" s="1"/>
      <c r="N9274" s="1"/>
    </row>
    <row r="9275" spans="7:14" x14ac:dyDescent="0.35">
      <c r="G9275" s="1"/>
      <c r="N9275" s="1"/>
    </row>
    <row r="9276" spans="7:14" x14ac:dyDescent="0.35">
      <c r="G9276" s="1"/>
      <c r="N9276" s="1"/>
    </row>
    <row r="9277" spans="7:14" x14ac:dyDescent="0.35">
      <c r="G9277" s="1"/>
      <c r="N9277" s="1"/>
    </row>
    <row r="9278" spans="7:14" x14ac:dyDescent="0.35">
      <c r="G9278" s="1"/>
      <c r="N9278" s="1"/>
    </row>
    <row r="9279" spans="7:14" x14ac:dyDescent="0.35">
      <c r="G9279" s="1"/>
      <c r="N9279" s="1"/>
    </row>
    <row r="9280" spans="7:14" x14ac:dyDescent="0.35">
      <c r="G9280" s="1"/>
      <c r="N9280" s="1"/>
    </row>
    <row r="9281" spans="7:14" x14ac:dyDescent="0.35">
      <c r="G9281" s="1"/>
      <c r="N9281" s="1"/>
    </row>
    <row r="9282" spans="7:14" x14ac:dyDescent="0.35">
      <c r="G9282" s="1"/>
      <c r="N9282" s="1"/>
    </row>
    <row r="9283" spans="7:14" x14ac:dyDescent="0.35">
      <c r="G9283" s="1"/>
      <c r="N9283" s="1"/>
    </row>
    <row r="9284" spans="7:14" x14ac:dyDescent="0.35">
      <c r="G9284" s="1"/>
      <c r="N9284" s="1"/>
    </row>
    <row r="9285" spans="7:14" x14ac:dyDescent="0.35">
      <c r="G9285" s="1"/>
      <c r="N9285" s="1"/>
    </row>
    <row r="9286" spans="7:14" x14ac:dyDescent="0.35">
      <c r="G9286" s="1"/>
      <c r="N9286" s="1"/>
    </row>
    <row r="9287" spans="7:14" x14ac:dyDescent="0.35">
      <c r="G9287" s="1"/>
      <c r="N9287" s="1"/>
    </row>
    <row r="9288" spans="7:14" x14ac:dyDescent="0.35">
      <c r="G9288" s="1"/>
      <c r="N9288" s="1"/>
    </row>
    <row r="9289" spans="7:14" x14ac:dyDescent="0.35">
      <c r="G9289" s="1"/>
      <c r="N9289" s="1"/>
    </row>
    <row r="9290" spans="7:14" x14ac:dyDescent="0.35">
      <c r="G9290" s="1"/>
      <c r="N9290" s="1"/>
    </row>
    <row r="9291" spans="7:14" x14ac:dyDescent="0.35">
      <c r="G9291" s="1"/>
      <c r="N9291" s="1"/>
    </row>
    <row r="9292" spans="7:14" x14ac:dyDescent="0.35">
      <c r="G9292" s="1"/>
      <c r="N9292" s="1"/>
    </row>
    <row r="9293" spans="7:14" x14ac:dyDescent="0.35">
      <c r="G9293" s="1"/>
      <c r="N9293" s="1"/>
    </row>
    <row r="9294" spans="7:14" x14ac:dyDescent="0.35">
      <c r="G9294" s="1"/>
      <c r="N9294" s="1"/>
    </row>
    <row r="9295" spans="7:14" x14ac:dyDescent="0.35">
      <c r="G9295" s="1"/>
      <c r="N9295" s="1"/>
    </row>
    <row r="9296" spans="7:14" x14ac:dyDescent="0.35">
      <c r="G9296" s="1"/>
      <c r="N9296" s="1"/>
    </row>
    <row r="9297" spans="7:14" x14ac:dyDescent="0.35">
      <c r="G9297" s="1"/>
      <c r="N9297" s="1"/>
    </row>
    <row r="9298" spans="7:14" x14ac:dyDescent="0.35">
      <c r="G9298" s="1"/>
      <c r="N9298" s="1"/>
    </row>
    <row r="9299" spans="7:14" x14ac:dyDescent="0.35">
      <c r="G9299" s="1"/>
      <c r="N9299" s="1"/>
    </row>
    <row r="9300" spans="7:14" x14ac:dyDescent="0.35">
      <c r="G9300" s="1"/>
      <c r="N9300" s="1"/>
    </row>
    <row r="9301" spans="7:14" x14ac:dyDescent="0.35">
      <c r="G9301" s="1"/>
      <c r="N9301" s="1"/>
    </row>
    <row r="9302" spans="7:14" x14ac:dyDescent="0.35">
      <c r="G9302" s="1"/>
      <c r="N9302" s="1"/>
    </row>
    <row r="9303" spans="7:14" x14ac:dyDescent="0.35">
      <c r="G9303" s="1"/>
      <c r="N9303" s="1"/>
    </row>
    <row r="9304" spans="7:14" x14ac:dyDescent="0.35">
      <c r="G9304" s="1"/>
      <c r="N9304" s="1"/>
    </row>
    <row r="9305" spans="7:14" x14ac:dyDescent="0.35">
      <c r="G9305" s="1"/>
      <c r="N9305" s="1"/>
    </row>
    <row r="9306" spans="7:14" x14ac:dyDescent="0.35">
      <c r="G9306" s="1"/>
      <c r="N9306" s="1"/>
    </row>
    <row r="9307" spans="7:14" x14ac:dyDescent="0.35">
      <c r="G9307" s="1"/>
      <c r="N9307" s="1"/>
    </row>
    <row r="9308" spans="7:14" x14ac:dyDescent="0.35">
      <c r="G9308" s="1"/>
      <c r="N9308" s="1"/>
    </row>
    <row r="9309" spans="7:14" x14ac:dyDescent="0.35">
      <c r="G9309" s="1"/>
      <c r="N9309" s="1"/>
    </row>
    <row r="9310" spans="7:14" x14ac:dyDescent="0.35">
      <c r="G9310" s="1"/>
      <c r="N9310" s="1"/>
    </row>
    <row r="9311" spans="7:14" x14ac:dyDescent="0.35">
      <c r="G9311" s="1"/>
      <c r="N9311" s="1"/>
    </row>
    <row r="9312" spans="7:14" x14ac:dyDescent="0.35">
      <c r="G9312" s="1"/>
      <c r="N9312" s="1"/>
    </row>
    <row r="9313" spans="7:14" x14ac:dyDescent="0.35">
      <c r="G9313" s="1"/>
      <c r="N9313" s="1"/>
    </row>
    <row r="9314" spans="7:14" x14ac:dyDescent="0.35">
      <c r="G9314" s="1"/>
      <c r="N9314" s="1"/>
    </row>
    <row r="9315" spans="7:14" x14ac:dyDescent="0.35">
      <c r="G9315" s="1"/>
      <c r="N9315" s="1"/>
    </row>
    <row r="9316" spans="7:14" x14ac:dyDescent="0.35">
      <c r="G9316" s="1"/>
      <c r="N9316" s="1"/>
    </row>
    <row r="9317" spans="7:14" x14ac:dyDescent="0.35">
      <c r="G9317" s="1"/>
      <c r="N9317" s="1"/>
    </row>
    <row r="9318" spans="7:14" x14ac:dyDescent="0.35">
      <c r="G9318" s="1"/>
      <c r="N9318" s="1"/>
    </row>
    <row r="9319" spans="7:14" x14ac:dyDescent="0.35">
      <c r="G9319" s="1"/>
      <c r="N9319" s="1"/>
    </row>
    <row r="9320" spans="7:14" x14ac:dyDescent="0.35">
      <c r="G9320" s="1"/>
      <c r="N9320" s="1"/>
    </row>
    <row r="9321" spans="7:14" x14ac:dyDescent="0.35">
      <c r="G9321" s="1"/>
      <c r="N9321" s="1"/>
    </row>
    <row r="9322" spans="7:14" x14ac:dyDescent="0.35">
      <c r="G9322" s="1"/>
      <c r="N9322" s="1"/>
    </row>
    <row r="9323" spans="7:14" x14ac:dyDescent="0.35">
      <c r="G9323" s="1"/>
      <c r="N9323" s="1"/>
    </row>
    <row r="9324" spans="7:14" x14ac:dyDescent="0.35">
      <c r="G9324" s="1"/>
      <c r="N9324" s="1"/>
    </row>
    <row r="9325" spans="7:14" x14ac:dyDescent="0.35">
      <c r="G9325" s="1"/>
      <c r="N9325" s="1"/>
    </row>
    <row r="9326" spans="7:14" x14ac:dyDescent="0.35">
      <c r="G9326" s="1"/>
      <c r="N9326" s="1"/>
    </row>
    <row r="9327" spans="7:14" x14ac:dyDescent="0.35">
      <c r="G9327" s="1"/>
      <c r="N9327" s="1"/>
    </row>
    <row r="9328" spans="7:14" x14ac:dyDescent="0.35">
      <c r="G9328" s="1"/>
      <c r="N9328" s="1"/>
    </row>
    <row r="9329" spans="7:14" x14ac:dyDescent="0.35">
      <c r="G9329" s="1"/>
      <c r="N9329" s="1"/>
    </row>
    <row r="9330" spans="7:14" x14ac:dyDescent="0.35">
      <c r="G9330" s="1"/>
      <c r="N9330" s="1"/>
    </row>
    <row r="9331" spans="7:14" x14ac:dyDescent="0.35">
      <c r="G9331" s="1"/>
      <c r="N9331" s="1"/>
    </row>
    <row r="9332" spans="7:14" x14ac:dyDescent="0.35">
      <c r="G9332" s="1"/>
      <c r="N9332" s="1"/>
    </row>
    <row r="9333" spans="7:14" x14ac:dyDescent="0.35">
      <c r="G9333" s="1"/>
      <c r="N9333" s="1"/>
    </row>
    <row r="9334" spans="7:14" x14ac:dyDescent="0.35">
      <c r="G9334" s="1"/>
      <c r="N9334" s="1"/>
    </row>
    <row r="9335" spans="7:14" x14ac:dyDescent="0.35">
      <c r="G9335" s="1"/>
      <c r="N9335" s="1"/>
    </row>
    <row r="9336" spans="7:14" x14ac:dyDescent="0.35">
      <c r="G9336" s="1"/>
      <c r="N9336" s="1"/>
    </row>
    <row r="9337" spans="7:14" x14ac:dyDescent="0.35">
      <c r="G9337" s="1"/>
      <c r="N9337" s="1"/>
    </row>
    <row r="9338" spans="7:14" x14ac:dyDescent="0.35">
      <c r="G9338" s="1"/>
      <c r="N9338" s="1"/>
    </row>
    <row r="9339" spans="7:14" x14ac:dyDescent="0.35">
      <c r="G9339" s="1"/>
      <c r="N9339" s="1"/>
    </row>
    <row r="9340" spans="7:14" x14ac:dyDescent="0.35">
      <c r="G9340" s="1"/>
      <c r="N9340" s="1"/>
    </row>
    <row r="9341" spans="7:14" x14ac:dyDescent="0.35">
      <c r="G9341" s="1"/>
      <c r="N9341" s="1"/>
    </row>
    <row r="9342" spans="7:14" x14ac:dyDescent="0.35">
      <c r="G9342" s="1"/>
      <c r="N9342" s="1"/>
    </row>
    <row r="9343" spans="7:14" x14ac:dyDescent="0.35">
      <c r="G9343" s="1"/>
      <c r="N9343" s="1"/>
    </row>
    <row r="9344" spans="7:14" x14ac:dyDescent="0.35">
      <c r="G9344" s="1"/>
      <c r="N9344" s="1"/>
    </row>
    <row r="9345" spans="7:14" x14ac:dyDescent="0.35">
      <c r="G9345" s="1"/>
      <c r="N9345" s="1"/>
    </row>
    <row r="9346" spans="7:14" x14ac:dyDescent="0.35">
      <c r="G9346" s="1"/>
      <c r="N9346" s="1"/>
    </row>
    <row r="9347" spans="7:14" x14ac:dyDescent="0.35">
      <c r="G9347" s="1"/>
      <c r="N9347" s="1"/>
    </row>
    <row r="9348" spans="7:14" x14ac:dyDescent="0.35">
      <c r="G9348" s="1"/>
      <c r="N9348" s="1"/>
    </row>
    <row r="9349" spans="7:14" x14ac:dyDescent="0.35">
      <c r="G9349" s="1"/>
      <c r="N9349" s="1"/>
    </row>
    <row r="9350" spans="7:14" x14ac:dyDescent="0.35">
      <c r="G9350" s="1"/>
      <c r="N9350" s="1"/>
    </row>
    <row r="9351" spans="7:14" x14ac:dyDescent="0.35">
      <c r="G9351" s="1"/>
      <c r="N9351" s="1"/>
    </row>
    <row r="9352" spans="7:14" x14ac:dyDescent="0.35">
      <c r="G9352" s="1"/>
      <c r="N9352" s="1"/>
    </row>
    <row r="9353" spans="7:14" x14ac:dyDescent="0.35">
      <c r="G9353" s="1"/>
      <c r="N9353" s="1"/>
    </row>
    <row r="9354" spans="7:14" x14ac:dyDescent="0.35">
      <c r="G9354" s="1"/>
      <c r="N9354" s="1"/>
    </row>
    <row r="9355" spans="7:14" x14ac:dyDescent="0.35">
      <c r="G9355" s="1"/>
      <c r="N9355" s="1"/>
    </row>
    <row r="9356" spans="7:14" x14ac:dyDescent="0.35">
      <c r="G9356" s="1"/>
      <c r="N9356" s="1"/>
    </row>
    <row r="9357" spans="7:14" x14ac:dyDescent="0.35">
      <c r="G9357" s="1"/>
      <c r="N9357" s="1"/>
    </row>
    <row r="9358" spans="7:14" x14ac:dyDescent="0.35">
      <c r="G9358" s="1"/>
      <c r="N9358" s="1"/>
    </row>
    <row r="9359" spans="7:14" x14ac:dyDescent="0.35">
      <c r="G9359" s="1"/>
      <c r="N9359" s="1"/>
    </row>
    <row r="9360" spans="7:14" x14ac:dyDescent="0.35">
      <c r="G9360" s="1"/>
      <c r="N9360" s="1"/>
    </row>
    <row r="9361" spans="7:14" x14ac:dyDescent="0.35">
      <c r="G9361" s="1"/>
      <c r="N9361" s="1"/>
    </row>
    <row r="9362" spans="7:14" x14ac:dyDescent="0.35">
      <c r="G9362" s="1"/>
      <c r="N9362" s="1"/>
    </row>
    <row r="9363" spans="7:14" x14ac:dyDescent="0.35">
      <c r="G9363" s="1"/>
      <c r="N9363" s="1"/>
    </row>
    <row r="9364" spans="7:14" x14ac:dyDescent="0.35">
      <c r="G9364" s="1"/>
      <c r="N9364" s="1"/>
    </row>
    <row r="9365" spans="7:14" x14ac:dyDescent="0.35">
      <c r="G9365" s="1"/>
      <c r="N9365" s="1"/>
    </row>
    <row r="9366" spans="7:14" x14ac:dyDescent="0.35">
      <c r="G9366" s="1"/>
      <c r="N9366" s="1"/>
    </row>
    <row r="9367" spans="7:14" x14ac:dyDescent="0.35">
      <c r="G9367" s="1"/>
      <c r="N9367" s="1"/>
    </row>
    <row r="9368" spans="7:14" x14ac:dyDescent="0.35">
      <c r="G9368" s="1"/>
      <c r="N9368" s="1"/>
    </row>
    <row r="9369" spans="7:14" x14ac:dyDescent="0.35">
      <c r="G9369" s="1"/>
      <c r="N9369" s="1"/>
    </row>
    <row r="9370" spans="7:14" x14ac:dyDescent="0.35">
      <c r="G9370" s="1"/>
      <c r="N9370" s="1"/>
    </row>
    <row r="9371" spans="7:14" x14ac:dyDescent="0.35">
      <c r="G9371" s="1"/>
      <c r="N9371" s="1"/>
    </row>
    <row r="9372" spans="7:14" x14ac:dyDescent="0.35">
      <c r="G9372" s="1"/>
      <c r="N9372" s="1"/>
    </row>
    <row r="9373" spans="7:14" x14ac:dyDescent="0.35">
      <c r="G9373" s="1"/>
      <c r="N9373" s="1"/>
    </row>
    <row r="9374" spans="7:14" x14ac:dyDescent="0.35">
      <c r="G9374" s="1"/>
      <c r="N9374" s="1"/>
    </row>
    <row r="9375" spans="7:14" x14ac:dyDescent="0.35">
      <c r="G9375" s="1"/>
      <c r="N9375" s="1"/>
    </row>
    <row r="9376" spans="7:14" x14ac:dyDescent="0.35">
      <c r="G9376" s="1"/>
      <c r="N9376" s="1"/>
    </row>
    <row r="9377" spans="7:14" x14ac:dyDescent="0.35">
      <c r="G9377" s="1"/>
      <c r="N9377" s="1"/>
    </row>
    <row r="9378" spans="7:14" x14ac:dyDescent="0.35">
      <c r="G9378" s="1"/>
      <c r="N9378" s="1"/>
    </row>
    <row r="9379" spans="7:14" x14ac:dyDescent="0.35">
      <c r="G9379" s="1"/>
      <c r="N9379" s="1"/>
    </row>
    <row r="9380" spans="7:14" x14ac:dyDescent="0.35">
      <c r="G9380" s="1"/>
      <c r="N9380" s="1"/>
    </row>
    <row r="9381" spans="7:14" x14ac:dyDescent="0.35">
      <c r="G9381" s="1"/>
      <c r="N9381" s="1"/>
    </row>
    <row r="9382" spans="7:14" x14ac:dyDescent="0.35">
      <c r="G9382" s="1"/>
      <c r="N9382" s="1"/>
    </row>
    <row r="9383" spans="7:14" x14ac:dyDescent="0.35">
      <c r="G9383" s="1"/>
      <c r="N9383" s="1"/>
    </row>
    <row r="9384" spans="7:14" x14ac:dyDescent="0.35">
      <c r="G9384" s="1"/>
      <c r="N9384" s="1"/>
    </row>
    <row r="9385" spans="7:14" x14ac:dyDescent="0.35">
      <c r="G9385" s="1"/>
      <c r="N9385" s="1"/>
    </row>
    <row r="9386" spans="7:14" x14ac:dyDescent="0.35">
      <c r="G9386" s="1"/>
      <c r="N9386" s="1"/>
    </row>
    <row r="9387" spans="7:14" x14ac:dyDescent="0.35">
      <c r="G9387" s="1"/>
      <c r="N9387" s="1"/>
    </row>
    <row r="9388" spans="7:14" x14ac:dyDescent="0.35">
      <c r="G9388" s="1"/>
      <c r="N9388" s="1"/>
    </row>
    <row r="9389" spans="7:14" x14ac:dyDescent="0.35">
      <c r="G9389" s="1"/>
      <c r="N9389" s="1"/>
    </row>
    <row r="9390" spans="7:14" x14ac:dyDescent="0.35">
      <c r="G9390" s="1"/>
      <c r="N9390" s="1"/>
    </row>
    <row r="9391" spans="7:14" x14ac:dyDescent="0.35">
      <c r="G9391" s="1"/>
      <c r="N9391" s="1"/>
    </row>
    <row r="9392" spans="7:14" x14ac:dyDescent="0.35">
      <c r="G9392" s="1"/>
      <c r="N9392" s="1"/>
    </row>
    <row r="9393" spans="7:14" x14ac:dyDescent="0.35">
      <c r="G9393" s="1"/>
      <c r="N9393" s="1"/>
    </row>
    <row r="9394" spans="7:14" x14ac:dyDescent="0.35">
      <c r="G9394" s="1"/>
      <c r="N9394" s="1"/>
    </row>
    <row r="9395" spans="7:14" x14ac:dyDescent="0.35">
      <c r="G9395" s="1"/>
      <c r="N9395" s="1"/>
    </row>
    <row r="9396" spans="7:14" x14ac:dyDescent="0.35">
      <c r="G9396" s="1"/>
      <c r="N9396" s="1"/>
    </row>
    <row r="9397" spans="7:14" x14ac:dyDescent="0.35">
      <c r="G9397" s="1"/>
      <c r="N9397" s="1"/>
    </row>
    <row r="9398" spans="7:14" x14ac:dyDescent="0.35">
      <c r="G9398" s="1"/>
      <c r="N9398" s="1"/>
    </row>
    <row r="9399" spans="7:14" x14ac:dyDescent="0.35">
      <c r="G9399" s="1"/>
      <c r="N9399" s="1"/>
    </row>
    <row r="9400" spans="7:14" x14ac:dyDescent="0.35">
      <c r="G9400" s="1"/>
      <c r="N9400" s="1"/>
    </row>
    <row r="9401" spans="7:14" x14ac:dyDescent="0.35">
      <c r="G9401" s="1"/>
      <c r="N9401" s="1"/>
    </row>
    <row r="9402" spans="7:14" x14ac:dyDescent="0.35">
      <c r="G9402" s="1"/>
      <c r="N9402" s="1"/>
    </row>
    <row r="9403" spans="7:14" x14ac:dyDescent="0.35">
      <c r="G9403" s="1"/>
      <c r="N9403" s="1"/>
    </row>
    <row r="9404" spans="7:14" x14ac:dyDescent="0.35">
      <c r="G9404" s="1"/>
      <c r="N9404" s="1"/>
    </row>
    <row r="9405" spans="7:14" x14ac:dyDescent="0.35">
      <c r="G9405" s="1"/>
      <c r="N9405" s="1"/>
    </row>
    <row r="9406" spans="7:14" x14ac:dyDescent="0.35">
      <c r="G9406" s="1"/>
      <c r="N9406" s="1"/>
    </row>
    <row r="9407" spans="7:14" x14ac:dyDescent="0.35">
      <c r="G9407" s="1"/>
      <c r="N9407" s="1"/>
    </row>
    <row r="9408" spans="7:14" x14ac:dyDescent="0.35">
      <c r="G9408" s="1"/>
      <c r="N9408" s="1"/>
    </row>
    <row r="9409" spans="7:14" x14ac:dyDescent="0.35">
      <c r="G9409" s="1"/>
      <c r="N9409" s="1"/>
    </row>
    <row r="9410" spans="7:14" x14ac:dyDescent="0.35">
      <c r="G9410" s="1"/>
      <c r="N9410" s="1"/>
    </row>
    <row r="9411" spans="7:14" x14ac:dyDescent="0.35">
      <c r="G9411" s="1"/>
      <c r="N9411" s="1"/>
    </row>
    <row r="9412" spans="7:14" x14ac:dyDescent="0.35">
      <c r="G9412" s="1"/>
      <c r="N9412" s="1"/>
    </row>
    <row r="9413" spans="7:14" x14ac:dyDescent="0.35">
      <c r="G9413" s="1"/>
      <c r="N9413" s="1"/>
    </row>
    <row r="9414" spans="7:14" x14ac:dyDescent="0.35">
      <c r="G9414" s="1"/>
      <c r="N9414" s="1"/>
    </row>
    <row r="9415" spans="7:14" x14ac:dyDescent="0.35">
      <c r="G9415" s="1"/>
      <c r="N9415" s="1"/>
    </row>
    <row r="9416" spans="7:14" x14ac:dyDescent="0.35">
      <c r="G9416" s="1"/>
      <c r="N9416" s="1"/>
    </row>
    <row r="9417" spans="7:14" x14ac:dyDescent="0.35">
      <c r="G9417" s="1"/>
      <c r="N9417" s="1"/>
    </row>
    <row r="9418" spans="7:14" x14ac:dyDescent="0.35">
      <c r="G9418" s="1"/>
      <c r="N9418" s="1"/>
    </row>
    <row r="9419" spans="7:14" x14ac:dyDescent="0.35">
      <c r="G9419" s="1"/>
      <c r="N9419" s="1"/>
    </row>
    <row r="9420" spans="7:14" x14ac:dyDescent="0.35">
      <c r="G9420" s="1"/>
      <c r="N9420" s="1"/>
    </row>
    <row r="9421" spans="7:14" x14ac:dyDescent="0.35">
      <c r="G9421" s="1"/>
      <c r="N9421" s="1"/>
    </row>
    <row r="9422" spans="7:14" x14ac:dyDescent="0.35">
      <c r="G9422" s="1"/>
      <c r="N9422" s="1"/>
    </row>
    <row r="9423" spans="7:14" x14ac:dyDescent="0.35">
      <c r="G9423" s="1"/>
      <c r="N9423" s="1"/>
    </row>
    <row r="9424" spans="7:14" x14ac:dyDescent="0.35">
      <c r="G9424" s="1"/>
      <c r="N9424" s="1"/>
    </row>
    <row r="9425" spans="7:14" x14ac:dyDescent="0.35">
      <c r="G9425" s="1"/>
      <c r="N9425" s="1"/>
    </row>
    <row r="9426" spans="7:14" x14ac:dyDescent="0.35">
      <c r="G9426" s="1"/>
      <c r="N9426" s="1"/>
    </row>
    <row r="9427" spans="7:14" x14ac:dyDescent="0.35">
      <c r="G9427" s="1"/>
      <c r="N9427" s="1"/>
    </row>
    <row r="9428" spans="7:14" x14ac:dyDescent="0.35">
      <c r="G9428" s="1"/>
      <c r="N9428" s="1"/>
    </row>
    <row r="9429" spans="7:14" x14ac:dyDescent="0.35">
      <c r="G9429" s="1"/>
      <c r="N9429" s="1"/>
    </row>
    <row r="9430" spans="7:14" x14ac:dyDescent="0.35">
      <c r="G9430" s="1"/>
      <c r="N9430" s="1"/>
    </row>
    <row r="9431" spans="7:14" x14ac:dyDescent="0.35">
      <c r="G9431" s="1"/>
      <c r="N9431" s="1"/>
    </row>
    <row r="9432" spans="7:14" x14ac:dyDescent="0.35">
      <c r="G9432" s="1"/>
      <c r="N9432" s="1"/>
    </row>
    <row r="9433" spans="7:14" x14ac:dyDescent="0.35">
      <c r="G9433" s="1"/>
      <c r="N9433" s="1"/>
    </row>
    <row r="9434" spans="7:14" x14ac:dyDescent="0.35">
      <c r="G9434" s="1"/>
      <c r="N9434" s="1"/>
    </row>
    <row r="9435" spans="7:14" x14ac:dyDescent="0.35">
      <c r="G9435" s="1"/>
      <c r="N9435" s="1"/>
    </row>
    <row r="9436" spans="7:14" x14ac:dyDescent="0.35">
      <c r="G9436" s="1"/>
      <c r="N9436" s="1"/>
    </row>
    <row r="9437" spans="7:14" x14ac:dyDescent="0.35">
      <c r="G9437" s="1"/>
      <c r="N9437" s="1"/>
    </row>
    <row r="9438" spans="7:14" x14ac:dyDescent="0.35">
      <c r="G9438" s="1"/>
      <c r="N9438" s="1"/>
    </row>
    <row r="9439" spans="7:14" x14ac:dyDescent="0.35">
      <c r="G9439" s="1"/>
      <c r="N9439" s="1"/>
    </row>
    <row r="9440" spans="7:14" x14ac:dyDescent="0.35">
      <c r="G9440" s="1"/>
      <c r="N9440" s="1"/>
    </row>
    <row r="9441" spans="7:14" x14ac:dyDescent="0.35">
      <c r="G9441" s="1"/>
      <c r="N9441" s="1"/>
    </row>
    <row r="9442" spans="7:14" x14ac:dyDescent="0.35">
      <c r="G9442" s="1"/>
      <c r="N9442" s="1"/>
    </row>
    <row r="9443" spans="7:14" x14ac:dyDescent="0.35">
      <c r="G9443" s="1"/>
      <c r="N9443" s="1"/>
    </row>
    <row r="9444" spans="7:14" x14ac:dyDescent="0.35">
      <c r="G9444" s="1"/>
      <c r="N9444" s="1"/>
    </row>
    <row r="9445" spans="7:14" x14ac:dyDescent="0.35">
      <c r="G9445" s="1"/>
      <c r="N9445" s="1"/>
    </row>
    <row r="9446" spans="7:14" x14ac:dyDescent="0.35">
      <c r="G9446" s="1"/>
      <c r="N9446" s="1"/>
    </row>
    <row r="9447" spans="7:14" x14ac:dyDescent="0.35">
      <c r="G9447" s="1"/>
      <c r="N9447" s="1"/>
    </row>
    <row r="9448" spans="7:14" x14ac:dyDescent="0.35">
      <c r="G9448" s="1"/>
      <c r="N9448" s="1"/>
    </row>
    <row r="9449" spans="7:14" x14ac:dyDescent="0.35">
      <c r="G9449" s="1"/>
      <c r="N9449" s="1"/>
    </row>
    <row r="9450" spans="7:14" x14ac:dyDescent="0.35">
      <c r="G9450" s="1"/>
      <c r="N9450" s="1"/>
    </row>
    <row r="9451" spans="7:14" x14ac:dyDescent="0.35">
      <c r="G9451" s="1"/>
      <c r="N9451" s="1"/>
    </row>
    <row r="9452" spans="7:14" x14ac:dyDescent="0.35">
      <c r="G9452" s="1"/>
      <c r="N9452" s="1"/>
    </row>
    <row r="9453" spans="7:14" x14ac:dyDescent="0.35">
      <c r="G9453" s="1"/>
      <c r="N9453" s="1"/>
    </row>
    <row r="9454" spans="7:14" x14ac:dyDescent="0.35">
      <c r="G9454" s="1"/>
      <c r="N9454" s="1"/>
    </row>
    <row r="9455" spans="7:14" x14ac:dyDescent="0.35">
      <c r="G9455" s="1"/>
      <c r="N9455" s="1"/>
    </row>
    <row r="9456" spans="7:14" x14ac:dyDescent="0.35">
      <c r="G9456" s="1"/>
      <c r="N9456" s="1"/>
    </row>
    <row r="9457" spans="7:14" x14ac:dyDescent="0.35">
      <c r="G9457" s="1"/>
      <c r="N9457" s="1"/>
    </row>
    <row r="9458" spans="7:14" x14ac:dyDescent="0.35">
      <c r="G9458" s="1"/>
      <c r="N9458" s="1"/>
    </row>
    <row r="9459" spans="7:14" x14ac:dyDescent="0.35">
      <c r="G9459" s="1"/>
      <c r="N9459" s="1"/>
    </row>
    <row r="9460" spans="7:14" x14ac:dyDescent="0.35">
      <c r="G9460" s="1"/>
      <c r="N9460" s="1"/>
    </row>
    <row r="9461" spans="7:14" x14ac:dyDescent="0.35">
      <c r="G9461" s="1"/>
      <c r="N9461" s="1"/>
    </row>
    <row r="9462" spans="7:14" x14ac:dyDescent="0.35">
      <c r="G9462" s="1"/>
      <c r="N9462" s="1"/>
    </row>
    <row r="9463" spans="7:14" x14ac:dyDescent="0.35">
      <c r="G9463" s="1"/>
      <c r="N9463" s="1"/>
    </row>
    <row r="9464" spans="7:14" x14ac:dyDescent="0.35">
      <c r="G9464" s="1"/>
      <c r="N9464" s="1"/>
    </row>
    <row r="9465" spans="7:14" x14ac:dyDescent="0.35">
      <c r="G9465" s="1"/>
      <c r="N9465" s="1"/>
    </row>
    <row r="9466" spans="7:14" x14ac:dyDescent="0.35">
      <c r="G9466" s="1"/>
      <c r="N9466" s="1"/>
    </row>
    <row r="9467" spans="7:14" x14ac:dyDescent="0.35">
      <c r="G9467" s="1"/>
      <c r="N9467" s="1"/>
    </row>
    <row r="9468" spans="7:14" x14ac:dyDescent="0.35">
      <c r="G9468" s="1"/>
      <c r="N9468" s="1"/>
    </row>
    <row r="9469" spans="7:14" x14ac:dyDescent="0.35">
      <c r="G9469" s="1"/>
      <c r="N9469" s="1"/>
    </row>
    <row r="9470" spans="7:14" x14ac:dyDescent="0.35">
      <c r="G9470" s="1"/>
      <c r="N9470" s="1"/>
    </row>
    <row r="9471" spans="7:14" x14ac:dyDescent="0.35">
      <c r="G9471" s="1"/>
      <c r="N9471" s="1"/>
    </row>
    <row r="9472" spans="7:14" x14ac:dyDescent="0.35">
      <c r="G9472" s="1"/>
      <c r="N9472" s="1"/>
    </row>
    <row r="9473" spans="7:14" x14ac:dyDescent="0.35">
      <c r="G9473" s="1"/>
      <c r="N9473" s="1"/>
    </row>
    <row r="9474" spans="7:14" x14ac:dyDescent="0.35">
      <c r="G9474" s="1"/>
      <c r="N9474" s="1"/>
    </row>
    <row r="9475" spans="7:14" x14ac:dyDescent="0.35">
      <c r="G9475" s="1"/>
      <c r="N9475" s="1"/>
    </row>
    <row r="9476" spans="7:14" x14ac:dyDescent="0.35">
      <c r="G9476" s="1"/>
      <c r="N9476" s="1"/>
    </row>
    <row r="9477" spans="7:14" x14ac:dyDescent="0.35">
      <c r="G9477" s="1"/>
      <c r="N9477" s="1"/>
    </row>
    <row r="9478" spans="7:14" x14ac:dyDescent="0.35">
      <c r="G9478" s="1"/>
      <c r="N9478" s="1"/>
    </row>
    <row r="9479" spans="7:14" x14ac:dyDescent="0.35">
      <c r="G9479" s="1"/>
      <c r="N9479" s="1"/>
    </row>
    <row r="9480" spans="7:14" x14ac:dyDescent="0.35">
      <c r="G9480" s="1"/>
      <c r="N9480" s="1"/>
    </row>
    <row r="9481" spans="7:14" x14ac:dyDescent="0.35">
      <c r="G9481" s="1"/>
      <c r="N9481" s="1"/>
    </row>
    <row r="9482" spans="7:14" x14ac:dyDescent="0.35">
      <c r="G9482" s="1"/>
      <c r="N9482" s="1"/>
    </row>
    <row r="9483" spans="7:14" x14ac:dyDescent="0.35">
      <c r="G9483" s="1"/>
      <c r="N9483" s="1"/>
    </row>
    <row r="9484" spans="7:14" x14ac:dyDescent="0.35">
      <c r="G9484" s="1"/>
      <c r="N9484" s="1"/>
    </row>
    <row r="9485" spans="7:14" x14ac:dyDescent="0.35">
      <c r="G9485" s="1"/>
      <c r="N9485" s="1"/>
    </row>
    <row r="9486" spans="7:14" x14ac:dyDescent="0.35">
      <c r="G9486" s="1"/>
      <c r="N9486" s="1"/>
    </row>
    <row r="9487" spans="7:14" x14ac:dyDescent="0.35">
      <c r="G9487" s="1"/>
      <c r="N9487" s="1"/>
    </row>
    <row r="9488" spans="7:14" x14ac:dyDescent="0.35">
      <c r="G9488" s="1"/>
      <c r="N9488" s="1"/>
    </row>
    <row r="9489" spans="7:14" x14ac:dyDescent="0.35">
      <c r="G9489" s="1"/>
      <c r="N9489" s="1"/>
    </row>
    <row r="9490" spans="7:14" x14ac:dyDescent="0.35">
      <c r="G9490" s="1"/>
      <c r="N9490" s="1"/>
    </row>
    <row r="9491" spans="7:14" x14ac:dyDescent="0.35">
      <c r="G9491" s="1"/>
      <c r="N9491" s="1"/>
    </row>
    <row r="9492" spans="7:14" x14ac:dyDescent="0.35">
      <c r="G9492" s="1"/>
      <c r="N9492" s="1"/>
    </row>
    <row r="9493" spans="7:14" x14ac:dyDescent="0.35">
      <c r="G9493" s="1"/>
      <c r="N9493" s="1"/>
    </row>
    <row r="9494" spans="7:14" x14ac:dyDescent="0.35">
      <c r="G9494" s="1"/>
      <c r="N9494" s="1"/>
    </row>
    <row r="9495" spans="7:14" x14ac:dyDescent="0.35">
      <c r="G9495" s="1"/>
      <c r="N9495" s="1"/>
    </row>
    <row r="9496" spans="7:14" x14ac:dyDescent="0.35">
      <c r="G9496" s="1"/>
      <c r="N9496" s="1"/>
    </row>
    <row r="9497" spans="7:14" x14ac:dyDescent="0.35">
      <c r="G9497" s="1"/>
      <c r="N9497" s="1"/>
    </row>
    <row r="9498" spans="7:14" x14ac:dyDescent="0.35">
      <c r="G9498" s="1"/>
      <c r="N9498" s="1"/>
    </row>
    <row r="9499" spans="7:14" x14ac:dyDescent="0.35">
      <c r="G9499" s="1"/>
      <c r="N9499" s="1"/>
    </row>
    <row r="9500" spans="7:14" x14ac:dyDescent="0.35">
      <c r="G9500" s="1"/>
      <c r="N9500" s="1"/>
    </row>
    <row r="9501" spans="7:14" x14ac:dyDescent="0.35">
      <c r="G9501" s="1"/>
      <c r="N9501" s="1"/>
    </row>
    <row r="9502" spans="7:14" x14ac:dyDescent="0.35">
      <c r="G9502" s="1"/>
      <c r="N9502" s="1"/>
    </row>
    <row r="9503" spans="7:14" x14ac:dyDescent="0.35">
      <c r="G9503" s="1"/>
      <c r="N9503" s="1"/>
    </row>
    <row r="9504" spans="7:14" x14ac:dyDescent="0.35">
      <c r="G9504" s="1"/>
      <c r="N9504" s="1"/>
    </row>
    <row r="9505" spans="7:14" x14ac:dyDescent="0.35">
      <c r="G9505" s="1"/>
      <c r="N9505" s="1"/>
    </row>
    <row r="9506" spans="7:14" x14ac:dyDescent="0.35">
      <c r="G9506" s="1"/>
      <c r="N9506" s="1"/>
    </row>
    <row r="9507" spans="7:14" x14ac:dyDescent="0.35">
      <c r="G9507" s="1"/>
      <c r="N9507" s="1"/>
    </row>
    <row r="9508" spans="7:14" x14ac:dyDescent="0.35">
      <c r="G9508" s="1"/>
      <c r="N9508" s="1"/>
    </row>
    <row r="9509" spans="7:14" x14ac:dyDescent="0.35">
      <c r="G9509" s="1"/>
      <c r="N9509" s="1"/>
    </row>
    <row r="9510" spans="7:14" x14ac:dyDescent="0.35">
      <c r="G9510" s="1"/>
      <c r="N9510" s="1"/>
    </row>
    <row r="9511" spans="7:14" x14ac:dyDescent="0.35">
      <c r="G9511" s="1"/>
      <c r="N9511" s="1"/>
    </row>
    <row r="9512" spans="7:14" x14ac:dyDescent="0.35">
      <c r="G9512" s="1"/>
      <c r="N9512" s="1"/>
    </row>
    <row r="9513" spans="7:14" x14ac:dyDescent="0.35">
      <c r="G9513" s="1"/>
      <c r="N9513" s="1"/>
    </row>
    <row r="9514" spans="7:14" x14ac:dyDescent="0.35">
      <c r="G9514" s="1"/>
      <c r="N9514" s="1"/>
    </row>
    <row r="9515" spans="7:14" x14ac:dyDescent="0.35">
      <c r="G9515" s="1"/>
      <c r="N9515" s="1"/>
    </row>
    <row r="9516" spans="7:14" x14ac:dyDescent="0.35">
      <c r="G9516" s="1"/>
      <c r="N9516" s="1"/>
    </row>
    <row r="9517" spans="7:14" x14ac:dyDescent="0.35">
      <c r="G9517" s="1"/>
      <c r="N9517" s="1"/>
    </row>
    <row r="9518" spans="7:14" x14ac:dyDescent="0.35">
      <c r="G9518" s="1"/>
      <c r="N9518" s="1"/>
    </row>
    <row r="9519" spans="7:14" x14ac:dyDescent="0.35">
      <c r="G9519" s="1"/>
      <c r="N9519" s="1"/>
    </row>
    <row r="9520" spans="7:14" x14ac:dyDescent="0.35">
      <c r="G9520" s="1"/>
      <c r="N9520" s="1"/>
    </row>
    <row r="9521" spans="7:14" x14ac:dyDescent="0.35">
      <c r="G9521" s="1"/>
      <c r="N9521" s="1"/>
    </row>
    <row r="9522" spans="7:14" x14ac:dyDescent="0.35">
      <c r="G9522" s="1"/>
      <c r="N9522" s="1"/>
    </row>
    <row r="9523" spans="7:14" x14ac:dyDescent="0.35">
      <c r="G9523" s="1"/>
      <c r="N9523" s="1"/>
    </row>
    <row r="9524" spans="7:14" x14ac:dyDescent="0.35">
      <c r="G9524" s="1"/>
      <c r="N9524" s="1"/>
    </row>
    <row r="9525" spans="7:14" x14ac:dyDescent="0.35">
      <c r="G9525" s="1"/>
      <c r="N9525" s="1"/>
    </row>
    <row r="9526" spans="7:14" x14ac:dyDescent="0.35">
      <c r="G9526" s="1"/>
      <c r="N9526" s="1"/>
    </row>
    <row r="9527" spans="7:14" x14ac:dyDescent="0.35">
      <c r="G9527" s="1"/>
      <c r="N9527" s="1"/>
    </row>
    <row r="9528" spans="7:14" x14ac:dyDescent="0.35">
      <c r="G9528" s="1"/>
      <c r="N9528" s="1"/>
    </row>
    <row r="9529" spans="7:14" x14ac:dyDescent="0.35">
      <c r="G9529" s="1"/>
      <c r="N9529" s="1"/>
    </row>
    <row r="9530" spans="7:14" x14ac:dyDescent="0.35">
      <c r="G9530" s="1"/>
      <c r="N9530" s="1"/>
    </row>
    <row r="9531" spans="7:14" x14ac:dyDescent="0.35">
      <c r="G9531" s="1"/>
      <c r="N9531" s="1"/>
    </row>
    <row r="9532" spans="7:14" x14ac:dyDescent="0.35">
      <c r="G9532" s="1"/>
      <c r="N9532" s="1"/>
    </row>
    <row r="9533" spans="7:14" x14ac:dyDescent="0.35">
      <c r="G9533" s="1"/>
      <c r="N9533" s="1"/>
    </row>
    <row r="9534" spans="7:14" x14ac:dyDescent="0.35">
      <c r="G9534" s="1"/>
      <c r="N9534" s="1"/>
    </row>
    <row r="9535" spans="7:14" x14ac:dyDescent="0.35">
      <c r="G9535" s="1"/>
      <c r="N9535" s="1"/>
    </row>
    <row r="9536" spans="7:14" x14ac:dyDescent="0.35">
      <c r="G9536" s="1"/>
      <c r="N9536" s="1"/>
    </row>
    <row r="9537" spans="7:14" x14ac:dyDescent="0.35">
      <c r="G9537" s="1"/>
      <c r="N9537" s="1"/>
    </row>
    <row r="9538" spans="7:14" x14ac:dyDescent="0.35">
      <c r="G9538" s="1"/>
      <c r="N9538" s="1"/>
    </row>
    <row r="9539" spans="7:14" x14ac:dyDescent="0.35">
      <c r="G9539" s="1"/>
      <c r="N9539" s="1"/>
    </row>
    <row r="9540" spans="7:14" x14ac:dyDescent="0.35">
      <c r="G9540" s="1"/>
      <c r="N9540" s="1"/>
    </row>
    <row r="9541" spans="7:14" x14ac:dyDescent="0.35">
      <c r="G9541" s="1"/>
      <c r="N9541" s="1"/>
    </row>
    <row r="9542" spans="7:14" x14ac:dyDescent="0.35">
      <c r="G9542" s="1"/>
      <c r="N9542" s="1"/>
    </row>
    <row r="9543" spans="7:14" x14ac:dyDescent="0.35">
      <c r="G9543" s="1"/>
      <c r="N9543" s="1"/>
    </row>
    <row r="9544" spans="7:14" x14ac:dyDescent="0.35">
      <c r="G9544" s="1"/>
      <c r="N9544" s="1"/>
    </row>
    <row r="9545" spans="7:14" x14ac:dyDescent="0.35">
      <c r="G9545" s="1"/>
      <c r="N9545" s="1"/>
    </row>
    <row r="9546" spans="7:14" x14ac:dyDescent="0.35">
      <c r="G9546" s="1"/>
      <c r="N9546" s="1"/>
    </row>
    <row r="9547" spans="7:14" x14ac:dyDescent="0.35">
      <c r="G9547" s="1"/>
      <c r="N9547" s="1"/>
    </row>
    <row r="9548" spans="7:14" x14ac:dyDescent="0.35">
      <c r="G9548" s="1"/>
      <c r="N9548" s="1"/>
    </row>
    <row r="9549" spans="7:14" x14ac:dyDescent="0.35">
      <c r="G9549" s="1"/>
      <c r="N9549" s="1"/>
    </row>
    <row r="9550" spans="7:14" x14ac:dyDescent="0.35">
      <c r="G9550" s="1"/>
      <c r="N9550" s="1"/>
    </row>
    <row r="9551" spans="7:14" x14ac:dyDescent="0.35">
      <c r="G9551" s="1"/>
      <c r="N9551" s="1"/>
    </row>
    <row r="9552" spans="7:14" x14ac:dyDescent="0.35">
      <c r="G9552" s="1"/>
      <c r="N9552" s="1"/>
    </row>
    <row r="9553" spans="7:14" x14ac:dyDescent="0.35">
      <c r="G9553" s="1"/>
      <c r="N9553" s="1"/>
    </row>
    <row r="9554" spans="7:14" x14ac:dyDescent="0.35">
      <c r="G9554" s="1"/>
      <c r="N9554" s="1"/>
    </row>
    <row r="9555" spans="7:14" x14ac:dyDescent="0.35">
      <c r="G9555" s="1"/>
      <c r="N9555" s="1"/>
    </row>
    <row r="9556" spans="7:14" x14ac:dyDescent="0.35">
      <c r="G9556" s="1"/>
      <c r="N9556" s="1"/>
    </row>
    <row r="9557" spans="7:14" x14ac:dyDescent="0.35">
      <c r="G9557" s="1"/>
      <c r="N9557" s="1"/>
    </row>
    <row r="9558" spans="7:14" x14ac:dyDescent="0.35">
      <c r="G9558" s="1"/>
      <c r="N9558" s="1"/>
    </row>
    <row r="9559" spans="7:14" x14ac:dyDescent="0.35">
      <c r="G9559" s="1"/>
      <c r="N9559" s="1"/>
    </row>
    <row r="9560" spans="7:14" x14ac:dyDescent="0.35">
      <c r="G9560" s="1"/>
      <c r="N9560" s="1"/>
    </row>
    <row r="9561" spans="7:14" x14ac:dyDescent="0.35">
      <c r="G9561" s="1"/>
      <c r="N9561" s="1"/>
    </row>
    <row r="9562" spans="7:14" x14ac:dyDescent="0.35">
      <c r="G9562" s="1"/>
      <c r="N9562" s="1"/>
    </row>
    <row r="9563" spans="7:14" x14ac:dyDescent="0.35">
      <c r="G9563" s="1"/>
      <c r="N9563" s="1"/>
    </row>
    <row r="9564" spans="7:14" x14ac:dyDescent="0.35">
      <c r="G9564" s="1"/>
      <c r="N9564" s="1"/>
    </row>
    <row r="9565" spans="7:14" x14ac:dyDescent="0.35">
      <c r="G9565" s="1"/>
      <c r="N9565" s="1"/>
    </row>
    <row r="9566" spans="7:14" x14ac:dyDescent="0.35">
      <c r="G9566" s="1"/>
      <c r="N9566" s="1"/>
    </row>
    <row r="9567" spans="7:14" x14ac:dyDescent="0.35">
      <c r="G9567" s="1"/>
      <c r="N9567" s="1"/>
    </row>
    <row r="9568" spans="7:14" x14ac:dyDescent="0.35">
      <c r="G9568" s="1"/>
      <c r="N9568" s="1"/>
    </row>
    <row r="9569" spans="7:14" x14ac:dyDescent="0.35">
      <c r="G9569" s="1"/>
      <c r="N9569" s="1"/>
    </row>
    <row r="9570" spans="7:14" x14ac:dyDescent="0.35">
      <c r="G9570" s="1"/>
      <c r="N9570" s="1"/>
    </row>
    <row r="9571" spans="7:14" x14ac:dyDescent="0.35">
      <c r="G9571" s="1"/>
      <c r="N9571" s="1"/>
    </row>
    <row r="9572" spans="7:14" x14ac:dyDescent="0.35">
      <c r="G9572" s="1"/>
      <c r="N9572" s="1"/>
    </row>
    <row r="9573" spans="7:14" x14ac:dyDescent="0.35">
      <c r="G9573" s="1"/>
      <c r="N9573" s="1"/>
    </row>
    <row r="9574" spans="7:14" x14ac:dyDescent="0.35">
      <c r="G9574" s="1"/>
      <c r="N9574" s="1"/>
    </row>
    <row r="9575" spans="7:14" x14ac:dyDescent="0.35">
      <c r="G9575" s="1"/>
      <c r="N9575" s="1"/>
    </row>
    <row r="9576" spans="7:14" x14ac:dyDescent="0.35">
      <c r="G9576" s="1"/>
      <c r="N9576" s="1"/>
    </row>
    <row r="9577" spans="7:14" x14ac:dyDescent="0.35">
      <c r="G9577" s="1"/>
      <c r="N9577" s="1"/>
    </row>
    <row r="9578" spans="7:14" x14ac:dyDescent="0.35">
      <c r="G9578" s="1"/>
      <c r="N9578" s="1"/>
    </row>
    <row r="9579" spans="7:14" x14ac:dyDescent="0.35">
      <c r="G9579" s="1"/>
      <c r="N9579" s="1"/>
    </row>
    <row r="9580" spans="7:14" x14ac:dyDescent="0.35">
      <c r="G9580" s="1"/>
      <c r="N9580" s="1"/>
    </row>
    <row r="9581" spans="7:14" x14ac:dyDescent="0.35">
      <c r="G9581" s="1"/>
      <c r="N9581" s="1"/>
    </row>
    <row r="9582" spans="7:14" x14ac:dyDescent="0.35">
      <c r="G9582" s="1"/>
      <c r="N9582" s="1"/>
    </row>
    <row r="9583" spans="7:14" x14ac:dyDescent="0.35">
      <c r="G9583" s="1"/>
      <c r="N9583" s="1"/>
    </row>
    <row r="9584" spans="7:14" x14ac:dyDescent="0.35">
      <c r="G9584" s="1"/>
      <c r="N9584" s="1"/>
    </row>
    <row r="9585" spans="7:14" x14ac:dyDescent="0.35">
      <c r="G9585" s="1"/>
      <c r="N9585" s="1"/>
    </row>
    <row r="9586" spans="7:14" x14ac:dyDescent="0.35">
      <c r="G9586" s="1"/>
      <c r="N9586" s="1"/>
    </row>
    <row r="9587" spans="7:14" x14ac:dyDescent="0.35">
      <c r="G9587" s="1"/>
      <c r="N9587" s="1"/>
    </row>
    <row r="9588" spans="7:14" x14ac:dyDescent="0.35">
      <c r="G9588" s="1"/>
      <c r="N9588" s="1"/>
    </row>
    <row r="9589" spans="7:14" x14ac:dyDescent="0.35">
      <c r="G9589" s="1"/>
      <c r="N9589" s="1"/>
    </row>
    <row r="9590" spans="7:14" x14ac:dyDescent="0.35">
      <c r="G9590" s="1"/>
      <c r="N9590" s="1"/>
    </row>
    <row r="9591" spans="7:14" x14ac:dyDescent="0.35">
      <c r="G9591" s="1"/>
      <c r="N9591" s="1"/>
    </row>
    <row r="9592" spans="7:14" x14ac:dyDescent="0.35">
      <c r="G9592" s="1"/>
      <c r="N9592" s="1"/>
    </row>
    <row r="9593" spans="7:14" x14ac:dyDescent="0.35">
      <c r="G9593" s="1"/>
      <c r="N9593" s="1"/>
    </row>
    <row r="9594" spans="7:14" x14ac:dyDescent="0.35">
      <c r="G9594" s="1"/>
      <c r="N9594" s="1"/>
    </row>
    <row r="9595" spans="7:14" x14ac:dyDescent="0.35">
      <c r="G9595" s="1"/>
      <c r="N9595" s="1"/>
    </row>
    <row r="9596" spans="7:14" x14ac:dyDescent="0.35">
      <c r="G9596" s="1"/>
      <c r="N9596" s="1"/>
    </row>
    <row r="9597" spans="7:14" x14ac:dyDescent="0.35">
      <c r="G9597" s="1"/>
      <c r="N9597" s="1"/>
    </row>
    <row r="9598" spans="7:14" x14ac:dyDescent="0.35">
      <c r="G9598" s="1"/>
      <c r="N9598" s="1"/>
    </row>
    <row r="9599" spans="7:14" x14ac:dyDescent="0.35">
      <c r="G9599" s="1"/>
      <c r="N9599" s="1"/>
    </row>
    <row r="9600" spans="7:14" x14ac:dyDescent="0.35">
      <c r="G9600" s="1"/>
      <c r="N9600" s="1"/>
    </row>
    <row r="9601" spans="7:14" x14ac:dyDescent="0.35">
      <c r="G9601" s="1"/>
      <c r="N9601" s="1"/>
    </row>
    <row r="9602" spans="7:14" x14ac:dyDescent="0.35">
      <c r="G9602" s="1"/>
      <c r="N9602" s="1"/>
    </row>
    <row r="9603" spans="7:14" x14ac:dyDescent="0.35">
      <c r="G9603" s="1"/>
      <c r="N9603" s="1"/>
    </row>
    <row r="9604" spans="7:14" x14ac:dyDescent="0.35">
      <c r="G9604" s="1"/>
      <c r="N9604" s="1"/>
    </row>
    <row r="9605" spans="7:14" x14ac:dyDescent="0.35">
      <c r="G9605" s="1"/>
      <c r="N9605" s="1"/>
    </row>
    <row r="9606" spans="7:14" x14ac:dyDescent="0.35">
      <c r="G9606" s="1"/>
      <c r="N9606" s="1"/>
    </row>
    <row r="9607" spans="7:14" x14ac:dyDescent="0.35">
      <c r="G9607" s="1"/>
      <c r="N9607" s="1"/>
    </row>
    <row r="9608" spans="7:14" x14ac:dyDescent="0.35">
      <c r="G9608" s="1"/>
      <c r="N9608" s="1"/>
    </row>
    <row r="9609" spans="7:14" x14ac:dyDescent="0.35">
      <c r="G9609" s="1"/>
      <c r="N9609" s="1"/>
    </row>
    <row r="9610" spans="7:14" x14ac:dyDescent="0.35">
      <c r="G9610" s="1"/>
      <c r="N9610" s="1"/>
    </row>
    <row r="9611" spans="7:14" x14ac:dyDescent="0.35">
      <c r="G9611" s="1"/>
      <c r="N9611" s="1"/>
    </row>
    <row r="9612" spans="7:14" x14ac:dyDescent="0.35">
      <c r="G9612" s="1"/>
      <c r="N9612" s="1"/>
    </row>
    <row r="9613" spans="7:14" x14ac:dyDescent="0.35">
      <c r="G9613" s="1"/>
      <c r="N9613" s="1"/>
    </row>
    <row r="9614" spans="7:14" x14ac:dyDescent="0.35">
      <c r="G9614" s="1"/>
      <c r="N9614" s="1"/>
    </row>
    <row r="9615" spans="7:14" x14ac:dyDescent="0.35">
      <c r="G9615" s="1"/>
      <c r="N9615" s="1"/>
    </row>
    <row r="9616" spans="7:14" x14ac:dyDescent="0.35">
      <c r="G9616" s="1"/>
      <c r="N9616" s="1"/>
    </row>
    <row r="9617" spans="7:14" x14ac:dyDescent="0.35">
      <c r="G9617" s="1"/>
      <c r="N9617" s="1"/>
    </row>
    <row r="9618" spans="7:14" x14ac:dyDescent="0.35">
      <c r="G9618" s="1"/>
      <c r="N9618" s="1"/>
    </row>
    <row r="9619" spans="7:14" x14ac:dyDescent="0.35">
      <c r="G9619" s="1"/>
      <c r="N9619" s="1"/>
    </row>
    <row r="9620" spans="7:14" x14ac:dyDescent="0.35">
      <c r="G9620" s="1"/>
      <c r="N9620" s="1"/>
    </row>
    <row r="9621" spans="7:14" x14ac:dyDescent="0.35">
      <c r="G9621" s="1"/>
      <c r="N9621" s="1"/>
    </row>
    <row r="9622" spans="7:14" x14ac:dyDescent="0.35">
      <c r="G9622" s="1"/>
      <c r="N9622" s="1"/>
    </row>
    <row r="9623" spans="7:14" x14ac:dyDescent="0.35">
      <c r="G9623" s="1"/>
      <c r="N9623" s="1"/>
    </row>
    <row r="9624" spans="7:14" x14ac:dyDescent="0.35">
      <c r="G9624" s="1"/>
      <c r="N9624" s="1"/>
    </row>
    <row r="9625" spans="7:14" x14ac:dyDescent="0.35">
      <c r="G9625" s="1"/>
      <c r="N9625" s="1"/>
    </row>
    <row r="9626" spans="7:14" x14ac:dyDescent="0.35">
      <c r="G9626" s="1"/>
      <c r="N9626" s="1"/>
    </row>
    <row r="9627" spans="7:14" x14ac:dyDescent="0.35">
      <c r="G9627" s="1"/>
      <c r="N9627" s="1"/>
    </row>
    <row r="9628" spans="7:14" x14ac:dyDescent="0.35">
      <c r="G9628" s="1"/>
      <c r="N9628" s="1"/>
    </row>
    <row r="9629" spans="7:14" x14ac:dyDescent="0.35">
      <c r="G9629" s="1"/>
      <c r="N9629" s="1"/>
    </row>
    <row r="9630" spans="7:14" x14ac:dyDescent="0.35">
      <c r="G9630" s="1"/>
      <c r="N9630" s="1"/>
    </row>
    <row r="9631" spans="7:14" x14ac:dyDescent="0.35">
      <c r="G9631" s="1"/>
      <c r="N9631" s="1"/>
    </row>
    <row r="9632" spans="7:14" x14ac:dyDescent="0.35">
      <c r="G9632" s="1"/>
      <c r="N9632" s="1"/>
    </row>
    <row r="9633" spans="7:14" x14ac:dyDescent="0.35">
      <c r="G9633" s="1"/>
      <c r="N9633" s="1"/>
    </row>
    <row r="9634" spans="7:14" x14ac:dyDescent="0.35">
      <c r="G9634" s="1"/>
      <c r="N9634" s="1"/>
    </row>
    <row r="9635" spans="7:14" x14ac:dyDescent="0.35">
      <c r="G9635" s="1"/>
      <c r="N9635" s="1"/>
    </row>
    <row r="9636" spans="7:14" x14ac:dyDescent="0.35">
      <c r="G9636" s="1"/>
      <c r="N9636" s="1"/>
    </row>
    <row r="9637" spans="7:14" x14ac:dyDescent="0.35">
      <c r="G9637" s="1"/>
      <c r="N9637" s="1"/>
    </row>
    <row r="9638" spans="7:14" x14ac:dyDescent="0.35">
      <c r="G9638" s="1"/>
      <c r="N9638" s="1"/>
    </row>
    <row r="9639" spans="7:14" x14ac:dyDescent="0.35">
      <c r="G9639" s="1"/>
      <c r="N9639" s="1"/>
    </row>
    <row r="9640" spans="7:14" x14ac:dyDescent="0.35">
      <c r="G9640" s="1"/>
      <c r="N9640" s="1"/>
    </row>
    <row r="9641" spans="7:14" x14ac:dyDescent="0.35">
      <c r="G9641" s="1"/>
      <c r="N9641" s="1"/>
    </row>
    <row r="9642" spans="7:14" x14ac:dyDescent="0.35">
      <c r="G9642" s="1"/>
      <c r="N9642" s="1"/>
    </row>
    <row r="9643" spans="7:14" x14ac:dyDescent="0.35">
      <c r="G9643" s="1"/>
      <c r="N9643" s="1"/>
    </row>
    <row r="9644" spans="7:14" x14ac:dyDescent="0.35">
      <c r="G9644" s="1"/>
      <c r="N9644" s="1"/>
    </row>
    <row r="9645" spans="7:14" x14ac:dyDescent="0.35">
      <c r="G9645" s="1"/>
      <c r="N9645" s="1"/>
    </row>
    <row r="9646" spans="7:14" x14ac:dyDescent="0.35">
      <c r="G9646" s="1"/>
      <c r="N9646" s="1"/>
    </row>
    <row r="9647" spans="7:14" x14ac:dyDescent="0.35">
      <c r="G9647" s="1"/>
      <c r="N9647" s="1"/>
    </row>
    <row r="9648" spans="7:14" x14ac:dyDescent="0.35">
      <c r="G9648" s="1"/>
      <c r="N9648" s="1"/>
    </row>
    <row r="9649" spans="7:14" x14ac:dyDescent="0.35">
      <c r="G9649" s="1"/>
      <c r="N9649" s="1"/>
    </row>
    <row r="9650" spans="7:14" x14ac:dyDescent="0.35">
      <c r="G9650" s="1"/>
      <c r="N9650" s="1"/>
    </row>
    <row r="9651" spans="7:14" x14ac:dyDescent="0.35">
      <c r="G9651" s="1"/>
      <c r="N9651" s="1"/>
    </row>
    <row r="9652" spans="7:14" x14ac:dyDescent="0.35">
      <c r="G9652" s="1"/>
      <c r="N9652" s="1"/>
    </row>
    <row r="9653" spans="7:14" x14ac:dyDescent="0.35">
      <c r="G9653" s="1"/>
      <c r="N9653" s="1"/>
    </row>
    <row r="9654" spans="7:14" x14ac:dyDescent="0.35">
      <c r="G9654" s="1"/>
      <c r="N9654" s="1"/>
    </row>
    <row r="9655" spans="7:14" x14ac:dyDescent="0.35">
      <c r="G9655" s="1"/>
      <c r="N9655" s="1"/>
    </row>
    <row r="9656" spans="7:14" x14ac:dyDescent="0.35">
      <c r="G9656" s="1"/>
      <c r="N9656" s="1"/>
    </row>
    <row r="9657" spans="7:14" x14ac:dyDescent="0.35">
      <c r="G9657" s="1"/>
      <c r="N9657" s="1"/>
    </row>
    <row r="9658" spans="7:14" x14ac:dyDescent="0.35">
      <c r="G9658" s="1"/>
      <c r="N9658" s="1"/>
    </row>
    <row r="9659" spans="7:14" x14ac:dyDescent="0.35">
      <c r="G9659" s="1"/>
      <c r="N9659" s="1"/>
    </row>
    <row r="9660" spans="7:14" x14ac:dyDescent="0.35">
      <c r="G9660" s="1"/>
      <c r="N9660" s="1"/>
    </row>
    <row r="9661" spans="7:14" x14ac:dyDescent="0.35">
      <c r="G9661" s="1"/>
      <c r="N9661" s="1"/>
    </row>
    <row r="9662" spans="7:14" x14ac:dyDescent="0.35">
      <c r="G9662" s="1"/>
      <c r="N9662" s="1"/>
    </row>
    <row r="9663" spans="7:14" x14ac:dyDescent="0.35">
      <c r="G9663" s="1"/>
      <c r="N9663" s="1"/>
    </row>
    <row r="9664" spans="7:14" x14ac:dyDescent="0.35">
      <c r="G9664" s="1"/>
      <c r="N9664" s="1"/>
    </row>
    <row r="9665" spans="7:14" x14ac:dyDescent="0.35">
      <c r="G9665" s="1"/>
      <c r="N9665" s="1"/>
    </row>
    <row r="9666" spans="7:14" x14ac:dyDescent="0.35">
      <c r="G9666" s="1"/>
      <c r="N9666" s="1"/>
    </row>
    <row r="9667" spans="7:14" x14ac:dyDescent="0.35">
      <c r="G9667" s="1"/>
      <c r="N9667" s="1"/>
    </row>
    <row r="9668" spans="7:14" x14ac:dyDescent="0.35">
      <c r="G9668" s="1"/>
      <c r="N9668" s="1"/>
    </row>
    <row r="9669" spans="7:14" x14ac:dyDescent="0.35">
      <c r="G9669" s="1"/>
      <c r="N9669" s="1"/>
    </row>
    <row r="9670" spans="7:14" x14ac:dyDescent="0.35">
      <c r="G9670" s="1"/>
      <c r="N9670" s="1"/>
    </row>
    <row r="9671" spans="7:14" x14ac:dyDescent="0.35">
      <c r="G9671" s="1"/>
      <c r="N9671" s="1"/>
    </row>
    <row r="9672" spans="7:14" x14ac:dyDescent="0.35">
      <c r="G9672" s="1"/>
      <c r="N9672" s="1"/>
    </row>
    <row r="9673" spans="7:14" x14ac:dyDescent="0.35">
      <c r="G9673" s="1"/>
      <c r="N9673" s="1"/>
    </row>
    <row r="9674" spans="7:14" x14ac:dyDescent="0.35">
      <c r="G9674" s="1"/>
      <c r="N9674" s="1"/>
    </row>
    <row r="9675" spans="7:14" x14ac:dyDescent="0.35">
      <c r="G9675" s="1"/>
      <c r="N9675" s="1"/>
    </row>
    <row r="9676" spans="7:14" x14ac:dyDescent="0.35">
      <c r="G9676" s="1"/>
      <c r="N9676" s="1"/>
    </row>
    <row r="9677" spans="7:14" x14ac:dyDescent="0.35">
      <c r="G9677" s="1"/>
      <c r="N9677" s="1"/>
    </row>
    <row r="9678" spans="7:14" x14ac:dyDescent="0.35">
      <c r="G9678" s="1"/>
      <c r="N9678" s="1"/>
    </row>
    <row r="9679" spans="7:14" x14ac:dyDescent="0.35">
      <c r="G9679" s="1"/>
      <c r="N9679" s="1"/>
    </row>
    <row r="9680" spans="7:14" x14ac:dyDescent="0.35">
      <c r="G9680" s="1"/>
      <c r="N9680" s="1"/>
    </row>
    <row r="9681" spans="7:14" x14ac:dyDescent="0.35">
      <c r="G9681" s="1"/>
      <c r="N9681" s="1"/>
    </row>
    <row r="9682" spans="7:14" x14ac:dyDescent="0.35">
      <c r="G9682" s="1"/>
      <c r="N9682" s="1"/>
    </row>
    <row r="9683" spans="7:14" x14ac:dyDescent="0.35">
      <c r="G9683" s="1"/>
      <c r="N9683" s="1"/>
    </row>
    <row r="9684" spans="7:14" x14ac:dyDescent="0.35">
      <c r="G9684" s="1"/>
      <c r="N9684" s="1"/>
    </row>
    <row r="9685" spans="7:14" x14ac:dyDescent="0.35">
      <c r="G9685" s="1"/>
      <c r="N9685" s="1"/>
    </row>
    <row r="9686" spans="7:14" x14ac:dyDescent="0.35">
      <c r="G9686" s="1"/>
      <c r="N9686" s="1"/>
    </row>
    <row r="9687" spans="7:14" x14ac:dyDescent="0.35">
      <c r="G9687" s="1"/>
      <c r="N9687" s="1"/>
    </row>
    <row r="9688" spans="7:14" x14ac:dyDescent="0.35">
      <c r="G9688" s="1"/>
      <c r="N9688" s="1"/>
    </row>
    <row r="9689" spans="7:14" x14ac:dyDescent="0.35">
      <c r="G9689" s="1"/>
      <c r="N9689" s="1"/>
    </row>
    <row r="9690" spans="7:14" x14ac:dyDescent="0.35">
      <c r="G9690" s="1"/>
      <c r="N9690" s="1"/>
    </row>
    <row r="9691" spans="7:14" x14ac:dyDescent="0.35">
      <c r="G9691" s="1"/>
      <c r="N9691" s="1"/>
    </row>
    <row r="9692" spans="7:14" x14ac:dyDescent="0.35">
      <c r="G9692" s="1"/>
      <c r="N9692" s="1"/>
    </row>
    <row r="9693" spans="7:14" x14ac:dyDescent="0.35">
      <c r="G9693" s="1"/>
      <c r="N9693" s="1"/>
    </row>
    <row r="9694" spans="7:14" x14ac:dyDescent="0.35">
      <c r="G9694" s="1"/>
      <c r="N9694" s="1"/>
    </row>
    <row r="9695" spans="7:14" x14ac:dyDescent="0.35">
      <c r="G9695" s="1"/>
      <c r="N9695" s="1"/>
    </row>
    <row r="9696" spans="7:14" x14ac:dyDescent="0.35">
      <c r="G9696" s="1"/>
      <c r="N9696" s="1"/>
    </row>
    <row r="9697" spans="7:14" x14ac:dyDescent="0.35">
      <c r="G9697" s="1"/>
      <c r="N9697" s="1"/>
    </row>
    <row r="9698" spans="7:14" x14ac:dyDescent="0.35">
      <c r="G9698" s="1"/>
      <c r="N9698" s="1"/>
    </row>
    <row r="9699" spans="7:14" x14ac:dyDescent="0.35">
      <c r="G9699" s="1"/>
      <c r="N9699" s="1"/>
    </row>
    <row r="9700" spans="7:14" x14ac:dyDescent="0.35">
      <c r="G9700" s="1"/>
      <c r="N9700" s="1"/>
    </row>
    <row r="9701" spans="7:14" x14ac:dyDescent="0.35">
      <c r="G9701" s="1"/>
      <c r="N9701" s="1"/>
    </row>
    <row r="9702" spans="7:14" x14ac:dyDescent="0.35">
      <c r="G9702" s="1"/>
      <c r="N9702" s="1"/>
    </row>
    <row r="9703" spans="7:14" x14ac:dyDescent="0.35">
      <c r="G9703" s="1"/>
      <c r="N9703" s="1"/>
    </row>
    <row r="9704" spans="7:14" x14ac:dyDescent="0.35">
      <c r="G9704" s="1"/>
      <c r="N9704" s="1"/>
    </row>
    <row r="9705" spans="7:14" x14ac:dyDescent="0.35">
      <c r="G9705" s="1"/>
      <c r="N9705" s="1"/>
    </row>
    <row r="9706" spans="7:14" x14ac:dyDescent="0.35">
      <c r="G9706" s="1"/>
      <c r="N9706" s="1"/>
    </row>
    <row r="9707" spans="7:14" x14ac:dyDescent="0.35">
      <c r="G9707" s="1"/>
      <c r="N9707" s="1"/>
    </row>
    <row r="9708" spans="7:14" x14ac:dyDescent="0.35">
      <c r="G9708" s="1"/>
      <c r="N9708" s="1"/>
    </row>
    <row r="9709" spans="7:14" x14ac:dyDescent="0.35">
      <c r="G9709" s="1"/>
      <c r="N9709" s="1"/>
    </row>
    <row r="9710" spans="7:14" x14ac:dyDescent="0.35">
      <c r="G9710" s="1"/>
      <c r="N9710" s="1"/>
    </row>
    <row r="9711" spans="7:14" x14ac:dyDescent="0.35">
      <c r="G9711" s="1"/>
      <c r="N9711" s="1"/>
    </row>
    <row r="9712" spans="7:14" x14ac:dyDescent="0.35">
      <c r="G9712" s="1"/>
      <c r="N9712" s="1"/>
    </row>
    <row r="9713" spans="7:14" x14ac:dyDescent="0.35">
      <c r="G9713" s="1"/>
      <c r="N9713" s="1"/>
    </row>
    <row r="9714" spans="7:14" x14ac:dyDescent="0.35">
      <c r="G9714" s="1"/>
      <c r="N9714" s="1"/>
    </row>
    <row r="9715" spans="7:14" x14ac:dyDescent="0.35">
      <c r="G9715" s="1"/>
      <c r="N9715" s="1"/>
    </row>
    <row r="9716" spans="7:14" x14ac:dyDescent="0.35">
      <c r="G9716" s="1"/>
      <c r="N9716" s="1"/>
    </row>
    <row r="9717" spans="7:14" x14ac:dyDescent="0.35">
      <c r="G9717" s="1"/>
      <c r="N9717" s="1"/>
    </row>
    <row r="9718" spans="7:14" x14ac:dyDescent="0.35">
      <c r="G9718" s="1"/>
      <c r="N9718" s="1"/>
    </row>
    <row r="9719" spans="7:14" x14ac:dyDescent="0.35">
      <c r="G9719" s="1"/>
      <c r="N9719" s="1"/>
    </row>
    <row r="9720" spans="7:14" x14ac:dyDescent="0.35">
      <c r="G9720" s="1"/>
      <c r="N9720" s="1"/>
    </row>
    <row r="9721" spans="7:14" x14ac:dyDescent="0.35">
      <c r="G9721" s="1"/>
      <c r="N9721" s="1"/>
    </row>
    <row r="9722" spans="7:14" x14ac:dyDescent="0.35">
      <c r="G9722" s="1"/>
      <c r="N9722" s="1"/>
    </row>
    <row r="9723" spans="7:14" x14ac:dyDescent="0.35">
      <c r="G9723" s="1"/>
      <c r="N9723" s="1"/>
    </row>
    <row r="9724" spans="7:14" x14ac:dyDescent="0.35">
      <c r="G9724" s="1"/>
      <c r="N9724" s="1"/>
    </row>
    <row r="9725" spans="7:14" x14ac:dyDescent="0.35">
      <c r="G9725" s="1"/>
      <c r="N9725" s="1"/>
    </row>
    <row r="9726" spans="7:14" x14ac:dyDescent="0.35">
      <c r="G9726" s="1"/>
      <c r="N9726" s="1"/>
    </row>
    <row r="9727" spans="7:14" x14ac:dyDescent="0.35">
      <c r="G9727" s="1"/>
      <c r="N9727" s="1"/>
    </row>
    <row r="9728" spans="7:14" x14ac:dyDescent="0.35">
      <c r="G9728" s="1"/>
      <c r="N9728" s="1"/>
    </row>
    <row r="9729" spans="7:14" x14ac:dyDescent="0.35">
      <c r="G9729" s="1"/>
      <c r="N9729" s="1"/>
    </row>
    <row r="9730" spans="7:14" x14ac:dyDescent="0.35">
      <c r="G9730" s="1"/>
      <c r="N9730" s="1"/>
    </row>
    <row r="9731" spans="7:14" x14ac:dyDescent="0.35">
      <c r="G9731" s="1"/>
      <c r="N9731" s="1"/>
    </row>
    <row r="9732" spans="7:14" x14ac:dyDescent="0.35">
      <c r="G9732" s="1"/>
      <c r="N9732" s="1"/>
    </row>
    <row r="9733" spans="7:14" x14ac:dyDescent="0.35">
      <c r="G9733" s="1"/>
      <c r="N9733" s="1"/>
    </row>
    <row r="9734" spans="7:14" x14ac:dyDescent="0.35">
      <c r="G9734" s="1"/>
      <c r="N9734" s="1"/>
    </row>
    <row r="9735" spans="7:14" x14ac:dyDescent="0.35">
      <c r="G9735" s="1"/>
      <c r="N9735" s="1"/>
    </row>
    <row r="9736" spans="7:14" x14ac:dyDescent="0.35">
      <c r="G9736" s="1"/>
      <c r="N9736" s="1"/>
    </row>
    <row r="9737" spans="7:14" x14ac:dyDescent="0.35">
      <c r="G9737" s="1"/>
      <c r="N9737" s="1"/>
    </row>
    <row r="9738" spans="7:14" x14ac:dyDescent="0.35">
      <c r="G9738" s="1"/>
      <c r="N9738" s="1"/>
    </row>
    <row r="9739" spans="7:14" x14ac:dyDescent="0.35">
      <c r="G9739" s="1"/>
      <c r="N9739" s="1"/>
    </row>
    <row r="9740" spans="7:14" x14ac:dyDescent="0.35">
      <c r="G9740" s="1"/>
      <c r="N9740" s="1"/>
    </row>
    <row r="9741" spans="7:14" x14ac:dyDescent="0.35">
      <c r="G9741" s="1"/>
      <c r="N9741" s="1"/>
    </row>
    <row r="9742" spans="7:14" x14ac:dyDescent="0.35">
      <c r="G9742" s="1"/>
      <c r="N9742" s="1"/>
    </row>
    <row r="9743" spans="7:14" x14ac:dyDescent="0.35">
      <c r="G9743" s="1"/>
      <c r="N9743" s="1"/>
    </row>
    <row r="9744" spans="7:14" x14ac:dyDescent="0.35">
      <c r="G9744" s="1"/>
      <c r="N9744" s="1"/>
    </row>
    <row r="9745" spans="7:14" x14ac:dyDescent="0.35">
      <c r="G9745" s="1"/>
      <c r="N9745" s="1"/>
    </row>
    <row r="9746" spans="7:14" x14ac:dyDescent="0.35">
      <c r="G9746" s="1"/>
      <c r="N9746" s="1"/>
    </row>
    <row r="9747" spans="7:14" x14ac:dyDescent="0.35">
      <c r="G9747" s="1"/>
      <c r="N9747" s="1"/>
    </row>
    <row r="9748" spans="7:14" x14ac:dyDescent="0.35">
      <c r="G9748" s="1"/>
      <c r="N9748" s="1"/>
    </row>
    <row r="9749" spans="7:14" x14ac:dyDescent="0.35">
      <c r="G9749" s="1"/>
      <c r="N9749" s="1"/>
    </row>
    <row r="9750" spans="7:14" x14ac:dyDescent="0.35">
      <c r="G9750" s="1"/>
      <c r="N9750" s="1"/>
    </row>
    <row r="9751" spans="7:14" x14ac:dyDescent="0.35">
      <c r="G9751" s="1"/>
      <c r="N9751" s="1"/>
    </row>
    <row r="9752" spans="7:14" x14ac:dyDescent="0.35">
      <c r="G9752" s="1"/>
      <c r="N9752" s="1"/>
    </row>
    <row r="9753" spans="7:14" x14ac:dyDescent="0.35">
      <c r="G9753" s="1"/>
      <c r="N9753" s="1"/>
    </row>
    <row r="9754" spans="7:14" x14ac:dyDescent="0.35">
      <c r="G9754" s="1"/>
      <c r="N9754" s="1"/>
    </row>
    <row r="9755" spans="7:14" x14ac:dyDescent="0.35">
      <c r="G9755" s="1"/>
      <c r="N9755" s="1"/>
    </row>
    <row r="9756" spans="7:14" x14ac:dyDescent="0.35">
      <c r="G9756" s="1"/>
      <c r="N9756" s="1"/>
    </row>
    <row r="9757" spans="7:14" x14ac:dyDescent="0.35">
      <c r="G9757" s="1"/>
      <c r="N9757" s="1"/>
    </row>
    <row r="9758" spans="7:14" x14ac:dyDescent="0.35">
      <c r="G9758" s="1"/>
      <c r="N9758" s="1"/>
    </row>
    <row r="9759" spans="7:14" x14ac:dyDescent="0.35">
      <c r="G9759" s="1"/>
      <c r="N9759" s="1"/>
    </row>
    <row r="9760" spans="7:14" x14ac:dyDescent="0.35">
      <c r="G9760" s="1"/>
      <c r="N9760" s="1"/>
    </row>
    <row r="9761" spans="7:14" x14ac:dyDescent="0.35">
      <c r="G9761" s="1"/>
      <c r="N9761" s="1"/>
    </row>
    <row r="9762" spans="7:14" x14ac:dyDescent="0.35">
      <c r="G9762" s="1"/>
      <c r="N9762" s="1"/>
    </row>
    <row r="9763" spans="7:14" x14ac:dyDescent="0.35">
      <c r="G9763" s="1"/>
      <c r="N9763" s="1"/>
    </row>
    <row r="9764" spans="7:14" x14ac:dyDescent="0.35">
      <c r="G9764" s="1"/>
      <c r="N9764" s="1"/>
    </row>
    <row r="9765" spans="7:14" x14ac:dyDescent="0.35">
      <c r="G9765" s="1"/>
      <c r="N9765" s="1"/>
    </row>
    <row r="9766" spans="7:14" x14ac:dyDescent="0.35">
      <c r="G9766" s="1"/>
      <c r="N9766" s="1"/>
    </row>
    <row r="9767" spans="7:14" x14ac:dyDescent="0.35">
      <c r="G9767" s="1"/>
      <c r="N9767" s="1"/>
    </row>
    <row r="9768" spans="7:14" x14ac:dyDescent="0.35">
      <c r="G9768" s="1"/>
      <c r="N9768" s="1"/>
    </row>
    <row r="9769" spans="7:14" x14ac:dyDescent="0.35">
      <c r="G9769" s="1"/>
      <c r="N9769" s="1"/>
    </row>
    <row r="9770" spans="7:14" x14ac:dyDescent="0.35">
      <c r="G9770" s="1"/>
      <c r="N9770" s="1"/>
    </row>
    <row r="9771" spans="7:14" x14ac:dyDescent="0.35">
      <c r="G9771" s="1"/>
      <c r="N9771" s="1"/>
    </row>
    <row r="9772" spans="7:14" x14ac:dyDescent="0.35">
      <c r="G9772" s="1"/>
      <c r="N9772" s="1"/>
    </row>
    <row r="9773" spans="7:14" x14ac:dyDescent="0.35">
      <c r="G9773" s="1"/>
      <c r="N9773" s="1"/>
    </row>
    <row r="9774" spans="7:14" x14ac:dyDescent="0.35">
      <c r="G9774" s="1"/>
      <c r="N9774" s="1"/>
    </row>
    <row r="9775" spans="7:14" x14ac:dyDescent="0.35">
      <c r="G9775" s="1"/>
      <c r="N9775" s="1"/>
    </row>
    <row r="9776" spans="7:14" x14ac:dyDescent="0.35">
      <c r="G9776" s="1"/>
      <c r="N9776" s="1"/>
    </row>
    <row r="9777" spans="7:14" x14ac:dyDescent="0.35">
      <c r="G9777" s="1"/>
      <c r="N9777" s="1"/>
    </row>
    <row r="9778" spans="7:14" x14ac:dyDescent="0.35">
      <c r="G9778" s="1"/>
      <c r="N9778" s="1"/>
    </row>
    <row r="9779" spans="7:14" x14ac:dyDescent="0.35">
      <c r="G9779" s="1"/>
      <c r="N9779" s="1"/>
    </row>
    <row r="9780" spans="7:14" x14ac:dyDescent="0.35">
      <c r="G9780" s="1"/>
      <c r="N9780" s="1"/>
    </row>
    <row r="9781" spans="7:14" x14ac:dyDescent="0.35">
      <c r="G9781" s="1"/>
      <c r="N9781" s="1"/>
    </row>
    <row r="9782" spans="7:14" x14ac:dyDescent="0.35">
      <c r="G9782" s="1"/>
      <c r="N9782" s="1"/>
    </row>
    <row r="9783" spans="7:14" x14ac:dyDescent="0.35">
      <c r="G9783" s="1"/>
      <c r="N9783" s="1"/>
    </row>
    <row r="9784" spans="7:14" x14ac:dyDescent="0.35">
      <c r="G9784" s="1"/>
      <c r="N9784" s="1"/>
    </row>
    <row r="9785" spans="7:14" x14ac:dyDescent="0.35">
      <c r="G9785" s="1"/>
      <c r="N9785" s="1"/>
    </row>
    <row r="9786" spans="7:14" x14ac:dyDescent="0.35">
      <c r="G9786" s="1"/>
      <c r="N9786" s="1"/>
    </row>
    <row r="9787" spans="7:14" x14ac:dyDescent="0.35">
      <c r="G9787" s="1"/>
      <c r="N9787" s="1"/>
    </row>
    <row r="9788" spans="7:14" x14ac:dyDescent="0.35">
      <c r="G9788" s="1"/>
      <c r="N9788" s="1"/>
    </row>
    <row r="9789" spans="7:14" x14ac:dyDescent="0.35">
      <c r="G9789" s="1"/>
      <c r="N9789" s="1"/>
    </row>
    <row r="9790" spans="7:14" x14ac:dyDescent="0.35">
      <c r="G9790" s="1"/>
      <c r="N9790" s="1"/>
    </row>
    <row r="9791" spans="7:14" x14ac:dyDescent="0.35">
      <c r="G9791" s="1"/>
      <c r="N9791" s="1"/>
    </row>
    <row r="9792" spans="7:14" x14ac:dyDescent="0.35">
      <c r="G9792" s="1"/>
      <c r="N9792" s="1"/>
    </row>
    <row r="9793" spans="7:14" x14ac:dyDescent="0.35">
      <c r="G9793" s="1"/>
      <c r="N9793" s="1"/>
    </row>
    <row r="9794" spans="7:14" x14ac:dyDescent="0.35">
      <c r="G9794" s="1"/>
      <c r="N9794" s="1"/>
    </row>
    <row r="9795" spans="7:14" x14ac:dyDescent="0.35">
      <c r="G9795" s="1"/>
      <c r="N9795" s="1"/>
    </row>
    <row r="9796" spans="7:14" x14ac:dyDescent="0.35">
      <c r="G9796" s="1"/>
      <c r="N9796" s="1"/>
    </row>
    <row r="9797" spans="7:14" x14ac:dyDescent="0.35">
      <c r="G9797" s="1"/>
      <c r="N9797" s="1"/>
    </row>
    <row r="9798" spans="7:14" x14ac:dyDescent="0.35">
      <c r="G9798" s="1"/>
      <c r="N9798" s="1"/>
    </row>
    <row r="9799" spans="7:14" x14ac:dyDescent="0.35">
      <c r="G9799" s="1"/>
      <c r="N9799" s="1"/>
    </row>
    <row r="9800" spans="7:14" x14ac:dyDescent="0.35">
      <c r="G9800" s="1"/>
      <c r="N9800" s="1"/>
    </row>
    <row r="9801" spans="7:14" x14ac:dyDescent="0.35">
      <c r="G9801" s="1"/>
      <c r="N9801" s="1"/>
    </row>
    <row r="9802" spans="7:14" x14ac:dyDescent="0.35">
      <c r="G9802" s="1"/>
      <c r="N9802" s="1"/>
    </row>
    <row r="9803" spans="7:14" x14ac:dyDescent="0.35">
      <c r="G9803" s="1"/>
      <c r="N9803" s="1"/>
    </row>
    <row r="9804" spans="7:14" x14ac:dyDescent="0.35">
      <c r="G9804" s="1"/>
      <c r="N9804" s="1"/>
    </row>
    <row r="9805" spans="7:14" x14ac:dyDescent="0.35">
      <c r="G9805" s="1"/>
      <c r="N9805" s="1"/>
    </row>
    <row r="9806" spans="7:14" x14ac:dyDescent="0.35">
      <c r="G9806" s="1"/>
      <c r="N9806" s="1"/>
    </row>
    <row r="9807" spans="7:14" x14ac:dyDescent="0.35">
      <c r="G9807" s="1"/>
      <c r="N9807" s="1"/>
    </row>
    <row r="9808" spans="7:14" x14ac:dyDescent="0.35">
      <c r="G9808" s="1"/>
      <c r="N9808" s="1"/>
    </row>
    <row r="9809" spans="7:14" x14ac:dyDescent="0.35">
      <c r="G9809" s="1"/>
      <c r="N9809" s="1"/>
    </row>
    <row r="9810" spans="7:14" x14ac:dyDescent="0.35">
      <c r="G9810" s="1"/>
      <c r="N9810" s="1"/>
    </row>
    <row r="9811" spans="7:14" x14ac:dyDescent="0.35">
      <c r="G9811" s="1"/>
      <c r="N9811" s="1"/>
    </row>
    <row r="9812" spans="7:14" x14ac:dyDescent="0.35">
      <c r="G9812" s="1"/>
      <c r="N9812" s="1"/>
    </row>
    <row r="9813" spans="7:14" x14ac:dyDescent="0.35">
      <c r="G9813" s="1"/>
      <c r="N9813" s="1"/>
    </row>
    <row r="9814" spans="7:14" x14ac:dyDescent="0.35">
      <c r="G9814" s="1"/>
      <c r="N9814" s="1"/>
    </row>
    <row r="9815" spans="7:14" x14ac:dyDescent="0.35">
      <c r="G9815" s="1"/>
      <c r="N9815" s="1"/>
    </row>
    <row r="9816" spans="7:14" x14ac:dyDescent="0.35">
      <c r="G9816" s="1"/>
      <c r="N9816" s="1"/>
    </row>
    <row r="9817" spans="7:14" x14ac:dyDescent="0.35">
      <c r="G9817" s="1"/>
      <c r="N9817" s="1"/>
    </row>
    <row r="9818" spans="7:14" x14ac:dyDescent="0.35">
      <c r="G9818" s="1"/>
      <c r="N9818" s="1"/>
    </row>
    <row r="9819" spans="7:14" x14ac:dyDescent="0.35">
      <c r="G9819" s="1"/>
      <c r="N9819" s="1"/>
    </row>
    <row r="9820" spans="7:14" x14ac:dyDescent="0.35">
      <c r="G9820" s="1"/>
      <c r="N9820" s="1"/>
    </row>
    <row r="9821" spans="7:14" x14ac:dyDescent="0.35">
      <c r="G9821" s="1"/>
      <c r="N9821" s="1"/>
    </row>
    <row r="9822" spans="7:14" x14ac:dyDescent="0.35">
      <c r="G9822" s="1"/>
      <c r="N9822" s="1"/>
    </row>
    <row r="9823" spans="7:14" x14ac:dyDescent="0.35">
      <c r="G9823" s="1"/>
      <c r="N9823" s="1"/>
    </row>
    <row r="9824" spans="7:14" x14ac:dyDescent="0.35">
      <c r="G9824" s="1"/>
      <c r="N9824" s="1"/>
    </row>
    <row r="9825" spans="7:14" x14ac:dyDescent="0.35">
      <c r="G9825" s="1"/>
      <c r="N9825" s="1"/>
    </row>
    <row r="9826" spans="7:14" x14ac:dyDescent="0.35">
      <c r="G9826" s="1"/>
      <c r="N9826" s="1"/>
    </row>
    <row r="9827" spans="7:14" x14ac:dyDescent="0.35">
      <c r="G9827" s="1"/>
      <c r="N9827" s="1"/>
    </row>
    <row r="9828" spans="7:14" x14ac:dyDescent="0.35">
      <c r="G9828" s="1"/>
      <c r="N9828" s="1"/>
    </row>
    <row r="9829" spans="7:14" x14ac:dyDescent="0.35">
      <c r="G9829" s="1"/>
      <c r="N9829" s="1"/>
    </row>
    <row r="9830" spans="7:14" x14ac:dyDescent="0.35">
      <c r="G9830" s="1"/>
      <c r="N9830" s="1"/>
    </row>
    <row r="9831" spans="7:14" x14ac:dyDescent="0.35">
      <c r="G9831" s="1"/>
      <c r="N9831" s="1"/>
    </row>
    <row r="9832" spans="7:14" x14ac:dyDescent="0.35">
      <c r="G9832" s="1"/>
      <c r="N9832" s="1"/>
    </row>
    <row r="9833" spans="7:14" x14ac:dyDescent="0.35">
      <c r="G9833" s="1"/>
      <c r="N9833" s="1"/>
    </row>
    <row r="9834" spans="7:14" x14ac:dyDescent="0.35">
      <c r="G9834" s="1"/>
      <c r="N9834" s="1"/>
    </row>
    <row r="9835" spans="7:14" x14ac:dyDescent="0.35">
      <c r="G9835" s="1"/>
      <c r="N9835" s="1"/>
    </row>
    <row r="9836" spans="7:14" x14ac:dyDescent="0.35">
      <c r="G9836" s="1"/>
      <c r="N9836" s="1"/>
    </row>
    <row r="9837" spans="7:14" x14ac:dyDescent="0.35">
      <c r="G9837" s="1"/>
      <c r="N9837" s="1"/>
    </row>
    <row r="9838" spans="7:14" x14ac:dyDescent="0.35">
      <c r="G9838" s="1"/>
      <c r="N9838" s="1"/>
    </row>
    <row r="9839" spans="7:14" x14ac:dyDescent="0.35">
      <c r="G9839" s="1"/>
      <c r="N9839" s="1"/>
    </row>
    <row r="9840" spans="7:14" x14ac:dyDescent="0.35">
      <c r="G9840" s="1"/>
      <c r="N9840" s="1"/>
    </row>
    <row r="9841" spans="7:14" x14ac:dyDescent="0.35">
      <c r="G9841" s="1"/>
      <c r="N9841" s="1"/>
    </row>
    <row r="9842" spans="7:14" x14ac:dyDescent="0.35">
      <c r="G9842" s="1"/>
      <c r="N9842" s="1"/>
    </row>
    <row r="9843" spans="7:14" x14ac:dyDescent="0.35">
      <c r="G9843" s="1"/>
      <c r="N9843" s="1"/>
    </row>
    <row r="9844" spans="7:14" x14ac:dyDescent="0.35">
      <c r="G9844" s="1"/>
      <c r="N9844" s="1"/>
    </row>
    <row r="9845" spans="7:14" x14ac:dyDescent="0.35">
      <c r="G9845" s="1"/>
      <c r="N9845" s="1"/>
    </row>
    <row r="9846" spans="7:14" x14ac:dyDescent="0.35">
      <c r="G9846" s="1"/>
      <c r="N9846" s="1"/>
    </row>
    <row r="9847" spans="7:14" x14ac:dyDescent="0.35">
      <c r="G9847" s="1"/>
      <c r="N9847" s="1"/>
    </row>
    <row r="9848" spans="7:14" x14ac:dyDescent="0.35">
      <c r="G9848" s="1"/>
      <c r="N9848" s="1"/>
    </row>
    <row r="9849" spans="7:14" x14ac:dyDescent="0.35">
      <c r="G9849" s="1"/>
      <c r="N9849" s="1"/>
    </row>
    <row r="9850" spans="7:14" x14ac:dyDescent="0.35">
      <c r="G9850" s="1"/>
      <c r="N9850" s="1"/>
    </row>
    <row r="9851" spans="7:14" x14ac:dyDescent="0.35">
      <c r="G9851" s="1"/>
      <c r="N9851" s="1"/>
    </row>
    <row r="9852" spans="7:14" x14ac:dyDescent="0.35">
      <c r="G9852" s="1"/>
      <c r="N9852" s="1"/>
    </row>
    <row r="9853" spans="7:14" x14ac:dyDescent="0.35">
      <c r="G9853" s="1"/>
      <c r="N9853" s="1"/>
    </row>
    <row r="9854" spans="7:14" x14ac:dyDescent="0.35">
      <c r="G9854" s="1"/>
      <c r="N9854" s="1"/>
    </row>
    <row r="9855" spans="7:14" x14ac:dyDescent="0.35">
      <c r="G9855" s="1"/>
      <c r="N9855" s="1"/>
    </row>
    <row r="9856" spans="7:14" x14ac:dyDescent="0.35">
      <c r="G9856" s="1"/>
      <c r="N9856" s="1"/>
    </row>
    <row r="9857" spans="7:14" x14ac:dyDescent="0.35">
      <c r="G9857" s="1"/>
      <c r="N9857" s="1"/>
    </row>
    <row r="9858" spans="7:14" x14ac:dyDescent="0.35">
      <c r="G9858" s="1"/>
      <c r="N9858" s="1"/>
    </row>
    <row r="9859" spans="7:14" x14ac:dyDescent="0.35">
      <c r="G9859" s="1"/>
      <c r="N9859" s="1"/>
    </row>
    <row r="9860" spans="7:14" x14ac:dyDescent="0.35">
      <c r="G9860" s="1"/>
      <c r="N9860" s="1"/>
    </row>
    <row r="9861" spans="7:14" x14ac:dyDescent="0.35">
      <c r="G9861" s="1"/>
      <c r="N9861" s="1"/>
    </row>
    <row r="9862" spans="7:14" x14ac:dyDescent="0.35">
      <c r="G9862" s="1"/>
      <c r="N9862" s="1"/>
    </row>
    <row r="9863" spans="7:14" x14ac:dyDescent="0.35">
      <c r="G9863" s="1"/>
      <c r="N9863" s="1"/>
    </row>
    <row r="9864" spans="7:14" x14ac:dyDescent="0.35">
      <c r="G9864" s="1"/>
      <c r="N9864" s="1"/>
    </row>
    <row r="9865" spans="7:14" x14ac:dyDescent="0.35">
      <c r="G9865" s="1"/>
      <c r="N9865" s="1"/>
    </row>
    <row r="9866" spans="7:14" x14ac:dyDescent="0.35">
      <c r="G9866" s="1"/>
      <c r="N9866" s="1"/>
    </row>
    <row r="9867" spans="7:14" x14ac:dyDescent="0.35">
      <c r="G9867" s="1"/>
      <c r="N9867" s="1"/>
    </row>
    <row r="9868" spans="7:14" x14ac:dyDescent="0.35">
      <c r="G9868" s="1"/>
      <c r="N9868" s="1"/>
    </row>
    <row r="9869" spans="7:14" x14ac:dyDescent="0.35">
      <c r="G9869" s="1"/>
      <c r="N9869" s="1"/>
    </row>
    <row r="9870" spans="7:14" x14ac:dyDescent="0.35">
      <c r="G9870" s="1"/>
      <c r="N9870" s="1"/>
    </row>
    <row r="9871" spans="7:14" x14ac:dyDescent="0.35">
      <c r="G9871" s="1"/>
      <c r="N9871" s="1"/>
    </row>
    <row r="9872" spans="7:14" x14ac:dyDescent="0.35">
      <c r="G9872" s="1"/>
      <c r="N9872" s="1"/>
    </row>
    <row r="9873" spans="7:14" x14ac:dyDescent="0.35">
      <c r="G9873" s="1"/>
      <c r="N9873" s="1"/>
    </row>
    <row r="9874" spans="7:14" x14ac:dyDescent="0.35">
      <c r="G9874" s="1"/>
      <c r="N9874" s="1"/>
    </row>
    <row r="9875" spans="7:14" x14ac:dyDescent="0.35">
      <c r="G9875" s="1"/>
      <c r="N9875" s="1"/>
    </row>
    <row r="9876" spans="7:14" x14ac:dyDescent="0.35">
      <c r="G9876" s="1"/>
      <c r="N9876" s="1"/>
    </row>
    <row r="9877" spans="7:14" x14ac:dyDescent="0.35">
      <c r="G9877" s="1"/>
      <c r="N9877" s="1"/>
    </row>
    <row r="9878" spans="7:14" x14ac:dyDescent="0.35">
      <c r="G9878" s="1"/>
      <c r="N9878" s="1"/>
    </row>
    <row r="9879" spans="7:14" x14ac:dyDescent="0.35">
      <c r="G9879" s="1"/>
      <c r="N9879" s="1"/>
    </row>
    <row r="9880" spans="7:14" x14ac:dyDescent="0.35">
      <c r="G9880" s="1"/>
      <c r="N9880" s="1"/>
    </row>
    <row r="9881" spans="7:14" x14ac:dyDescent="0.35">
      <c r="G9881" s="1"/>
      <c r="N9881" s="1"/>
    </row>
    <row r="9882" spans="7:14" x14ac:dyDescent="0.35">
      <c r="G9882" s="1"/>
      <c r="N9882" s="1"/>
    </row>
    <row r="9883" spans="7:14" x14ac:dyDescent="0.35">
      <c r="G9883" s="1"/>
      <c r="N9883" s="1"/>
    </row>
    <row r="9884" spans="7:14" x14ac:dyDescent="0.35">
      <c r="G9884" s="1"/>
      <c r="N9884" s="1"/>
    </row>
    <row r="9885" spans="7:14" x14ac:dyDescent="0.35">
      <c r="G9885" s="1"/>
      <c r="N9885" s="1"/>
    </row>
    <row r="9886" spans="7:14" x14ac:dyDescent="0.35">
      <c r="G9886" s="1"/>
      <c r="N9886" s="1"/>
    </row>
    <row r="9887" spans="7:14" x14ac:dyDescent="0.35">
      <c r="G9887" s="1"/>
      <c r="N9887" s="1"/>
    </row>
    <row r="9888" spans="7:14" x14ac:dyDescent="0.35">
      <c r="G9888" s="1"/>
      <c r="N9888" s="1"/>
    </row>
    <row r="9889" spans="7:14" x14ac:dyDescent="0.35">
      <c r="G9889" s="1"/>
      <c r="N9889" s="1"/>
    </row>
    <row r="9890" spans="7:14" x14ac:dyDescent="0.35">
      <c r="G9890" s="1"/>
      <c r="N9890" s="1"/>
    </row>
    <row r="9891" spans="7:14" x14ac:dyDescent="0.35">
      <c r="G9891" s="1"/>
      <c r="N9891" s="1"/>
    </row>
    <row r="9892" spans="7:14" x14ac:dyDescent="0.35">
      <c r="G9892" s="1"/>
      <c r="N9892" s="1"/>
    </row>
    <row r="9893" spans="7:14" x14ac:dyDescent="0.35">
      <c r="G9893" s="1"/>
      <c r="N9893" s="1"/>
    </row>
    <row r="9894" spans="7:14" x14ac:dyDescent="0.35">
      <c r="G9894" s="1"/>
      <c r="N9894" s="1"/>
    </row>
    <row r="9895" spans="7:14" x14ac:dyDescent="0.35">
      <c r="G9895" s="1"/>
      <c r="N9895" s="1"/>
    </row>
    <row r="9896" spans="7:14" x14ac:dyDescent="0.35">
      <c r="G9896" s="1"/>
      <c r="N9896" s="1"/>
    </row>
    <row r="9897" spans="7:14" x14ac:dyDescent="0.35">
      <c r="G9897" s="1"/>
      <c r="N9897" s="1"/>
    </row>
    <row r="9898" spans="7:14" x14ac:dyDescent="0.35">
      <c r="G9898" s="1"/>
      <c r="N9898" s="1"/>
    </row>
    <row r="9899" spans="7:14" x14ac:dyDescent="0.35">
      <c r="G9899" s="1"/>
      <c r="N9899" s="1"/>
    </row>
    <row r="9900" spans="7:14" x14ac:dyDescent="0.35">
      <c r="G9900" s="1"/>
      <c r="N9900" s="1"/>
    </row>
    <row r="9901" spans="7:14" x14ac:dyDescent="0.35">
      <c r="G9901" s="1"/>
      <c r="N9901" s="1"/>
    </row>
    <row r="9902" spans="7:14" x14ac:dyDescent="0.35">
      <c r="G9902" s="1"/>
      <c r="N9902" s="1"/>
    </row>
    <row r="9903" spans="7:14" x14ac:dyDescent="0.35">
      <c r="G9903" s="1"/>
      <c r="N9903" s="1"/>
    </row>
    <row r="9904" spans="7:14" x14ac:dyDescent="0.35">
      <c r="G9904" s="1"/>
      <c r="N9904" s="1"/>
    </row>
    <row r="9905" spans="7:14" x14ac:dyDescent="0.35">
      <c r="G9905" s="1"/>
      <c r="N9905" s="1"/>
    </row>
    <row r="9906" spans="7:14" x14ac:dyDescent="0.35">
      <c r="G9906" s="1"/>
      <c r="N9906" s="1"/>
    </row>
    <row r="9907" spans="7:14" x14ac:dyDescent="0.35">
      <c r="G9907" s="1"/>
      <c r="N9907" s="1"/>
    </row>
    <row r="9908" spans="7:14" x14ac:dyDescent="0.35">
      <c r="G9908" s="1"/>
      <c r="N9908" s="1"/>
    </row>
    <row r="9909" spans="7:14" x14ac:dyDescent="0.35">
      <c r="G9909" s="1"/>
      <c r="N9909" s="1"/>
    </row>
    <row r="9910" spans="7:14" x14ac:dyDescent="0.35">
      <c r="G9910" s="1"/>
      <c r="N9910" s="1"/>
    </row>
    <row r="9911" spans="7:14" x14ac:dyDescent="0.35">
      <c r="G9911" s="1"/>
      <c r="N9911" s="1"/>
    </row>
    <row r="9912" spans="7:14" x14ac:dyDescent="0.35">
      <c r="G9912" s="1"/>
      <c r="N9912" s="1"/>
    </row>
    <row r="9913" spans="7:14" x14ac:dyDescent="0.35">
      <c r="G9913" s="1"/>
      <c r="N9913" s="1"/>
    </row>
    <row r="9914" spans="7:14" x14ac:dyDescent="0.35">
      <c r="G9914" s="1"/>
      <c r="N9914" s="1"/>
    </row>
    <row r="9915" spans="7:14" x14ac:dyDescent="0.35">
      <c r="G9915" s="1"/>
      <c r="N9915" s="1"/>
    </row>
    <row r="9916" spans="7:14" x14ac:dyDescent="0.35">
      <c r="G9916" s="1"/>
      <c r="N9916" s="1"/>
    </row>
    <row r="9917" spans="7:14" x14ac:dyDescent="0.35">
      <c r="G9917" s="1"/>
      <c r="N9917" s="1"/>
    </row>
    <row r="9918" spans="7:14" x14ac:dyDescent="0.35">
      <c r="G9918" s="1"/>
      <c r="N9918" s="1"/>
    </row>
    <row r="9919" spans="7:14" x14ac:dyDescent="0.35">
      <c r="G9919" s="1"/>
      <c r="N9919" s="1"/>
    </row>
    <row r="9920" spans="7:14" x14ac:dyDescent="0.35">
      <c r="G9920" s="1"/>
      <c r="N9920" s="1"/>
    </row>
    <row r="9921" spans="7:14" x14ac:dyDescent="0.35">
      <c r="G9921" s="1"/>
      <c r="N9921" s="1"/>
    </row>
    <row r="9922" spans="7:14" x14ac:dyDescent="0.35">
      <c r="G9922" s="1"/>
      <c r="N9922" s="1"/>
    </row>
    <row r="9923" spans="7:14" x14ac:dyDescent="0.35">
      <c r="G9923" s="1"/>
      <c r="N9923" s="1"/>
    </row>
    <row r="9924" spans="7:14" x14ac:dyDescent="0.35">
      <c r="G9924" s="1"/>
      <c r="N9924" s="1"/>
    </row>
    <row r="9925" spans="7:14" x14ac:dyDescent="0.35">
      <c r="G9925" s="1"/>
      <c r="N9925" s="1"/>
    </row>
    <row r="9926" spans="7:14" x14ac:dyDescent="0.35">
      <c r="G9926" s="1"/>
      <c r="N9926" s="1"/>
    </row>
    <row r="9927" spans="7:14" x14ac:dyDescent="0.35">
      <c r="G9927" s="1"/>
      <c r="N9927" s="1"/>
    </row>
    <row r="9928" spans="7:14" x14ac:dyDescent="0.35">
      <c r="G9928" s="1"/>
      <c r="N9928" s="1"/>
    </row>
    <row r="9929" spans="7:14" x14ac:dyDescent="0.35">
      <c r="G9929" s="1"/>
      <c r="N9929" s="1"/>
    </row>
    <row r="9930" spans="7:14" x14ac:dyDescent="0.35">
      <c r="G9930" s="1"/>
      <c r="N9930" s="1"/>
    </row>
    <row r="9931" spans="7:14" x14ac:dyDescent="0.35">
      <c r="G9931" s="1"/>
      <c r="N9931" s="1"/>
    </row>
    <row r="9932" spans="7:14" x14ac:dyDescent="0.35">
      <c r="G9932" s="1"/>
      <c r="N9932" s="1"/>
    </row>
    <row r="9933" spans="7:14" x14ac:dyDescent="0.35">
      <c r="G9933" s="1"/>
      <c r="N9933" s="1"/>
    </row>
    <row r="9934" spans="7:14" x14ac:dyDescent="0.35">
      <c r="G9934" s="1"/>
      <c r="N9934" s="1"/>
    </row>
    <row r="9935" spans="7:14" x14ac:dyDescent="0.35">
      <c r="G9935" s="1"/>
      <c r="N9935" s="1"/>
    </row>
    <row r="9936" spans="7:14" x14ac:dyDescent="0.35">
      <c r="G9936" s="1"/>
      <c r="N9936" s="1"/>
    </row>
    <row r="9937" spans="7:14" x14ac:dyDescent="0.35">
      <c r="G9937" s="1"/>
      <c r="N9937" s="1"/>
    </row>
    <row r="9938" spans="7:14" x14ac:dyDescent="0.35">
      <c r="G9938" s="1"/>
      <c r="N9938" s="1"/>
    </row>
    <row r="9939" spans="7:14" x14ac:dyDescent="0.35">
      <c r="G9939" s="1"/>
      <c r="N9939" s="1"/>
    </row>
    <row r="9940" spans="7:14" x14ac:dyDescent="0.35">
      <c r="G9940" s="1"/>
      <c r="N9940" s="1"/>
    </row>
    <row r="9941" spans="7:14" x14ac:dyDescent="0.35">
      <c r="G9941" s="1"/>
      <c r="N9941" s="1"/>
    </row>
    <row r="9942" spans="7:14" x14ac:dyDescent="0.35">
      <c r="G9942" s="1"/>
      <c r="N9942" s="1"/>
    </row>
    <row r="9943" spans="7:14" x14ac:dyDescent="0.35">
      <c r="G9943" s="1"/>
      <c r="N9943" s="1"/>
    </row>
    <row r="9944" spans="7:14" x14ac:dyDescent="0.35">
      <c r="G9944" s="1"/>
      <c r="N9944" s="1"/>
    </row>
    <row r="9945" spans="7:14" x14ac:dyDescent="0.35">
      <c r="G9945" s="1"/>
      <c r="N9945" s="1"/>
    </row>
    <row r="9946" spans="7:14" x14ac:dyDescent="0.35">
      <c r="G9946" s="1"/>
      <c r="N9946" s="1"/>
    </row>
    <row r="9947" spans="7:14" x14ac:dyDescent="0.35">
      <c r="G9947" s="1"/>
      <c r="N9947" s="1"/>
    </row>
    <row r="9948" spans="7:14" x14ac:dyDescent="0.35">
      <c r="G9948" s="1"/>
      <c r="N9948" s="1"/>
    </row>
    <row r="9949" spans="7:14" x14ac:dyDescent="0.35">
      <c r="G9949" s="1"/>
      <c r="N9949" s="1"/>
    </row>
    <row r="9950" spans="7:14" x14ac:dyDescent="0.35">
      <c r="G9950" s="1"/>
      <c r="N9950" s="1"/>
    </row>
    <row r="9951" spans="7:14" x14ac:dyDescent="0.35">
      <c r="G9951" s="1"/>
      <c r="N9951" s="1"/>
    </row>
    <row r="9952" spans="7:14" x14ac:dyDescent="0.35">
      <c r="G9952" s="1"/>
      <c r="N9952" s="1"/>
    </row>
    <row r="9953" spans="7:14" x14ac:dyDescent="0.35">
      <c r="G9953" s="1"/>
      <c r="N9953" s="1"/>
    </row>
    <row r="9954" spans="7:14" x14ac:dyDescent="0.35">
      <c r="G9954" s="1"/>
      <c r="N9954" s="1"/>
    </row>
    <row r="9955" spans="7:14" x14ac:dyDescent="0.35">
      <c r="G9955" s="1"/>
      <c r="N9955" s="1"/>
    </row>
    <row r="9956" spans="7:14" x14ac:dyDescent="0.35">
      <c r="G9956" s="1"/>
      <c r="N9956" s="1"/>
    </row>
    <row r="9957" spans="7:14" x14ac:dyDescent="0.35">
      <c r="G9957" s="1"/>
      <c r="N9957" s="1"/>
    </row>
    <row r="9958" spans="7:14" x14ac:dyDescent="0.35">
      <c r="G9958" s="1"/>
      <c r="N9958" s="1"/>
    </row>
    <row r="9959" spans="7:14" x14ac:dyDescent="0.35">
      <c r="G9959" s="1"/>
      <c r="N9959" s="1"/>
    </row>
    <row r="9960" spans="7:14" x14ac:dyDescent="0.35">
      <c r="G9960" s="1"/>
      <c r="N9960" s="1"/>
    </row>
    <row r="9961" spans="7:14" x14ac:dyDescent="0.35">
      <c r="G9961" s="1"/>
      <c r="N9961" s="1"/>
    </row>
    <row r="9962" spans="7:14" x14ac:dyDescent="0.35">
      <c r="G9962" s="1"/>
      <c r="N9962" s="1"/>
    </row>
    <row r="9963" spans="7:14" x14ac:dyDescent="0.35">
      <c r="G9963" s="1"/>
      <c r="N9963" s="1"/>
    </row>
    <row r="9964" spans="7:14" x14ac:dyDescent="0.35">
      <c r="G9964" s="1"/>
      <c r="N9964" s="1"/>
    </row>
    <row r="9965" spans="7:14" x14ac:dyDescent="0.35">
      <c r="G9965" s="1"/>
      <c r="N9965" s="1"/>
    </row>
    <row r="9966" spans="7:14" x14ac:dyDescent="0.35">
      <c r="G9966" s="1"/>
      <c r="N9966" s="1"/>
    </row>
    <row r="9967" spans="7:14" x14ac:dyDescent="0.35">
      <c r="G9967" s="1"/>
      <c r="N9967" s="1"/>
    </row>
    <row r="9968" spans="7:14" x14ac:dyDescent="0.35">
      <c r="G9968" s="1"/>
      <c r="N9968" s="1"/>
    </row>
    <row r="9969" spans="7:14" x14ac:dyDescent="0.35">
      <c r="G9969" s="1"/>
      <c r="N9969" s="1"/>
    </row>
    <row r="9970" spans="7:14" x14ac:dyDescent="0.35">
      <c r="G9970" s="1"/>
      <c r="N9970" s="1"/>
    </row>
    <row r="9971" spans="7:14" x14ac:dyDescent="0.35">
      <c r="G9971" s="1"/>
      <c r="N9971" s="1"/>
    </row>
    <row r="9972" spans="7:14" x14ac:dyDescent="0.35">
      <c r="G9972" s="1"/>
      <c r="N9972" s="1"/>
    </row>
    <row r="9973" spans="7:14" x14ac:dyDescent="0.35">
      <c r="G9973" s="1"/>
      <c r="N9973" s="1"/>
    </row>
    <row r="9974" spans="7:14" x14ac:dyDescent="0.35">
      <c r="G9974" s="1"/>
      <c r="N9974" s="1"/>
    </row>
    <row r="9975" spans="7:14" x14ac:dyDescent="0.35">
      <c r="G9975" s="1"/>
      <c r="N9975" s="1"/>
    </row>
    <row r="9976" spans="7:14" x14ac:dyDescent="0.35">
      <c r="G9976" s="1"/>
      <c r="N9976" s="1"/>
    </row>
    <row r="9977" spans="7:14" x14ac:dyDescent="0.35">
      <c r="G9977" s="1"/>
      <c r="N9977" s="1"/>
    </row>
    <row r="9978" spans="7:14" x14ac:dyDescent="0.35">
      <c r="G9978" s="1"/>
      <c r="N9978" s="1"/>
    </row>
    <row r="9979" spans="7:14" x14ac:dyDescent="0.35">
      <c r="G9979" s="1"/>
      <c r="N9979" s="1"/>
    </row>
    <row r="9980" spans="7:14" x14ac:dyDescent="0.35">
      <c r="G9980" s="1"/>
      <c r="N9980" s="1"/>
    </row>
    <row r="9981" spans="7:14" x14ac:dyDescent="0.35">
      <c r="G9981" s="1"/>
      <c r="N9981" s="1"/>
    </row>
    <row r="9982" spans="7:14" x14ac:dyDescent="0.35">
      <c r="G9982" s="1"/>
      <c r="N9982" s="1"/>
    </row>
    <row r="9983" spans="7:14" x14ac:dyDescent="0.35">
      <c r="G9983" s="1"/>
      <c r="N9983" s="1"/>
    </row>
    <row r="9984" spans="7:14" x14ac:dyDescent="0.35">
      <c r="G9984" s="1"/>
      <c r="N9984" s="1"/>
    </row>
    <row r="9985" spans="7:14" x14ac:dyDescent="0.35">
      <c r="G9985" s="1"/>
      <c r="N9985" s="1"/>
    </row>
    <row r="9986" spans="7:14" x14ac:dyDescent="0.35">
      <c r="G9986" s="1"/>
      <c r="N9986" s="1"/>
    </row>
    <row r="9987" spans="7:14" x14ac:dyDescent="0.35">
      <c r="G9987" s="1"/>
      <c r="N9987" s="1"/>
    </row>
    <row r="9988" spans="7:14" x14ac:dyDescent="0.35">
      <c r="G9988" s="1"/>
      <c r="N9988" s="1"/>
    </row>
    <row r="9989" spans="7:14" x14ac:dyDescent="0.35">
      <c r="G9989" s="1"/>
      <c r="N9989" s="1"/>
    </row>
    <row r="9990" spans="7:14" x14ac:dyDescent="0.35">
      <c r="G9990" s="1"/>
      <c r="N9990" s="1"/>
    </row>
    <row r="9991" spans="7:14" x14ac:dyDescent="0.35">
      <c r="G9991" s="1"/>
      <c r="N9991" s="1"/>
    </row>
    <row r="9992" spans="7:14" x14ac:dyDescent="0.35">
      <c r="G9992" s="1"/>
      <c r="N9992" s="1"/>
    </row>
    <row r="9993" spans="7:14" x14ac:dyDescent="0.35">
      <c r="G9993" s="1"/>
      <c r="N9993" s="1"/>
    </row>
    <row r="9994" spans="7:14" x14ac:dyDescent="0.35">
      <c r="G9994" s="1"/>
      <c r="N9994" s="1"/>
    </row>
    <row r="9995" spans="7:14" x14ac:dyDescent="0.35">
      <c r="G9995" s="1"/>
      <c r="N9995" s="1"/>
    </row>
    <row r="9996" spans="7:14" x14ac:dyDescent="0.35">
      <c r="G9996" s="1"/>
      <c r="N9996" s="1"/>
    </row>
    <row r="9997" spans="7:14" x14ac:dyDescent="0.35">
      <c r="G9997" s="1"/>
      <c r="N9997" s="1"/>
    </row>
    <row r="9998" spans="7:14" x14ac:dyDescent="0.35">
      <c r="G9998" s="1"/>
      <c r="N9998" s="1"/>
    </row>
    <row r="9999" spans="7:14" x14ac:dyDescent="0.35">
      <c r="G9999" s="1"/>
      <c r="N9999" s="1"/>
    </row>
    <row r="10000" spans="7:14" x14ac:dyDescent="0.35">
      <c r="G10000" s="1"/>
      <c r="N10000" s="1"/>
    </row>
    <row r="10001" spans="7:14" x14ac:dyDescent="0.35">
      <c r="G10001" s="1"/>
      <c r="N10001" s="1"/>
    </row>
  </sheetData>
  <mergeCells count="1">
    <mergeCell ref="T36:U37"/>
  </mergeCells>
  <conditionalFormatting sqref="S53">
    <cfRule type="iconSet" priority="1">
      <iconSet iconSet="3Arrows">
        <cfvo type="percent" val="0"/>
        <cfvo type="percent" val="33"/>
        <cfvo type="percent" val="67"/>
      </iconSet>
    </cfRule>
  </conditionalFormatting>
  <conditionalFormatting sqref="T38">
    <cfRule type="iconSet" priority="2">
      <iconSet iconSet="3Arrows">
        <cfvo type="percent" val="0"/>
        <cfvo type="percent" val="33"/>
        <cfvo type="percent" val="67"/>
      </iconSet>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31622-B0C7-4D2B-9E8D-4EAE902215D3}">
  <dimension ref="A1"/>
  <sheetViews>
    <sheetView showGridLines="0" tabSelected="1" zoomScaleNormal="100" workbookViewId="0">
      <selection activeCell="AD19" sqref="AD19"/>
    </sheetView>
  </sheetViews>
  <sheetFormatPr defaultColWidth="8.6328125" defaultRowHeight="14.5" x14ac:dyDescent="0.35"/>
  <cols>
    <col min="1" max="9" width="8.6328125" style="30"/>
    <col min="10" max="10" width="3.81640625" style="30" customWidth="1"/>
    <col min="11" max="11" width="5.6328125" style="30" customWidth="1"/>
    <col min="12" max="12" width="10.1796875" style="30" customWidth="1"/>
    <col min="13" max="16" width="8.6328125" style="30"/>
    <col min="17" max="17" width="10.6328125" style="30" customWidth="1"/>
    <col min="18" max="18" width="13.453125" style="30" customWidth="1"/>
    <col min="19" max="19" width="11.453125" style="30" bestFit="1" customWidth="1"/>
    <col min="20" max="20" width="9.1796875" style="30" bestFit="1" customWidth="1"/>
    <col min="21" max="21" width="9.453125" style="30" bestFit="1" customWidth="1"/>
    <col min="22" max="22" width="8.81640625" style="30" bestFit="1" customWidth="1"/>
    <col min="23" max="24" width="9.1796875" style="30" bestFit="1" customWidth="1"/>
    <col min="25" max="25" width="8.81640625" style="30" bestFit="1" customWidth="1"/>
    <col min="26" max="26" width="9.1796875" style="30" bestFit="1" customWidth="1"/>
    <col min="27" max="28" width="11.36328125" style="30" bestFit="1" customWidth="1"/>
    <col min="29" max="29" width="7.453125" style="30" bestFit="1" customWidth="1"/>
    <col min="30" max="30" width="4.81640625" style="30" bestFit="1" customWidth="1"/>
    <col min="31" max="31" width="7.453125" style="30" bestFit="1" customWidth="1"/>
    <col min="32" max="33" width="10.1796875" style="30" bestFit="1" customWidth="1"/>
    <col min="34" max="35" width="7.453125" style="30" bestFit="1" customWidth="1"/>
    <col min="36" max="36" width="4.81640625" style="30" bestFit="1" customWidth="1"/>
    <col min="37" max="38" width="7.453125" style="30" bestFit="1" customWidth="1"/>
    <col min="39" max="39" width="10.1796875" style="30" bestFit="1" customWidth="1"/>
    <col min="40" max="40" width="7.453125" style="30" bestFit="1" customWidth="1"/>
    <col min="41" max="41" width="4.81640625" style="30" bestFit="1" customWidth="1"/>
    <col min="42" max="44" width="7.453125" style="30" bestFit="1" customWidth="1"/>
    <col min="45" max="45" width="10.1796875" style="30" bestFit="1" customWidth="1"/>
    <col min="46" max="46" width="4.81640625" style="30" bestFit="1" customWidth="1"/>
    <col min="47" max="50" width="7.453125" style="30" bestFit="1" customWidth="1"/>
    <col min="51" max="51" width="10.1796875" style="30" bestFit="1" customWidth="1"/>
    <col min="52" max="56" width="7.453125" style="30" bestFit="1" customWidth="1"/>
    <col min="57" max="57" width="10.1796875" style="30" bestFit="1" customWidth="1"/>
    <col min="58" max="62" width="7.453125" style="30" bestFit="1" customWidth="1"/>
    <col min="63" max="63" width="10.1796875" style="30" bestFit="1" customWidth="1"/>
    <col min="64" max="16384" width="8.6328125" style="30"/>
  </cols>
  <sheetData/>
  <phoneticPr fontId="19"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F80F-A388-4E49-81A2-DE2BFC61A66B}">
  <dimension ref="A1"/>
  <sheetViews>
    <sheetView topLeftCell="A9" workbookViewId="0">
      <selection activeCell="K40" sqref="K40"/>
    </sheetView>
  </sheetViews>
  <sheetFormatPr defaultColWidth="8.81640625"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4557-5971-4B3E-9898-E2B0A29BDB06}">
  <dimension ref="A3:I46"/>
  <sheetViews>
    <sheetView workbookViewId="0">
      <selection activeCell="G5" sqref="G5"/>
    </sheetView>
  </sheetViews>
  <sheetFormatPr defaultColWidth="8.81640625" defaultRowHeight="14.5" x14ac:dyDescent="0.35"/>
  <cols>
    <col min="1" max="1" width="12.453125" bestFit="1" customWidth="1"/>
    <col min="2" max="2" width="10.81640625" customWidth="1"/>
    <col min="3" max="9" width="7.453125" customWidth="1"/>
  </cols>
  <sheetData>
    <row r="3" spans="2:9" x14ac:dyDescent="0.35">
      <c r="B3" t="s">
        <v>3010</v>
      </c>
      <c r="C3" t="s">
        <v>2990</v>
      </c>
      <c r="D3" t="s">
        <v>2991</v>
      </c>
      <c r="E3" t="s">
        <v>2992</v>
      </c>
      <c r="F3" t="s">
        <v>2993</v>
      </c>
      <c r="G3" t="s">
        <v>2995</v>
      </c>
      <c r="H3" t="s">
        <v>2996</v>
      </c>
      <c r="I3" t="s">
        <v>2994</v>
      </c>
    </row>
    <row r="4" spans="2:9" x14ac:dyDescent="0.35">
      <c r="B4" s="6" t="s">
        <v>47</v>
      </c>
      <c r="C4">
        <f ca="1">COUNTIFS($C$2:$C$1000,"&gt;=18",$C$2:$C$1000,"&lt;=25",$F$2:$F$1000,"Arthritis")</f>
        <v>18</v>
      </c>
      <c r="D4">
        <f ca="1">COUNTIFS($C$2:$C$1000,"&gt;=26",$C$2:$C$1000,"&lt;=35",$F$2:$F$1000,"Arthritis")</f>
        <v>26</v>
      </c>
      <c r="E4">
        <f ca="1">COUNTIFS($C$2:$C$1000,"&gt;=36",$C$2:$C$1000,"&lt;=45",$F$2:$F$1000,"Arthritis")</f>
        <v>23</v>
      </c>
      <c r="F4">
        <f ca="1">COUNTIFS($C$2:$C$1000,"&gt;=46",$C$2:$C$1000,"&lt;=55",$F$2:$F$1000,"Arthritis")</f>
        <v>14</v>
      </c>
      <c r="G4">
        <f ca="1">COUNTIFS($C$2:$C$1000,"&gt;=56",$C$2:$C$1000,"&lt;=65",$F$2:$F$1000,"Arthritis")</f>
        <v>31</v>
      </c>
      <c r="H4">
        <f ca="1">COUNTIFS($C$2:$C$1000,"&gt;=66",$C$2:$C$1000,"&lt;=75",$F$2:$F$1000,"Arthritis")</f>
        <v>17</v>
      </c>
      <c r="I4">
        <f ca="1">COUNTIFS($C$2:$C$1000,"&gt;=76",$C$2:$C$1000,"&lt;=85",$F$2:$F$1000,"Arthritis")</f>
        <v>32</v>
      </c>
    </row>
    <row r="5" spans="2:9" x14ac:dyDescent="0.35">
      <c r="B5" s="6" t="s">
        <v>28</v>
      </c>
      <c r="C5">
        <f ca="1">COUNTIFS($C$2:$C$1000,"&gt;=18",$C$2:$C$1000,"&lt;=25",$F$2:$F$1000,"Asthma")</f>
        <v>13</v>
      </c>
      <c r="D5">
        <f ca="1">COUNTIFS($C$2:$C$1000,"&gt;=26",$C$2:$C$1000,"&lt;=35",$F$2:$F$1000,"Asthma")</f>
        <v>33</v>
      </c>
      <c r="E5">
        <f ca="1">COUNTIFS($C$2:$C$1000,"&gt;=36",$C$2:$C$1000,"&lt;=45",$F$2:$F$1000,"Asthma")</f>
        <v>21</v>
      </c>
      <c r="F5">
        <f ca="1">COUNTIFS($C$2:$C$1000,"&gt;=46",$C$2:$C$1000,"&lt;=55",$F$2:$F$1000,"Asthma")</f>
        <v>29</v>
      </c>
      <c r="G5">
        <f ca="1">COUNTIFS($C$2:$C$1000,"&gt;=56",$C$2:$C$1000,"&lt;=65",$F$2:$F$1000,"Asthma")</f>
        <v>28</v>
      </c>
      <c r="H5">
        <f ca="1">COUNTIFS($C$2:$C$1000,"&gt;=66",$C$2:$C$1000,"&lt;=75",$F$2:$F$1000,"Asthma")</f>
        <v>22</v>
      </c>
      <c r="I5">
        <f ca="1">COUNTIFS($C$2:$C$1000,"&gt;=76",$C$2:$C$1000,"&lt;=85",$F$2:$F$1000,"Asthma")</f>
        <v>28</v>
      </c>
    </row>
    <row r="6" spans="2:9" x14ac:dyDescent="0.35">
      <c r="B6" s="6" t="s">
        <v>72</v>
      </c>
      <c r="C6">
        <f ca="1">COUNTIFS($C$2:$C$1000,"&gt;=18",$C$2:$C$1000,"&lt;=25",$F$2:$F$1000,"Cancer")</f>
        <v>24</v>
      </c>
      <c r="D6">
        <f ca="1">COUNTIFS($C$2:$C$1000,"&gt;=26",$C$2:$C$1000,"&lt;=35",$F$2:$F$1000,"Cancer")</f>
        <v>17</v>
      </c>
      <c r="E6">
        <f ca="1">COUNTIFS($C$2:$C$1000,"&gt;=36",$C$2:$C$1000,"&lt;=45",$F$2:$F$1000,"Cancer")</f>
        <v>29</v>
      </c>
      <c r="F6">
        <f ca="1">COUNTIFS($C$2:$C$1000,"&gt;=46",$C$2:$C$1000,"&lt;=55",$F$2:$F$1000,"Cancer")</f>
        <v>22</v>
      </c>
      <c r="G6">
        <f ca="1">COUNTIFS($C$2:$C$1000,"&gt;=56",$C$2:$C$1000,"&lt;=65",$F$2:$F$1000,"Cancer")</f>
        <v>26</v>
      </c>
      <c r="H6">
        <f ca="1">COUNTIFS($C$2:$C$1000,"&gt;=66",$C$2:$C$1000,"&lt;=75",$F$2:$F$1000,"Cancer")</f>
        <v>25</v>
      </c>
      <c r="I6">
        <f ca="1">COUNTIFS($C$2:$C$1000,"&gt;=76",$C$2:$C$1000,"&lt;=85",$F$2:$F$1000,"Cancer")</f>
        <v>28</v>
      </c>
    </row>
    <row r="7" spans="2:9" x14ac:dyDescent="0.35">
      <c r="B7" s="6" t="s">
        <v>18</v>
      </c>
      <c r="C7">
        <f ca="1">COUNTIFS($C$2:$C$1000,"&gt;=18",$C$2:$C$1000,"&lt;=25",$F$2:$F$1000,"Diabetes")</f>
        <v>13</v>
      </c>
      <c r="D7">
        <f ca="1">COUNTIFS($C$2:$C$1000,"&gt;=26",$C$2:$C$1000,"&lt;=35",$F$2:$F$1000,"Diabetes")</f>
        <v>27</v>
      </c>
      <c r="E7">
        <f ca="1">COUNTIFS($C$2:$C$1000,"&gt;=36",$C$2:$C$1000,"&lt;=45",$F$2:$F$1000,"Diabetes")</f>
        <v>20</v>
      </c>
      <c r="F7">
        <f ca="1">COUNTIFS($C$2:$C$1000,"&gt;=46",$C$2:$C$1000,"&lt;=55",$F$2:$F$1000,"Diabetes")</f>
        <v>28</v>
      </c>
      <c r="G7">
        <f ca="1">COUNTIFS($C$2:$C$1000,"&gt;=56",$C$2:$C$1000,"&lt;=65",$F$2:$F$1000,"Diabetes")</f>
        <v>18</v>
      </c>
      <c r="H7">
        <f ca="1">COUNTIFS($C$2:$C$1000,"&gt;=66",$C$2:$C$1000,"&lt;=75",$F$2:$F$1000,"Diabetes")</f>
        <v>27</v>
      </c>
      <c r="I7">
        <f ca="1">COUNTIFS($C$2:$C$1000,"&gt;=76",$C$2:$C$1000,"&lt;=85",$F$2:$F$1000,"Diabetes")</f>
        <v>28</v>
      </c>
    </row>
    <row r="8" spans="2:9" x14ac:dyDescent="0.35">
      <c r="B8" s="6" t="s">
        <v>56</v>
      </c>
      <c r="C8">
        <f ca="1">COUNTIFS($C$2:$C$1000,"&gt;=18",$C$2:$C$1000,"&lt;=25",$F$2:$F$1000,"Hypertension")</f>
        <v>22</v>
      </c>
      <c r="D8">
        <f ca="1">COUNTIFS($C$2:$C$1000,"&gt;=26",$C$2:$C$1000,"&lt;=35",$F$2:$F$1000,"Hypertension")</f>
        <v>26</v>
      </c>
      <c r="E8">
        <f ca="1">COUNTIFS($C$2:$C$1000,"&gt;=36",$C$2:$C$1000,"&lt;=45",$F$2:$F$1000,"Hypertension")</f>
        <v>27</v>
      </c>
      <c r="F8">
        <f ca="1">COUNTIFS($C$2:$C$1000,"&gt;=46",$C$2:$C$1000,"&lt;=55",$F$2:$F$1000,"Hypertension")</f>
        <v>32</v>
      </c>
      <c r="G8">
        <f ca="1">COUNTIFS($C$2:$C$1000,"&gt;=56",$C$2:$C$1000,"&lt;=65",$F$2:$F$1000,"Hypertension")</f>
        <v>22</v>
      </c>
      <c r="H8">
        <f ca="1">COUNTIFS($C$2:$C$1000,"&gt;=66",$C$2:$C$1000,"&lt;=75",$F$2:$F$1000,"Hypertension")</f>
        <v>29</v>
      </c>
      <c r="I8">
        <f ca="1">COUNTIFS($C$2:$C$1000,"&gt;=76",$C$2:$C$1000,"&lt;=85",$F$2:$F$1000,"Hypertension")</f>
        <v>20</v>
      </c>
    </row>
    <row r="9" spans="2:9" x14ac:dyDescent="0.35">
      <c r="B9" s="6" t="s">
        <v>37</v>
      </c>
      <c r="C9">
        <f ca="1">COUNTIFS($C$2:$C$1000,"&gt;=18",$C$2:$C$1000,"&lt;=25",$F$2:$F$1000,"Obesity")</f>
        <v>10</v>
      </c>
      <c r="D9">
        <f ca="1">COUNTIFS($C$2:$C$1000,"&gt;=26",$C$2:$C$1000,"&lt;=35",$F$2:$F$1000,"Obesity")</f>
        <v>22</v>
      </c>
      <c r="E9">
        <f ca="1">COUNTIFS($C$2:$C$1000,"&gt;=36",$C$2:$C$1000,"&lt;=45",$F$2:$F$1000,"Obesity")</f>
        <v>26</v>
      </c>
      <c r="F9">
        <f ca="1">COUNTIFS($C$2:$C$1000,"&gt;=46",$C$2:$C$1000,"&lt;=55",$F$2:$F$1000,"Obesity")</f>
        <v>19</v>
      </c>
      <c r="G9">
        <f ca="1">COUNTIFS($C$2:$C$1000,"&gt;=56",$C$2:$C$1000,"&lt;=65",$F$2:$F$1000,"Obesity")</f>
        <v>19</v>
      </c>
      <c r="H9">
        <f ca="1">COUNTIFS($C$2:$C$1000,"&gt;=66",$C$2:$C$1000,"&lt;=75",$F$2:$F$1000,"Obesity")</f>
        <v>31</v>
      </c>
      <c r="I9">
        <f ca="1">COUNTIFS($C$2:$C$1000,"&gt;=76",$C$2:$C$1000,"&lt;=85",$F$2:$F$1000,"Obesity")</f>
        <v>27</v>
      </c>
    </row>
    <row r="39" spans="1:1" x14ac:dyDescent="0.35">
      <c r="A39" s="4" t="s">
        <v>2999</v>
      </c>
    </row>
    <row r="40" spans="1:1" x14ac:dyDescent="0.35">
      <c r="A40" s="5" t="s">
        <v>47</v>
      </c>
    </row>
    <row r="41" spans="1:1" x14ac:dyDescent="0.35">
      <c r="A41" s="5" t="s">
        <v>28</v>
      </c>
    </row>
    <row r="42" spans="1:1" x14ac:dyDescent="0.35">
      <c r="A42" s="5" t="s">
        <v>72</v>
      </c>
    </row>
    <row r="43" spans="1:1" x14ac:dyDescent="0.35">
      <c r="A43" s="5" t="s">
        <v>18</v>
      </c>
    </row>
    <row r="44" spans="1:1" x14ac:dyDescent="0.35">
      <c r="A44" s="5" t="s">
        <v>56</v>
      </c>
    </row>
    <row r="45" spans="1:1" x14ac:dyDescent="0.35">
      <c r="A45" s="5" t="s">
        <v>37</v>
      </c>
    </row>
    <row r="46" spans="1:1" x14ac:dyDescent="0.35">
      <c r="A46" s="5" t="s">
        <v>3000</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37"/>
  <sheetViews>
    <sheetView topLeftCell="D1" workbookViewId="0">
      <selection activeCell="AB23" sqref="AB23"/>
    </sheetView>
  </sheetViews>
  <sheetFormatPr defaultColWidth="8.81640625" defaultRowHeight="14.5" x14ac:dyDescent="0.35"/>
  <cols>
    <col min="1" max="1" width="23.81640625" bestFit="1" customWidth="1"/>
    <col min="2" max="2" width="17.81640625" bestFit="1" customWidth="1"/>
    <col min="3" max="4" width="18.453125" bestFit="1" customWidth="1"/>
    <col min="5" max="5" width="7.1796875" bestFit="1" customWidth="1"/>
    <col min="6" max="6" width="6.81640625" bestFit="1" customWidth="1"/>
    <col min="7" max="7" width="8.26953125" bestFit="1" customWidth="1"/>
    <col min="8" max="8" width="12" bestFit="1" customWidth="1"/>
    <col min="9" max="9" width="7.1796875" bestFit="1" customWidth="1"/>
    <col min="10" max="10" width="8.81640625" bestFit="1" customWidth="1"/>
    <col min="11" max="16" width="5.453125" bestFit="1" customWidth="1"/>
    <col min="17" max="17" width="11.6328125" bestFit="1" customWidth="1"/>
    <col min="18" max="18" width="8.453125" bestFit="1" customWidth="1"/>
    <col min="19" max="24" width="5.453125" bestFit="1" customWidth="1"/>
    <col min="25" max="25" width="11.36328125" bestFit="1" customWidth="1"/>
    <col min="26" max="26" width="10" bestFit="1" customWidth="1"/>
    <col min="27" max="32" width="5.453125" bestFit="1" customWidth="1"/>
    <col min="33" max="33" width="12.6328125" bestFit="1" customWidth="1"/>
    <col min="34" max="34" width="13.6328125" bestFit="1" customWidth="1"/>
    <col min="35" max="40" width="5.453125" bestFit="1" customWidth="1"/>
    <col min="41" max="41" width="16.453125" bestFit="1" customWidth="1"/>
    <col min="42" max="42" width="8.81640625" bestFit="1" customWidth="1"/>
    <col min="43" max="48" width="5.453125" bestFit="1" customWidth="1"/>
    <col min="49" max="49" width="11.6328125" bestFit="1" customWidth="1"/>
    <col min="50" max="50" width="10.36328125" bestFit="1" customWidth="1"/>
    <col min="51" max="51" width="9.81640625" bestFit="1" customWidth="1"/>
    <col min="52" max="52" width="10.36328125" bestFit="1" customWidth="1"/>
    <col min="53" max="53" width="11.81640625" bestFit="1" customWidth="1"/>
    <col min="54" max="54" width="11.6328125" bestFit="1" customWidth="1"/>
    <col min="55" max="55" width="7.1796875" bestFit="1" customWidth="1"/>
    <col min="56" max="56" width="6.81640625" bestFit="1" customWidth="1"/>
    <col min="57" max="57" width="8.36328125" bestFit="1" customWidth="1"/>
    <col min="58" max="58" width="12" bestFit="1" customWidth="1"/>
    <col min="59" max="59" width="7.1796875" bestFit="1" customWidth="1"/>
    <col min="60" max="60" width="14.453125" bestFit="1" customWidth="1"/>
    <col min="61" max="61" width="8.1796875" bestFit="1" customWidth="1"/>
    <col min="62" max="62" width="7.1796875" bestFit="1" customWidth="1"/>
    <col min="63" max="63" width="6.81640625" bestFit="1" customWidth="1"/>
    <col min="64" max="64" width="8.36328125" bestFit="1" customWidth="1"/>
    <col min="65" max="65" width="12" bestFit="1" customWidth="1"/>
    <col min="66" max="66" width="7.1796875" bestFit="1" customWidth="1"/>
    <col min="67" max="67" width="10.81640625" bestFit="1" customWidth="1"/>
    <col min="68" max="68" width="9.81640625" bestFit="1" customWidth="1"/>
    <col min="69" max="69" width="9.1796875" bestFit="1" customWidth="1"/>
    <col min="70" max="70" width="7.1796875" bestFit="1" customWidth="1"/>
    <col min="71" max="71" width="6.81640625" bestFit="1" customWidth="1"/>
    <col min="72" max="72" width="8.36328125" bestFit="1" customWidth="1"/>
    <col min="73" max="73" width="12" bestFit="1" customWidth="1"/>
    <col min="74" max="74" width="7.1796875" bestFit="1" customWidth="1"/>
    <col min="75" max="75" width="11.81640625" bestFit="1" customWidth="1"/>
    <col min="76" max="76" width="11.6328125" bestFit="1" customWidth="1"/>
    <col min="77" max="77" width="7.1796875" bestFit="1" customWidth="1"/>
    <col min="78" max="78" width="6.81640625" bestFit="1" customWidth="1"/>
    <col min="79" max="79" width="8.36328125" bestFit="1" customWidth="1"/>
    <col min="80" max="80" width="12" bestFit="1" customWidth="1"/>
    <col min="81" max="81" width="7.1796875" bestFit="1" customWidth="1"/>
    <col min="82" max="82" width="14.453125" bestFit="1" customWidth="1"/>
    <col min="83" max="83" width="8.1796875" bestFit="1" customWidth="1"/>
    <col min="84" max="84" width="7.1796875" bestFit="1" customWidth="1"/>
    <col min="85" max="85" width="6.81640625" bestFit="1" customWidth="1"/>
    <col min="86" max="86" width="8.36328125" bestFit="1" customWidth="1"/>
    <col min="87" max="87" width="12" bestFit="1" customWidth="1"/>
    <col min="88" max="88" width="7.1796875" bestFit="1" customWidth="1"/>
    <col min="89" max="89" width="10.81640625" bestFit="1" customWidth="1"/>
    <col min="90" max="90" width="9.81640625" bestFit="1" customWidth="1"/>
    <col min="91" max="91" width="9.1796875" bestFit="1" customWidth="1"/>
    <col min="92" max="92" width="7.1796875" bestFit="1" customWidth="1"/>
    <col min="93" max="93" width="6.81640625" bestFit="1" customWidth="1"/>
    <col min="94" max="94" width="8.36328125" bestFit="1" customWidth="1"/>
    <col min="95" max="95" width="12" bestFit="1" customWidth="1"/>
    <col min="96" max="96" width="7.1796875" bestFit="1" customWidth="1"/>
    <col min="97" max="97" width="11.81640625" bestFit="1" customWidth="1"/>
    <col min="98" max="98" width="11.6328125" bestFit="1" customWidth="1"/>
    <col min="99" max="99" width="7.1796875" bestFit="1" customWidth="1"/>
    <col min="100" max="100" width="6.81640625" bestFit="1" customWidth="1"/>
    <col min="101" max="101" width="8.36328125" bestFit="1" customWidth="1"/>
    <col min="102" max="102" width="12" bestFit="1" customWidth="1"/>
    <col min="103" max="103" width="7.1796875" bestFit="1" customWidth="1"/>
    <col min="104" max="104" width="14.453125" bestFit="1" customWidth="1"/>
    <col min="105" max="105" width="8.1796875" bestFit="1" customWidth="1"/>
    <col min="106" max="106" width="7.1796875" bestFit="1" customWidth="1"/>
    <col min="107" max="107" width="6.81640625" bestFit="1" customWidth="1"/>
    <col min="108" max="108" width="8.36328125" bestFit="1" customWidth="1"/>
    <col min="109" max="109" width="12" bestFit="1" customWidth="1"/>
    <col min="110" max="110" width="7.1796875" bestFit="1" customWidth="1"/>
    <col min="111" max="111" width="10.81640625" bestFit="1" customWidth="1"/>
    <col min="112" max="112" width="9.81640625" bestFit="1" customWidth="1"/>
    <col min="113" max="113" width="9.1796875" bestFit="1" customWidth="1"/>
    <col min="114" max="114" width="7.1796875" bestFit="1" customWidth="1"/>
    <col min="115" max="115" width="6.81640625" bestFit="1" customWidth="1"/>
    <col min="116" max="116" width="8.36328125" bestFit="1" customWidth="1"/>
    <col min="117" max="117" width="12" bestFit="1" customWidth="1"/>
    <col min="118" max="118" width="7.1796875" bestFit="1" customWidth="1"/>
    <col min="119" max="119" width="11.81640625" bestFit="1" customWidth="1"/>
    <col min="120" max="120" width="11.6328125" bestFit="1" customWidth="1"/>
    <col min="121" max="121" width="7.1796875" bestFit="1" customWidth="1"/>
    <col min="122" max="122" width="6.81640625" bestFit="1" customWidth="1"/>
    <col min="123" max="123" width="8.36328125" bestFit="1" customWidth="1"/>
    <col min="124" max="124" width="12" bestFit="1" customWidth="1"/>
    <col min="125" max="125" width="7.1796875" bestFit="1" customWidth="1"/>
    <col min="126" max="126" width="14.453125" bestFit="1" customWidth="1"/>
    <col min="127" max="127" width="8.1796875" bestFit="1" customWidth="1"/>
    <col min="128" max="128" width="7.1796875" bestFit="1" customWidth="1"/>
    <col min="129" max="129" width="6.81640625" bestFit="1" customWidth="1"/>
    <col min="130" max="130" width="8.36328125" bestFit="1" customWidth="1"/>
    <col min="131" max="131" width="12" bestFit="1" customWidth="1"/>
    <col min="132" max="132" width="7.1796875" bestFit="1" customWidth="1"/>
    <col min="133" max="133" width="10.81640625" bestFit="1" customWidth="1"/>
    <col min="134" max="134" width="9.81640625" bestFit="1" customWidth="1"/>
    <col min="135" max="135" width="9.1796875" bestFit="1" customWidth="1"/>
    <col min="136" max="136" width="7.1796875" bestFit="1" customWidth="1"/>
    <col min="137" max="137" width="6.81640625" bestFit="1" customWidth="1"/>
    <col min="138" max="138" width="8.36328125" bestFit="1" customWidth="1"/>
    <col min="139" max="139" width="12" bestFit="1" customWidth="1"/>
    <col min="140" max="140" width="7.1796875" bestFit="1" customWidth="1"/>
    <col min="141" max="141" width="11.81640625" bestFit="1" customWidth="1"/>
    <col min="142" max="142" width="11.6328125" bestFit="1" customWidth="1"/>
    <col min="143" max="143" width="7.1796875" bestFit="1" customWidth="1"/>
    <col min="144" max="144" width="6.81640625" bestFit="1" customWidth="1"/>
    <col min="145" max="145" width="8.36328125" bestFit="1" customWidth="1"/>
    <col min="146" max="146" width="12" bestFit="1" customWidth="1"/>
    <col min="147" max="147" width="7.1796875" bestFit="1" customWidth="1"/>
    <col min="148" max="148" width="14.453125" bestFit="1" customWidth="1"/>
    <col min="149" max="149" width="8.1796875" bestFit="1" customWidth="1"/>
    <col min="150" max="150" width="7.1796875" bestFit="1" customWidth="1"/>
    <col min="151" max="151" width="6.81640625" bestFit="1" customWidth="1"/>
    <col min="152" max="152" width="8.36328125" bestFit="1" customWidth="1"/>
    <col min="153" max="153" width="12" bestFit="1" customWidth="1"/>
    <col min="154" max="154" width="7.1796875" bestFit="1" customWidth="1"/>
    <col min="155" max="155" width="10.81640625" bestFit="1" customWidth="1"/>
    <col min="156" max="156" width="9.81640625" bestFit="1" customWidth="1"/>
    <col min="157" max="157" width="10.36328125" bestFit="1" customWidth="1"/>
  </cols>
  <sheetData>
    <row r="2" spans="2:4" x14ac:dyDescent="0.35">
      <c r="B2" s="4" t="s">
        <v>3002</v>
      </c>
      <c r="D2" s="4" t="s">
        <v>4</v>
      </c>
    </row>
    <row r="3" spans="2:4" x14ac:dyDescent="0.35">
      <c r="B3" s="4" t="s">
        <v>11</v>
      </c>
      <c r="C3" s="4" t="s">
        <v>2998</v>
      </c>
      <c r="D3" t="s">
        <v>18</v>
      </c>
    </row>
    <row r="4" spans="2:4" x14ac:dyDescent="0.35">
      <c r="B4" t="s">
        <v>22</v>
      </c>
      <c r="C4" t="s">
        <v>2990</v>
      </c>
      <c r="D4" s="33">
        <v>3</v>
      </c>
    </row>
    <row r="5" spans="2:4" x14ac:dyDescent="0.35">
      <c r="C5" t="s">
        <v>2991</v>
      </c>
      <c r="D5" s="33">
        <v>9</v>
      </c>
    </row>
    <row r="6" spans="2:4" x14ac:dyDescent="0.35">
      <c r="C6" t="s">
        <v>2992</v>
      </c>
      <c r="D6" s="33">
        <v>4</v>
      </c>
    </row>
    <row r="7" spans="2:4" x14ac:dyDescent="0.35">
      <c r="C7" t="s">
        <v>2993</v>
      </c>
      <c r="D7" s="33">
        <v>7</v>
      </c>
    </row>
    <row r="8" spans="2:4" x14ac:dyDescent="0.35">
      <c r="C8" t="s">
        <v>2995</v>
      </c>
      <c r="D8" s="33">
        <v>7</v>
      </c>
    </row>
    <row r="9" spans="2:4" x14ac:dyDescent="0.35">
      <c r="C9" t="s">
        <v>2996</v>
      </c>
      <c r="D9" s="33">
        <v>10</v>
      </c>
    </row>
    <row r="10" spans="2:4" x14ac:dyDescent="0.35">
      <c r="C10" t="s">
        <v>2994</v>
      </c>
      <c r="D10" s="33">
        <v>8</v>
      </c>
    </row>
    <row r="11" spans="2:4" x14ac:dyDescent="0.35">
      <c r="B11" t="s">
        <v>3036</v>
      </c>
      <c r="D11" s="33">
        <v>48</v>
      </c>
    </row>
    <row r="12" spans="2:4" x14ac:dyDescent="0.35">
      <c r="B12" t="s">
        <v>32</v>
      </c>
      <c r="C12" t="s">
        <v>2990</v>
      </c>
      <c r="D12" s="33">
        <v>4</v>
      </c>
    </row>
    <row r="13" spans="2:4" x14ac:dyDescent="0.35">
      <c r="C13" t="s">
        <v>2991</v>
      </c>
      <c r="D13" s="33">
        <v>11</v>
      </c>
    </row>
    <row r="14" spans="2:4" x14ac:dyDescent="0.35">
      <c r="C14" t="s">
        <v>2992</v>
      </c>
      <c r="D14" s="33">
        <v>8</v>
      </c>
    </row>
    <row r="15" spans="2:4" x14ac:dyDescent="0.35">
      <c r="C15" t="s">
        <v>2993</v>
      </c>
      <c r="D15" s="33">
        <v>11</v>
      </c>
    </row>
    <row r="16" spans="2:4" x14ac:dyDescent="0.35">
      <c r="C16" t="s">
        <v>2995</v>
      </c>
      <c r="D16" s="33">
        <v>8</v>
      </c>
    </row>
    <row r="17" spans="2:4" x14ac:dyDescent="0.35">
      <c r="C17" t="s">
        <v>2996</v>
      </c>
      <c r="D17" s="33">
        <v>7</v>
      </c>
    </row>
    <row r="18" spans="2:4" x14ac:dyDescent="0.35">
      <c r="C18" t="s">
        <v>2994</v>
      </c>
      <c r="D18" s="33">
        <v>11</v>
      </c>
    </row>
    <row r="19" spans="2:4" x14ac:dyDescent="0.35">
      <c r="B19" t="s">
        <v>3015</v>
      </c>
      <c r="D19" s="33">
        <v>60</v>
      </c>
    </row>
    <row r="20" spans="2:4" x14ac:dyDescent="0.35">
      <c r="B20" t="s">
        <v>43</v>
      </c>
      <c r="C20" t="s">
        <v>2990</v>
      </c>
      <c r="D20" s="33">
        <v>6</v>
      </c>
    </row>
    <row r="21" spans="2:4" x14ac:dyDescent="0.35">
      <c r="C21" t="s">
        <v>2991</v>
      </c>
      <c r="D21" s="33">
        <v>7</v>
      </c>
    </row>
    <row r="22" spans="2:4" x14ac:dyDescent="0.35">
      <c r="C22" t="s">
        <v>2992</v>
      </c>
      <c r="D22" s="33">
        <v>8</v>
      </c>
    </row>
    <row r="23" spans="2:4" x14ac:dyDescent="0.35">
      <c r="C23" t="s">
        <v>2993</v>
      </c>
      <c r="D23" s="33">
        <v>10</v>
      </c>
    </row>
    <row r="24" spans="2:4" x14ac:dyDescent="0.35">
      <c r="C24" t="s">
        <v>2995</v>
      </c>
      <c r="D24" s="33">
        <v>3</v>
      </c>
    </row>
    <row r="25" spans="2:4" x14ac:dyDescent="0.35">
      <c r="C25" t="s">
        <v>2996</v>
      </c>
      <c r="D25" s="33">
        <v>10</v>
      </c>
    </row>
    <row r="26" spans="2:4" x14ac:dyDescent="0.35">
      <c r="C26" t="s">
        <v>2994</v>
      </c>
      <c r="D26" s="33">
        <v>9</v>
      </c>
    </row>
    <row r="27" spans="2:4" x14ac:dyDescent="0.35">
      <c r="B27" t="s">
        <v>3037</v>
      </c>
      <c r="D27" s="33">
        <v>53</v>
      </c>
    </row>
    <row r="28" spans="2:4" x14ac:dyDescent="0.35">
      <c r="B28" t="s">
        <v>3000</v>
      </c>
      <c r="D28" s="33">
        <v>161</v>
      </c>
    </row>
    <row r="31" spans="2:4" x14ac:dyDescent="0.35">
      <c r="B31" s="4" t="s">
        <v>3003</v>
      </c>
      <c r="C31" s="4" t="s">
        <v>4</v>
      </c>
    </row>
    <row r="32" spans="2:4" x14ac:dyDescent="0.35">
      <c r="B32" s="4" t="s">
        <v>13</v>
      </c>
      <c r="C32" t="s">
        <v>18</v>
      </c>
    </row>
    <row r="33" spans="2:3" x14ac:dyDescent="0.35">
      <c r="B33" t="s">
        <v>23</v>
      </c>
      <c r="C33" s="33">
        <v>43</v>
      </c>
    </row>
    <row r="34" spans="2:3" x14ac:dyDescent="0.35">
      <c r="B34" t="s">
        <v>87</v>
      </c>
      <c r="C34" s="33">
        <v>22</v>
      </c>
    </row>
    <row r="35" spans="2:3" x14ac:dyDescent="0.35">
      <c r="B35" t="s">
        <v>33</v>
      </c>
      <c r="C35" s="33">
        <v>28</v>
      </c>
    </row>
    <row r="36" spans="2:3" x14ac:dyDescent="0.35">
      <c r="B36" t="s">
        <v>50</v>
      </c>
      <c r="C36" s="33">
        <v>36</v>
      </c>
    </row>
    <row r="37" spans="2:3" x14ac:dyDescent="0.35">
      <c r="B37" t="s">
        <v>44</v>
      </c>
      <c r="C37" s="33">
        <v>32</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1"/>
  <sheetViews>
    <sheetView topLeftCell="C24" workbookViewId="0">
      <selection activeCell="J32" sqref="J32"/>
    </sheetView>
  </sheetViews>
  <sheetFormatPr defaultColWidth="8.81640625" defaultRowHeight="14.5" x14ac:dyDescent="0.35"/>
  <cols>
    <col min="1" max="1" width="23.81640625" bestFit="1" customWidth="1"/>
    <col min="2" max="2" width="15.6328125" bestFit="1" customWidth="1"/>
    <col min="3" max="3" width="10.36328125" bestFit="1" customWidth="1"/>
    <col min="4" max="4" width="6.81640625" bestFit="1" customWidth="1"/>
    <col min="5" max="5" width="8.26953125" bestFit="1" customWidth="1"/>
    <col min="6" max="6" width="12" bestFit="1" customWidth="1"/>
    <col min="7" max="7" width="7.1796875" bestFit="1" customWidth="1"/>
    <col min="8" max="8" width="10.36328125" bestFit="1" customWidth="1"/>
    <col min="9" max="9" width="18.453125" bestFit="1" customWidth="1"/>
    <col min="10" max="10" width="22.1796875" bestFit="1" customWidth="1"/>
    <col min="11" max="11" width="18.453125" bestFit="1" customWidth="1"/>
    <col min="12" max="12" width="22.1796875" bestFit="1" customWidth="1"/>
    <col min="13" max="13" width="18.453125" bestFit="1" customWidth="1"/>
    <col min="14" max="14" width="26.6328125" bestFit="1" customWidth="1"/>
    <col min="15" max="15" width="23.1796875" bestFit="1" customWidth="1"/>
    <col min="16" max="16" width="5.453125" bestFit="1" customWidth="1"/>
    <col min="17" max="17" width="11.6328125" bestFit="1" customWidth="1"/>
    <col min="18" max="18" width="8.453125" bestFit="1" customWidth="1"/>
    <col min="19" max="24" width="5.453125" bestFit="1" customWidth="1"/>
    <col min="25" max="25" width="11.36328125" bestFit="1" customWidth="1"/>
    <col min="26" max="26" width="10" bestFit="1" customWidth="1"/>
    <col min="27" max="32" width="5.453125" bestFit="1" customWidth="1"/>
    <col min="33" max="33" width="12.6328125" bestFit="1" customWidth="1"/>
    <col min="34" max="34" width="13.6328125" bestFit="1" customWidth="1"/>
    <col min="35" max="40" width="5.453125" bestFit="1" customWidth="1"/>
    <col min="41" max="41" width="16.453125" bestFit="1" customWidth="1"/>
    <col min="42" max="42" width="8.81640625" bestFit="1" customWidth="1"/>
    <col min="43" max="48" width="5.453125" bestFit="1" customWidth="1"/>
    <col min="49" max="49" width="11.6328125" bestFit="1" customWidth="1"/>
    <col min="50" max="50" width="10.36328125" bestFit="1" customWidth="1"/>
  </cols>
  <sheetData>
    <row r="1" spans="1:3" x14ac:dyDescent="0.35">
      <c r="A1" s="7"/>
    </row>
    <row r="2" spans="1:3" x14ac:dyDescent="0.35">
      <c r="A2" s="8"/>
      <c r="B2" s="8"/>
      <c r="C2" s="8"/>
    </row>
    <row r="4" spans="1:3" x14ac:dyDescent="0.35">
      <c r="A4" s="7"/>
    </row>
    <row r="5" spans="1:3" x14ac:dyDescent="0.35">
      <c r="A5" s="8"/>
      <c r="B5" s="8"/>
      <c r="C5" s="8"/>
    </row>
    <row r="8" spans="1:3" x14ac:dyDescent="0.35">
      <c r="A8" s="7"/>
    </row>
    <row r="21" spans="1:3" x14ac:dyDescent="0.35">
      <c r="A21" s="4" t="s">
        <v>3004</v>
      </c>
      <c r="B21" s="4" t="s">
        <v>3001</v>
      </c>
    </row>
    <row r="22" spans="1:3" x14ac:dyDescent="0.35">
      <c r="A22" s="4" t="s">
        <v>2999</v>
      </c>
      <c r="B22" t="s">
        <v>18</v>
      </c>
      <c r="C22" t="s">
        <v>3000</v>
      </c>
    </row>
    <row r="23" spans="1:3" x14ac:dyDescent="0.35">
      <c r="A23" s="5" t="s">
        <v>16</v>
      </c>
      <c r="B23" s="33">
        <v>87</v>
      </c>
      <c r="C23" s="33">
        <v>87</v>
      </c>
    </row>
    <row r="24" spans="1:3" x14ac:dyDescent="0.35">
      <c r="A24" s="5" t="s">
        <v>26</v>
      </c>
      <c r="B24" s="33">
        <v>74</v>
      </c>
      <c r="C24" s="33">
        <v>74</v>
      </c>
    </row>
    <row r="25" spans="1:3" x14ac:dyDescent="0.35">
      <c r="A25" s="5" t="s">
        <v>3000</v>
      </c>
      <c r="B25" s="33">
        <v>161</v>
      </c>
      <c r="C25" s="33">
        <v>161</v>
      </c>
    </row>
    <row r="46" spans="1:2" x14ac:dyDescent="0.35">
      <c r="A46" s="4" t="s">
        <v>3016</v>
      </c>
      <c r="B46" s="4" t="s">
        <v>4</v>
      </c>
    </row>
    <row r="47" spans="1:2" x14ac:dyDescent="0.35">
      <c r="A47" s="4" t="s">
        <v>14</v>
      </c>
      <c r="B47" t="s">
        <v>18</v>
      </c>
    </row>
    <row r="48" spans="1:2" x14ac:dyDescent="0.35">
      <c r="A48" t="s">
        <v>45</v>
      </c>
      <c r="B48" s="33">
        <v>61</v>
      </c>
    </row>
    <row r="49" spans="1:8" x14ac:dyDescent="0.35">
      <c r="A49" t="s">
        <v>24</v>
      </c>
      <c r="B49" s="33">
        <v>47</v>
      </c>
    </row>
    <row r="50" spans="1:8" x14ac:dyDescent="0.35">
      <c r="A50" t="s">
        <v>34</v>
      </c>
      <c r="B50" s="33">
        <v>53</v>
      </c>
    </row>
    <row r="51" spans="1:8" x14ac:dyDescent="0.35">
      <c r="A51" t="s">
        <v>3000</v>
      </c>
      <c r="B51" s="33">
        <v>161</v>
      </c>
    </row>
    <row r="62" spans="1:8" x14ac:dyDescent="0.35">
      <c r="C62" s="4" t="s">
        <v>2999</v>
      </c>
      <c r="D62" t="s">
        <v>3011</v>
      </c>
      <c r="E62" t="s">
        <v>3019</v>
      </c>
      <c r="F62" t="s">
        <v>3021</v>
      </c>
      <c r="G62" t="s">
        <v>3023</v>
      </c>
      <c r="H62" t="s">
        <v>3022</v>
      </c>
    </row>
    <row r="63" spans="1:8" x14ac:dyDescent="0.35">
      <c r="C63" s="5" t="s">
        <v>117</v>
      </c>
      <c r="D63">
        <v>24</v>
      </c>
      <c r="E63">
        <v>24</v>
      </c>
      <c r="F63">
        <v>13</v>
      </c>
      <c r="G63">
        <v>26</v>
      </c>
      <c r="H63">
        <v>21</v>
      </c>
    </row>
    <row r="64" spans="1:8" x14ac:dyDescent="0.35">
      <c r="C64" s="5" t="s">
        <v>65</v>
      </c>
      <c r="D64">
        <v>25</v>
      </c>
      <c r="E64">
        <v>21</v>
      </c>
      <c r="F64">
        <v>23</v>
      </c>
      <c r="G64">
        <v>16</v>
      </c>
      <c r="H64">
        <v>19</v>
      </c>
    </row>
    <row r="65" spans="3:8" x14ac:dyDescent="0.35">
      <c r="C65" s="5" t="s">
        <v>92</v>
      </c>
      <c r="D65">
        <v>17</v>
      </c>
      <c r="E65">
        <v>29</v>
      </c>
      <c r="F65">
        <v>30</v>
      </c>
      <c r="G65">
        <v>17</v>
      </c>
      <c r="H65">
        <v>21</v>
      </c>
    </row>
    <row r="66" spans="3:8" x14ac:dyDescent="0.35">
      <c r="C66" s="5" t="s">
        <v>51</v>
      </c>
      <c r="D66">
        <v>18</v>
      </c>
      <c r="E66">
        <v>28</v>
      </c>
      <c r="F66">
        <v>21</v>
      </c>
      <c r="G66">
        <v>24</v>
      </c>
      <c r="H66">
        <v>27</v>
      </c>
    </row>
    <row r="67" spans="3:8" x14ac:dyDescent="0.35">
      <c r="C67" s="5" t="s">
        <v>36</v>
      </c>
      <c r="D67">
        <v>22</v>
      </c>
      <c r="E67">
        <v>15</v>
      </c>
      <c r="F67">
        <v>19</v>
      </c>
      <c r="G67">
        <v>31</v>
      </c>
      <c r="H67">
        <v>14</v>
      </c>
    </row>
    <row r="68" spans="3:8" x14ac:dyDescent="0.35">
      <c r="C68" s="5" t="s">
        <v>232</v>
      </c>
      <c r="D68">
        <v>23</v>
      </c>
      <c r="E68">
        <v>18</v>
      </c>
      <c r="F68">
        <v>20</v>
      </c>
      <c r="G68">
        <v>16</v>
      </c>
      <c r="H68">
        <v>21</v>
      </c>
    </row>
    <row r="69" spans="3:8" x14ac:dyDescent="0.35">
      <c r="C69" s="5" t="s">
        <v>17</v>
      </c>
      <c r="D69">
        <v>19</v>
      </c>
      <c r="E69">
        <v>17</v>
      </c>
      <c r="F69">
        <v>19</v>
      </c>
      <c r="G69">
        <v>24</v>
      </c>
      <c r="H69">
        <v>19</v>
      </c>
    </row>
    <row r="70" spans="3:8" x14ac:dyDescent="0.35">
      <c r="C70" s="5" t="s">
        <v>27</v>
      </c>
      <c r="D70">
        <v>26</v>
      </c>
      <c r="E70">
        <v>26</v>
      </c>
      <c r="F70">
        <v>16</v>
      </c>
      <c r="G70">
        <v>17</v>
      </c>
      <c r="H70">
        <v>19</v>
      </c>
    </row>
    <row r="71" spans="3:8" x14ac:dyDescent="0.35">
      <c r="C71" s="5" t="s">
        <v>3000</v>
      </c>
      <c r="D71">
        <v>26</v>
      </c>
      <c r="E71">
        <v>29</v>
      </c>
      <c r="F71">
        <v>30</v>
      </c>
      <c r="G71">
        <v>16</v>
      </c>
      <c r="H71">
        <v>14</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1"/>
  <sheetViews>
    <sheetView topLeftCell="A28" workbookViewId="0">
      <selection activeCell="C43" sqref="C43:H43"/>
    </sheetView>
  </sheetViews>
  <sheetFormatPr defaultColWidth="8.81640625" defaultRowHeight="14.5" x14ac:dyDescent="0.35"/>
  <cols>
    <col min="1" max="1" width="23.81640625" bestFit="1" customWidth="1"/>
    <col min="2" max="2" width="15.6328125" bestFit="1" customWidth="1"/>
    <col min="3" max="8" width="4.81640625" bestFit="1" customWidth="1"/>
    <col min="9" max="9" width="10.36328125" bestFit="1" customWidth="1"/>
    <col min="10" max="10" width="19.36328125" bestFit="1" customWidth="1"/>
    <col min="11" max="11" width="15.36328125" bestFit="1" customWidth="1"/>
    <col min="12" max="12" width="19.36328125" bestFit="1" customWidth="1"/>
    <col min="13" max="13" width="15.36328125" bestFit="1" customWidth="1"/>
    <col min="14" max="14" width="19.36328125" bestFit="1" customWidth="1"/>
    <col min="15" max="15" width="15.36328125" bestFit="1" customWidth="1"/>
    <col min="16" max="16" width="23.81640625" bestFit="1" customWidth="1"/>
    <col min="17" max="17" width="19.81640625" bestFit="1" customWidth="1"/>
    <col min="18" max="18" width="19.36328125" bestFit="1" customWidth="1"/>
    <col min="19" max="19" width="15.36328125" bestFit="1" customWidth="1"/>
    <col min="20" max="20" width="19.36328125" bestFit="1" customWidth="1"/>
    <col min="21" max="21" width="15.36328125" bestFit="1" customWidth="1"/>
    <col min="22" max="22" width="19.36328125" bestFit="1" customWidth="1"/>
    <col min="23" max="23" width="15.36328125" bestFit="1" customWidth="1"/>
    <col min="24" max="24" width="19.36328125" bestFit="1" customWidth="1"/>
    <col min="25" max="25" width="15.36328125" bestFit="1" customWidth="1"/>
    <col min="26" max="26" width="19.36328125" bestFit="1" customWidth="1"/>
    <col min="27" max="27" width="15.36328125" bestFit="1" customWidth="1"/>
    <col min="28" max="28" width="19.36328125" bestFit="1" customWidth="1"/>
    <col min="29" max="29" width="15.36328125" bestFit="1" customWidth="1"/>
    <col min="30" max="30" width="19.36328125" bestFit="1" customWidth="1"/>
    <col min="31" max="31" width="15.36328125" bestFit="1" customWidth="1"/>
    <col min="32" max="32" width="19.36328125" bestFit="1" customWidth="1"/>
    <col min="33" max="33" width="15.36328125" bestFit="1" customWidth="1"/>
    <col min="34" max="34" width="19.36328125" bestFit="1" customWidth="1"/>
    <col min="35" max="35" width="15.36328125" bestFit="1" customWidth="1"/>
    <col min="36" max="36" width="19.36328125" bestFit="1" customWidth="1"/>
    <col min="37" max="37" width="15.36328125" bestFit="1" customWidth="1"/>
    <col min="38" max="38" width="19.36328125" bestFit="1" customWidth="1"/>
    <col min="39" max="39" width="15.36328125" bestFit="1" customWidth="1"/>
    <col min="40" max="40" width="19.36328125" bestFit="1" customWidth="1"/>
    <col min="41" max="41" width="15.36328125" bestFit="1" customWidth="1"/>
    <col min="42" max="42" width="19.36328125" bestFit="1" customWidth="1"/>
    <col min="43" max="43" width="15.36328125" bestFit="1" customWidth="1"/>
    <col min="44" max="44" width="19.36328125" bestFit="1" customWidth="1"/>
    <col min="45" max="45" width="15.36328125" bestFit="1" customWidth="1"/>
    <col min="46" max="46" width="19.36328125" bestFit="1" customWidth="1"/>
    <col min="47" max="47" width="15.36328125" bestFit="1" customWidth="1"/>
    <col min="48" max="48" width="19.36328125" bestFit="1" customWidth="1"/>
    <col min="49" max="49" width="15.36328125" bestFit="1" customWidth="1"/>
    <col min="50" max="50" width="19.36328125" bestFit="1" customWidth="1"/>
    <col min="51" max="51" width="15.36328125" bestFit="1" customWidth="1"/>
    <col min="52" max="52" width="19.36328125" bestFit="1" customWidth="1"/>
    <col min="53" max="53" width="15.36328125" bestFit="1" customWidth="1"/>
    <col min="54" max="54" width="19.36328125" bestFit="1" customWidth="1"/>
    <col min="55" max="55" width="15.36328125" bestFit="1" customWidth="1"/>
    <col min="56" max="56" width="19.36328125" bestFit="1" customWidth="1"/>
    <col min="57" max="57" width="15.36328125" bestFit="1" customWidth="1"/>
    <col min="58" max="58" width="19.36328125" bestFit="1" customWidth="1"/>
    <col min="59" max="59" width="15.36328125" bestFit="1" customWidth="1"/>
    <col min="60" max="60" width="23.81640625" bestFit="1" customWidth="1"/>
    <col min="61" max="61" width="19.81640625" bestFit="1" customWidth="1"/>
    <col min="62" max="62" width="19.36328125" bestFit="1" customWidth="1"/>
    <col min="63" max="63" width="15.36328125" bestFit="1" customWidth="1"/>
    <col min="64" max="64" width="19.36328125" bestFit="1" customWidth="1"/>
    <col min="65" max="65" width="15.36328125" bestFit="1" customWidth="1"/>
    <col min="66" max="66" width="19.36328125" bestFit="1" customWidth="1"/>
    <col min="67" max="67" width="15.36328125" bestFit="1" customWidth="1"/>
    <col min="68" max="68" width="19.36328125" bestFit="1" customWidth="1"/>
    <col min="69" max="69" width="15.36328125" bestFit="1" customWidth="1"/>
    <col min="70" max="70" width="19.36328125" bestFit="1" customWidth="1"/>
    <col min="71" max="71" width="15.36328125" bestFit="1" customWidth="1"/>
    <col min="72" max="72" width="19.36328125" bestFit="1" customWidth="1"/>
    <col min="73" max="73" width="15.36328125" bestFit="1" customWidth="1"/>
    <col min="74" max="74" width="19.36328125" bestFit="1" customWidth="1"/>
    <col min="75" max="75" width="15.36328125" bestFit="1" customWidth="1"/>
    <col min="76" max="76" width="19.36328125" bestFit="1" customWidth="1"/>
    <col min="77" max="77" width="15.36328125" bestFit="1" customWidth="1"/>
    <col min="78" max="78" width="19.36328125" bestFit="1" customWidth="1"/>
    <col min="79" max="79" width="15.36328125" bestFit="1" customWidth="1"/>
    <col min="80" max="80" width="19.36328125" bestFit="1" customWidth="1"/>
    <col min="81" max="81" width="15.36328125" bestFit="1" customWidth="1"/>
    <col min="82" max="82" width="19.36328125" bestFit="1" customWidth="1"/>
    <col min="83" max="83" width="15.36328125" bestFit="1" customWidth="1"/>
    <col min="84" max="84" width="19.36328125" bestFit="1" customWidth="1"/>
    <col min="85" max="85" width="15.36328125" bestFit="1" customWidth="1"/>
    <col min="86" max="86" width="19.36328125" bestFit="1" customWidth="1"/>
    <col min="87" max="87" width="15.36328125" bestFit="1" customWidth="1"/>
    <col min="88" max="88" width="19.36328125" bestFit="1" customWidth="1"/>
    <col min="89" max="89" width="15.36328125" bestFit="1" customWidth="1"/>
    <col min="90" max="90" width="19.36328125" bestFit="1" customWidth="1"/>
    <col min="91" max="91" width="15.36328125" bestFit="1" customWidth="1"/>
    <col min="92" max="92" width="19.36328125" bestFit="1" customWidth="1"/>
    <col min="93" max="93" width="15.36328125" bestFit="1" customWidth="1"/>
    <col min="94" max="94" width="19.36328125" bestFit="1" customWidth="1"/>
    <col min="95" max="95" width="15.36328125" bestFit="1" customWidth="1"/>
    <col min="96" max="96" width="19.36328125" bestFit="1" customWidth="1"/>
    <col min="97" max="97" width="15.36328125" bestFit="1" customWidth="1"/>
    <col min="98" max="98" width="19.36328125" bestFit="1" customWidth="1"/>
    <col min="99" max="99" width="15.36328125" bestFit="1" customWidth="1"/>
    <col min="100" max="100" width="19.36328125" bestFit="1" customWidth="1"/>
    <col min="101" max="101" width="15.36328125" bestFit="1" customWidth="1"/>
    <col min="102" max="102" width="19.36328125" bestFit="1" customWidth="1"/>
    <col min="103" max="103" width="15.36328125" bestFit="1" customWidth="1"/>
    <col min="104" max="104" width="19.36328125" bestFit="1" customWidth="1"/>
    <col min="105" max="105" width="15.36328125" bestFit="1" customWidth="1"/>
    <col min="106" max="106" width="19.36328125" bestFit="1" customWidth="1"/>
    <col min="107" max="107" width="15.36328125" bestFit="1" customWidth="1"/>
    <col min="108" max="108" width="19.36328125" bestFit="1" customWidth="1"/>
    <col min="109" max="109" width="15.36328125" bestFit="1" customWidth="1"/>
    <col min="110" max="110" width="19.36328125" bestFit="1" customWidth="1"/>
    <col min="111" max="111" width="15.36328125" bestFit="1" customWidth="1"/>
    <col min="112" max="112" width="19.36328125" bestFit="1" customWidth="1"/>
    <col min="113" max="113" width="15.36328125" bestFit="1" customWidth="1"/>
    <col min="114" max="114" width="19.36328125" bestFit="1" customWidth="1"/>
    <col min="115" max="115" width="15.36328125" bestFit="1" customWidth="1"/>
    <col min="116" max="116" width="19.36328125" bestFit="1" customWidth="1"/>
    <col min="117" max="117" width="15.36328125" bestFit="1" customWidth="1"/>
    <col min="118" max="118" width="19.36328125" bestFit="1" customWidth="1"/>
    <col min="119" max="119" width="15.36328125" bestFit="1" customWidth="1"/>
    <col min="120" max="120" width="19.36328125" bestFit="1" customWidth="1"/>
    <col min="121" max="121" width="15.36328125" bestFit="1" customWidth="1"/>
    <col min="122" max="122" width="19.36328125" bestFit="1" customWidth="1"/>
    <col min="123" max="123" width="15.36328125" bestFit="1" customWidth="1"/>
    <col min="124" max="124" width="19.36328125" bestFit="1" customWidth="1"/>
    <col min="125" max="125" width="15.36328125" bestFit="1" customWidth="1"/>
    <col min="126" max="126" width="19.36328125" bestFit="1" customWidth="1"/>
    <col min="127" max="127" width="15.36328125" bestFit="1" customWidth="1"/>
    <col min="128" max="128" width="19.36328125" bestFit="1" customWidth="1"/>
    <col min="129" max="129" width="15.36328125" bestFit="1" customWidth="1"/>
    <col min="130" max="130" width="19.36328125" bestFit="1" customWidth="1"/>
    <col min="131" max="131" width="15.36328125" bestFit="1" customWidth="1"/>
    <col min="132" max="132" width="19.36328125" bestFit="1" customWidth="1"/>
    <col min="133" max="133" width="15.36328125" bestFit="1" customWidth="1"/>
    <col min="134" max="134" width="19.36328125" bestFit="1" customWidth="1"/>
    <col min="135" max="135" width="15.36328125" bestFit="1" customWidth="1"/>
    <col min="136" max="136" width="19.36328125" bestFit="1" customWidth="1"/>
    <col min="137" max="137" width="15.36328125" bestFit="1" customWidth="1"/>
    <col min="138" max="138" width="19.36328125" bestFit="1" customWidth="1"/>
    <col min="139" max="139" width="15.36328125" bestFit="1" customWidth="1"/>
    <col min="140" max="140" width="19.36328125" bestFit="1" customWidth="1"/>
    <col min="141" max="141" width="15.36328125" bestFit="1" customWidth="1"/>
    <col min="142" max="142" width="19.36328125" bestFit="1" customWidth="1"/>
    <col min="143" max="143" width="15.36328125" bestFit="1" customWidth="1"/>
    <col min="144" max="144" width="19.36328125" bestFit="1" customWidth="1"/>
    <col min="145" max="145" width="15.36328125" bestFit="1" customWidth="1"/>
    <col min="146" max="146" width="19.36328125" bestFit="1" customWidth="1"/>
    <col min="147" max="147" width="15.36328125" bestFit="1" customWidth="1"/>
    <col min="148" max="148" width="19.36328125" bestFit="1" customWidth="1"/>
    <col min="149" max="149" width="15.36328125" bestFit="1" customWidth="1"/>
    <col min="150" max="150" width="19.36328125" bestFit="1" customWidth="1"/>
    <col min="151" max="151" width="15.36328125" bestFit="1" customWidth="1"/>
    <col min="152" max="152" width="19.36328125" bestFit="1" customWidth="1"/>
    <col min="153" max="153" width="15.36328125" bestFit="1" customWidth="1"/>
    <col min="154" max="154" width="19.36328125" bestFit="1" customWidth="1"/>
    <col min="155" max="155" width="15.36328125" bestFit="1" customWidth="1"/>
    <col min="156" max="156" width="19.36328125" bestFit="1" customWidth="1"/>
    <col min="157" max="157" width="15.36328125" bestFit="1" customWidth="1"/>
    <col min="158" max="158" width="19.36328125" bestFit="1" customWidth="1"/>
    <col min="159" max="159" width="15.36328125" bestFit="1" customWidth="1"/>
    <col min="160" max="160" width="19.36328125" bestFit="1" customWidth="1"/>
    <col min="161" max="161" width="15.36328125" bestFit="1" customWidth="1"/>
    <col min="162" max="162" width="19.36328125" bestFit="1" customWidth="1"/>
    <col min="163" max="163" width="15.36328125" bestFit="1" customWidth="1"/>
    <col min="164" max="164" width="19.36328125" bestFit="1" customWidth="1"/>
    <col min="165" max="165" width="15.36328125" bestFit="1" customWidth="1"/>
    <col min="166" max="166" width="19.36328125" bestFit="1" customWidth="1"/>
    <col min="167" max="167" width="15.36328125" bestFit="1" customWidth="1"/>
    <col min="168" max="168" width="19.36328125" bestFit="1" customWidth="1"/>
    <col min="169" max="169" width="15.36328125" bestFit="1" customWidth="1"/>
    <col min="170" max="170" width="19.36328125" bestFit="1" customWidth="1"/>
    <col min="171" max="171" width="15.36328125" bestFit="1" customWidth="1"/>
    <col min="172" max="172" width="19.36328125" bestFit="1" customWidth="1"/>
    <col min="173" max="173" width="15.36328125" bestFit="1" customWidth="1"/>
    <col min="174" max="174" width="19.36328125" bestFit="1" customWidth="1"/>
    <col min="175" max="175" width="15.36328125" bestFit="1" customWidth="1"/>
    <col min="176" max="176" width="19.36328125" bestFit="1" customWidth="1"/>
    <col min="177" max="177" width="15.36328125" bestFit="1" customWidth="1"/>
    <col min="178" max="178" width="19.36328125" bestFit="1" customWidth="1"/>
    <col min="179" max="179" width="15.36328125" bestFit="1" customWidth="1"/>
    <col min="180" max="180" width="19.36328125" bestFit="1" customWidth="1"/>
    <col min="181" max="181" width="15.36328125" bestFit="1" customWidth="1"/>
    <col min="182" max="182" width="19.36328125" bestFit="1" customWidth="1"/>
    <col min="183" max="183" width="15.36328125" bestFit="1" customWidth="1"/>
    <col min="184" max="184" width="19.36328125" bestFit="1" customWidth="1"/>
    <col min="185" max="185" width="15.36328125" bestFit="1" customWidth="1"/>
    <col min="186" max="186" width="19.36328125" bestFit="1" customWidth="1"/>
    <col min="187" max="187" width="15.36328125" bestFit="1" customWidth="1"/>
    <col min="188" max="188" width="19.36328125" bestFit="1" customWidth="1"/>
    <col min="189" max="189" width="15.36328125" bestFit="1" customWidth="1"/>
    <col min="190" max="190" width="19.36328125" bestFit="1" customWidth="1"/>
    <col min="191" max="191" width="15.36328125" bestFit="1" customWidth="1"/>
    <col min="192" max="192" width="19.36328125" bestFit="1" customWidth="1"/>
    <col min="193" max="193" width="15.36328125" bestFit="1" customWidth="1"/>
    <col min="194" max="194" width="19.36328125" bestFit="1" customWidth="1"/>
    <col min="195" max="195" width="15.36328125" bestFit="1" customWidth="1"/>
    <col min="196" max="196" width="19.36328125" bestFit="1" customWidth="1"/>
    <col min="197" max="197" width="15.36328125" bestFit="1" customWidth="1"/>
    <col min="198" max="198" width="19.36328125" bestFit="1" customWidth="1"/>
    <col min="199" max="199" width="15.36328125" bestFit="1" customWidth="1"/>
    <col min="200" max="200" width="19.36328125" bestFit="1" customWidth="1"/>
    <col min="201" max="201" width="15.36328125" bestFit="1" customWidth="1"/>
    <col min="202" max="202" width="19.36328125" bestFit="1" customWidth="1"/>
    <col min="203" max="203" width="15.36328125" bestFit="1" customWidth="1"/>
    <col min="204" max="204" width="19.36328125" bestFit="1" customWidth="1"/>
    <col min="205" max="205" width="15.36328125" bestFit="1" customWidth="1"/>
    <col min="206" max="206" width="19.36328125" bestFit="1" customWidth="1"/>
    <col min="207" max="207" width="15.36328125" bestFit="1" customWidth="1"/>
    <col min="208" max="208" width="19.36328125" bestFit="1" customWidth="1"/>
    <col min="209" max="209" width="15.36328125" bestFit="1" customWidth="1"/>
    <col min="210" max="210" width="19.36328125" bestFit="1" customWidth="1"/>
    <col min="211" max="211" width="15.36328125" bestFit="1" customWidth="1"/>
    <col min="212" max="212" width="19.36328125" bestFit="1" customWidth="1"/>
    <col min="213" max="213" width="15.36328125" bestFit="1" customWidth="1"/>
    <col min="214" max="214" width="19.36328125" bestFit="1" customWidth="1"/>
    <col min="215" max="215" width="15.36328125" bestFit="1" customWidth="1"/>
    <col min="216" max="216" width="19.36328125" bestFit="1" customWidth="1"/>
    <col min="217" max="217" width="15.36328125" bestFit="1" customWidth="1"/>
    <col min="218" max="218" width="19.36328125" bestFit="1" customWidth="1"/>
    <col min="219" max="219" width="15.36328125" bestFit="1" customWidth="1"/>
    <col min="220" max="220" width="19.36328125" bestFit="1" customWidth="1"/>
    <col min="221" max="221" width="15.36328125" bestFit="1" customWidth="1"/>
    <col min="222" max="222" width="19.36328125" bestFit="1" customWidth="1"/>
    <col min="223" max="223" width="15.36328125" bestFit="1" customWidth="1"/>
    <col min="224" max="224" width="19.36328125" bestFit="1" customWidth="1"/>
    <col min="225" max="225" width="15.36328125" bestFit="1" customWidth="1"/>
    <col min="226" max="226" width="19.36328125" bestFit="1" customWidth="1"/>
    <col min="227" max="227" width="15.36328125" bestFit="1" customWidth="1"/>
    <col min="228" max="228" width="19.36328125" bestFit="1" customWidth="1"/>
    <col min="229" max="229" width="15.36328125" bestFit="1" customWidth="1"/>
    <col min="230" max="230" width="19.36328125" bestFit="1" customWidth="1"/>
    <col min="231" max="231" width="15.36328125" bestFit="1" customWidth="1"/>
    <col min="232" max="232" width="19.36328125" bestFit="1" customWidth="1"/>
    <col min="233" max="233" width="15.36328125" bestFit="1" customWidth="1"/>
    <col min="234" max="234" width="19.36328125" bestFit="1" customWidth="1"/>
    <col min="235" max="235" width="15.36328125" bestFit="1" customWidth="1"/>
    <col min="236" max="236" width="19.36328125" bestFit="1" customWidth="1"/>
    <col min="237" max="237" width="15.36328125" bestFit="1" customWidth="1"/>
    <col min="238" max="238" width="19.36328125" bestFit="1" customWidth="1"/>
    <col min="239" max="239" width="15.36328125" bestFit="1" customWidth="1"/>
    <col min="240" max="240" width="19.36328125" bestFit="1" customWidth="1"/>
    <col min="241" max="241" width="15.36328125" bestFit="1" customWidth="1"/>
    <col min="242" max="242" width="19.36328125" bestFit="1" customWidth="1"/>
    <col min="243" max="243" width="15.36328125" bestFit="1" customWidth="1"/>
    <col min="244" max="244" width="19.36328125" bestFit="1" customWidth="1"/>
    <col min="245" max="245" width="15.36328125" bestFit="1" customWidth="1"/>
    <col min="246" max="246" width="19.36328125" bestFit="1" customWidth="1"/>
    <col min="247" max="247" width="15.36328125" bestFit="1" customWidth="1"/>
    <col min="248" max="248" width="19.36328125" bestFit="1" customWidth="1"/>
    <col min="249" max="249" width="15.36328125" bestFit="1" customWidth="1"/>
    <col min="250" max="250" width="19.36328125" bestFit="1" customWidth="1"/>
    <col min="251" max="251" width="15.36328125" bestFit="1" customWidth="1"/>
    <col min="252" max="252" width="19.36328125" bestFit="1" customWidth="1"/>
    <col min="253" max="253" width="15.36328125" bestFit="1" customWidth="1"/>
    <col min="254" max="254" width="19.36328125" bestFit="1" customWidth="1"/>
    <col min="255" max="255" width="15.36328125" bestFit="1" customWidth="1"/>
    <col min="256" max="256" width="19.36328125" bestFit="1" customWidth="1"/>
    <col min="257" max="257" width="15.36328125" bestFit="1" customWidth="1"/>
    <col min="258" max="258" width="19.36328125" bestFit="1" customWidth="1"/>
    <col min="259" max="259" width="15.36328125" bestFit="1" customWidth="1"/>
    <col min="260" max="260" width="19.36328125" bestFit="1" customWidth="1"/>
    <col min="261" max="261" width="15.36328125" bestFit="1" customWidth="1"/>
    <col min="262" max="262" width="19.36328125" bestFit="1" customWidth="1"/>
    <col min="263" max="263" width="15.36328125" bestFit="1" customWidth="1"/>
    <col min="264" max="264" width="19.36328125" bestFit="1" customWidth="1"/>
    <col min="265" max="265" width="15.36328125" bestFit="1" customWidth="1"/>
    <col min="266" max="266" width="19.36328125" bestFit="1" customWidth="1"/>
    <col min="267" max="267" width="15.36328125" bestFit="1" customWidth="1"/>
    <col min="268" max="268" width="19.36328125" bestFit="1" customWidth="1"/>
    <col min="269" max="269" width="15.36328125" bestFit="1" customWidth="1"/>
    <col min="270" max="270" width="19.36328125" bestFit="1" customWidth="1"/>
    <col min="271" max="271" width="15.36328125" bestFit="1" customWidth="1"/>
    <col min="272" max="272" width="19.36328125" bestFit="1" customWidth="1"/>
    <col min="273" max="273" width="15.36328125" bestFit="1" customWidth="1"/>
    <col min="274" max="274" width="19.36328125" bestFit="1" customWidth="1"/>
    <col min="275" max="275" width="15.36328125" bestFit="1" customWidth="1"/>
    <col min="276" max="276" width="19.36328125" bestFit="1" customWidth="1"/>
    <col min="277" max="277" width="15.36328125" bestFit="1" customWidth="1"/>
    <col min="278" max="278" width="19.36328125" bestFit="1" customWidth="1"/>
    <col min="279" max="279" width="15.36328125" bestFit="1" customWidth="1"/>
    <col min="280" max="280" width="19.36328125" bestFit="1" customWidth="1"/>
    <col min="281" max="281" width="15.36328125" bestFit="1" customWidth="1"/>
    <col min="282" max="282" width="19.36328125" bestFit="1" customWidth="1"/>
    <col min="283" max="283" width="15.36328125" bestFit="1" customWidth="1"/>
    <col min="284" max="284" width="19.36328125" bestFit="1" customWidth="1"/>
    <col min="285" max="285" width="15.36328125" bestFit="1" customWidth="1"/>
    <col min="286" max="286" width="19.36328125" bestFit="1" customWidth="1"/>
    <col min="287" max="287" width="15.36328125" bestFit="1" customWidth="1"/>
    <col min="288" max="288" width="19.36328125" bestFit="1" customWidth="1"/>
    <col min="289" max="289" width="15.36328125" bestFit="1" customWidth="1"/>
    <col min="290" max="290" width="19.36328125" bestFit="1" customWidth="1"/>
    <col min="291" max="291" width="15.36328125" bestFit="1" customWidth="1"/>
    <col min="292" max="292" width="19.36328125" bestFit="1" customWidth="1"/>
    <col min="293" max="293" width="15.36328125" bestFit="1" customWidth="1"/>
    <col min="294" max="294" width="19.36328125" bestFit="1" customWidth="1"/>
    <col min="295" max="295" width="15.36328125" bestFit="1" customWidth="1"/>
    <col min="296" max="296" width="19.36328125" bestFit="1" customWidth="1"/>
    <col min="297" max="297" width="15.36328125" bestFit="1" customWidth="1"/>
    <col min="298" max="298" width="19.36328125" bestFit="1" customWidth="1"/>
    <col min="299" max="299" width="15.36328125" bestFit="1" customWidth="1"/>
    <col min="300" max="300" width="19.36328125" bestFit="1" customWidth="1"/>
    <col min="301" max="301" width="15.36328125" bestFit="1" customWidth="1"/>
    <col min="302" max="302" width="19.36328125" bestFit="1" customWidth="1"/>
    <col min="303" max="303" width="15.36328125" bestFit="1" customWidth="1"/>
    <col min="304" max="304" width="19.36328125" bestFit="1" customWidth="1"/>
    <col min="305" max="305" width="15.36328125" bestFit="1" customWidth="1"/>
    <col min="306" max="306" width="19.36328125" bestFit="1" customWidth="1"/>
    <col min="307" max="307" width="15.36328125" bestFit="1" customWidth="1"/>
    <col min="308" max="308" width="19.36328125" bestFit="1" customWidth="1"/>
    <col min="309" max="309" width="15.36328125" bestFit="1" customWidth="1"/>
    <col min="310" max="310" width="19.36328125" bestFit="1" customWidth="1"/>
    <col min="311" max="311" width="15.36328125" bestFit="1" customWidth="1"/>
    <col min="312" max="312" width="19.36328125" bestFit="1" customWidth="1"/>
    <col min="313" max="313" width="15.36328125" bestFit="1" customWidth="1"/>
    <col min="314" max="314" width="19.36328125" bestFit="1" customWidth="1"/>
    <col min="315" max="315" width="15.36328125" bestFit="1" customWidth="1"/>
    <col min="316" max="316" width="19.36328125" bestFit="1" customWidth="1"/>
    <col min="317" max="317" width="15.36328125" bestFit="1" customWidth="1"/>
    <col min="318" max="318" width="19.36328125" bestFit="1" customWidth="1"/>
    <col min="319" max="319" width="15.36328125" bestFit="1" customWidth="1"/>
    <col min="320" max="320" width="19.36328125" bestFit="1" customWidth="1"/>
    <col min="321" max="321" width="15.36328125" bestFit="1" customWidth="1"/>
    <col min="322" max="322" width="19.36328125" bestFit="1" customWidth="1"/>
    <col min="323" max="323" width="15.36328125" bestFit="1" customWidth="1"/>
    <col min="324" max="324" width="19.36328125" bestFit="1" customWidth="1"/>
    <col min="325" max="325" width="15.36328125" bestFit="1" customWidth="1"/>
    <col min="326" max="326" width="19.36328125" bestFit="1" customWidth="1"/>
    <col min="327" max="327" width="15.36328125" bestFit="1" customWidth="1"/>
    <col min="328" max="328" width="19.36328125" bestFit="1" customWidth="1"/>
    <col min="329" max="329" width="15.36328125" bestFit="1" customWidth="1"/>
    <col min="330" max="330" width="19.36328125" bestFit="1" customWidth="1"/>
    <col min="331" max="331" width="15.36328125" bestFit="1" customWidth="1"/>
    <col min="332" max="332" width="19.36328125" bestFit="1" customWidth="1"/>
    <col min="333" max="333" width="15.36328125" bestFit="1" customWidth="1"/>
    <col min="334" max="334" width="19.36328125" bestFit="1" customWidth="1"/>
    <col min="335" max="335" width="15.36328125" bestFit="1" customWidth="1"/>
    <col min="336" max="336" width="19.36328125" bestFit="1" customWidth="1"/>
    <col min="337" max="337" width="15.36328125" bestFit="1" customWidth="1"/>
    <col min="338" max="338" width="19.36328125" bestFit="1" customWidth="1"/>
    <col min="339" max="339" width="15.36328125" bestFit="1" customWidth="1"/>
    <col min="340" max="340" width="19.36328125" bestFit="1" customWidth="1"/>
    <col min="341" max="341" width="15.36328125" bestFit="1" customWidth="1"/>
    <col min="342" max="342" width="19.36328125" bestFit="1" customWidth="1"/>
    <col min="343" max="343" width="15.36328125" bestFit="1" customWidth="1"/>
    <col min="344" max="344" width="19.36328125" bestFit="1" customWidth="1"/>
    <col min="345" max="345" width="15.36328125" bestFit="1" customWidth="1"/>
    <col min="346" max="346" width="19.36328125" bestFit="1" customWidth="1"/>
    <col min="347" max="347" width="15.36328125" bestFit="1" customWidth="1"/>
    <col min="348" max="348" width="19.36328125" bestFit="1" customWidth="1"/>
    <col min="349" max="349" width="15.36328125" bestFit="1" customWidth="1"/>
    <col min="350" max="350" width="19.36328125" bestFit="1" customWidth="1"/>
    <col min="351" max="351" width="15.36328125" bestFit="1" customWidth="1"/>
    <col min="352" max="352" width="19.36328125" bestFit="1" customWidth="1"/>
    <col min="353" max="353" width="15.36328125" bestFit="1" customWidth="1"/>
    <col min="354" max="354" width="19.36328125" bestFit="1" customWidth="1"/>
    <col min="355" max="355" width="15.36328125" bestFit="1" customWidth="1"/>
    <col min="356" max="356" width="23.81640625" bestFit="1" customWidth="1"/>
    <col min="357" max="357" width="19.81640625" bestFit="1" customWidth="1"/>
    <col min="358" max="358" width="19.36328125" bestFit="1" customWidth="1"/>
    <col min="359" max="359" width="15.36328125" bestFit="1" customWidth="1"/>
    <col min="360" max="360" width="19.36328125" bestFit="1" customWidth="1"/>
    <col min="361" max="361" width="15.36328125" bestFit="1" customWidth="1"/>
    <col min="362" max="362" width="19.36328125" bestFit="1" customWidth="1"/>
    <col min="363" max="363" width="15.36328125" bestFit="1" customWidth="1"/>
    <col min="364" max="364" width="19.36328125" bestFit="1" customWidth="1"/>
    <col min="365" max="365" width="15.36328125" bestFit="1" customWidth="1"/>
    <col min="366" max="366" width="19.36328125" bestFit="1" customWidth="1"/>
    <col min="367" max="367" width="15.36328125" bestFit="1" customWidth="1"/>
    <col min="368" max="368" width="19.36328125" bestFit="1" customWidth="1"/>
    <col min="369" max="369" width="15.36328125" bestFit="1" customWidth="1"/>
    <col min="370" max="370" width="19.36328125" bestFit="1" customWidth="1"/>
    <col min="371" max="371" width="15.36328125" bestFit="1" customWidth="1"/>
    <col min="372" max="372" width="19.36328125" bestFit="1" customWidth="1"/>
    <col min="373" max="373" width="15.36328125" bestFit="1" customWidth="1"/>
    <col min="374" max="374" width="19.36328125" bestFit="1" customWidth="1"/>
    <col min="375" max="375" width="15.36328125" bestFit="1" customWidth="1"/>
    <col min="376" max="376" width="19.36328125" bestFit="1" customWidth="1"/>
    <col min="377" max="377" width="15.36328125" bestFit="1" customWidth="1"/>
    <col min="378" max="378" width="19.36328125" bestFit="1" customWidth="1"/>
    <col min="379" max="379" width="15.36328125" bestFit="1" customWidth="1"/>
    <col min="380" max="380" width="19.36328125" bestFit="1" customWidth="1"/>
    <col min="381" max="381" width="15.36328125" bestFit="1" customWidth="1"/>
    <col min="382" max="382" width="19.36328125" bestFit="1" customWidth="1"/>
    <col min="383" max="383" width="15.36328125" bestFit="1" customWidth="1"/>
    <col min="384" max="384" width="19.36328125" bestFit="1" customWidth="1"/>
    <col min="385" max="385" width="15.36328125" bestFit="1" customWidth="1"/>
    <col min="386" max="386" width="19.36328125" bestFit="1" customWidth="1"/>
    <col min="387" max="387" width="15.36328125" bestFit="1" customWidth="1"/>
    <col min="388" max="388" width="19.36328125" bestFit="1" customWidth="1"/>
    <col min="389" max="389" width="15.36328125" bestFit="1" customWidth="1"/>
    <col min="390" max="390" width="19.36328125" bestFit="1" customWidth="1"/>
    <col min="391" max="391" width="15.36328125" bestFit="1" customWidth="1"/>
    <col min="392" max="392" width="19.36328125" bestFit="1" customWidth="1"/>
    <col min="393" max="393" width="15.36328125" bestFit="1" customWidth="1"/>
    <col min="394" max="394" width="19.36328125" bestFit="1" customWidth="1"/>
    <col min="395" max="395" width="15.36328125" bestFit="1" customWidth="1"/>
    <col min="396" max="396" width="19.36328125" bestFit="1" customWidth="1"/>
    <col min="397" max="397" width="15.36328125" bestFit="1" customWidth="1"/>
    <col min="398" max="398" width="19.36328125" bestFit="1" customWidth="1"/>
    <col min="399" max="399" width="15.36328125" bestFit="1" customWidth="1"/>
    <col min="400" max="400" width="19.36328125" bestFit="1" customWidth="1"/>
    <col min="401" max="401" width="15.36328125" bestFit="1" customWidth="1"/>
    <col min="402" max="402" width="19.36328125" bestFit="1" customWidth="1"/>
    <col min="403" max="403" width="15.36328125" bestFit="1" customWidth="1"/>
    <col min="404" max="404" width="19.36328125" bestFit="1" customWidth="1"/>
    <col min="405" max="405" width="15.36328125" bestFit="1" customWidth="1"/>
    <col min="406" max="406" width="19.36328125" bestFit="1" customWidth="1"/>
    <col min="407" max="407" width="15.36328125" bestFit="1" customWidth="1"/>
    <col min="408" max="408" width="19.36328125" bestFit="1" customWidth="1"/>
    <col min="409" max="409" width="15.36328125" bestFit="1" customWidth="1"/>
    <col min="410" max="410" width="19.36328125" bestFit="1" customWidth="1"/>
    <col min="411" max="411" width="15.36328125" bestFit="1" customWidth="1"/>
    <col min="412" max="412" width="19.36328125" bestFit="1" customWidth="1"/>
    <col min="413" max="413" width="15.36328125" bestFit="1" customWidth="1"/>
    <col min="414" max="414" width="19.36328125" bestFit="1" customWidth="1"/>
    <col min="415" max="415" width="15.36328125" bestFit="1" customWidth="1"/>
    <col min="416" max="416" width="19.36328125" bestFit="1" customWidth="1"/>
    <col min="417" max="417" width="15.36328125" bestFit="1" customWidth="1"/>
    <col min="418" max="418" width="19.36328125" bestFit="1" customWidth="1"/>
    <col min="419" max="419" width="15.36328125" bestFit="1" customWidth="1"/>
    <col min="420" max="420" width="19.36328125" bestFit="1" customWidth="1"/>
    <col min="421" max="421" width="15.36328125" bestFit="1" customWidth="1"/>
    <col min="422" max="422" width="19.36328125" bestFit="1" customWidth="1"/>
    <col min="423" max="423" width="15.36328125" bestFit="1" customWidth="1"/>
    <col min="424" max="424" width="19.36328125" bestFit="1" customWidth="1"/>
    <col min="425" max="425" width="15.36328125" bestFit="1" customWidth="1"/>
    <col min="426" max="426" width="19.36328125" bestFit="1" customWidth="1"/>
    <col min="427" max="427" width="15.36328125" bestFit="1" customWidth="1"/>
    <col min="428" max="428" width="19.36328125" bestFit="1" customWidth="1"/>
    <col min="429" max="429" width="15.36328125" bestFit="1" customWidth="1"/>
    <col min="430" max="430" width="19.36328125" bestFit="1" customWidth="1"/>
    <col min="431" max="431" width="15.36328125" bestFit="1" customWidth="1"/>
    <col min="432" max="432" width="19.36328125" bestFit="1" customWidth="1"/>
    <col min="433" max="433" width="15.36328125" bestFit="1" customWidth="1"/>
    <col min="434" max="434" width="19.36328125" bestFit="1" customWidth="1"/>
    <col min="435" max="435" width="15.36328125" bestFit="1" customWidth="1"/>
    <col min="436" max="436" width="19.36328125" bestFit="1" customWidth="1"/>
    <col min="437" max="437" width="15.36328125" bestFit="1" customWidth="1"/>
    <col min="438" max="438" width="19.36328125" bestFit="1" customWidth="1"/>
    <col min="439" max="439" width="15.36328125" bestFit="1" customWidth="1"/>
    <col min="440" max="440" width="19.36328125" bestFit="1" customWidth="1"/>
    <col min="441" max="441" width="15.36328125" bestFit="1" customWidth="1"/>
    <col min="442" max="442" width="19.36328125" bestFit="1" customWidth="1"/>
    <col min="443" max="443" width="15.36328125" bestFit="1" customWidth="1"/>
    <col min="444" max="444" width="19.36328125" bestFit="1" customWidth="1"/>
    <col min="445" max="445" width="15.36328125" bestFit="1" customWidth="1"/>
    <col min="446" max="446" width="19.36328125" bestFit="1" customWidth="1"/>
    <col min="447" max="447" width="15.36328125" bestFit="1" customWidth="1"/>
    <col min="448" max="448" width="19.36328125" bestFit="1" customWidth="1"/>
    <col min="449" max="449" width="15.36328125" bestFit="1" customWidth="1"/>
    <col min="450" max="450" width="19.36328125" bestFit="1" customWidth="1"/>
    <col min="451" max="451" width="15.36328125" bestFit="1" customWidth="1"/>
    <col min="452" max="452" width="19.36328125" bestFit="1" customWidth="1"/>
    <col min="453" max="453" width="15.36328125" bestFit="1" customWidth="1"/>
    <col min="454" max="454" width="19.36328125" bestFit="1" customWidth="1"/>
    <col min="455" max="455" width="15.36328125" bestFit="1" customWidth="1"/>
    <col min="456" max="456" width="19.36328125" bestFit="1" customWidth="1"/>
    <col min="457" max="457" width="15.36328125" bestFit="1" customWidth="1"/>
    <col min="458" max="458" width="19.36328125" bestFit="1" customWidth="1"/>
    <col min="459" max="459" width="15.36328125" bestFit="1" customWidth="1"/>
    <col min="460" max="460" width="19.36328125" bestFit="1" customWidth="1"/>
    <col min="461" max="461" width="15.36328125" bestFit="1" customWidth="1"/>
    <col min="462" max="462" width="19.36328125" bestFit="1" customWidth="1"/>
    <col min="463" max="463" width="15.36328125" bestFit="1" customWidth="1"/>
    <col min="464" max="464" width="19.36328125" bestFit="1" customWidth="1"/>
    <col min="465" max="465" width="15.36328125" bestFit="1" customWidth="1"/>
    <col min="466" max="466" width="19.36328125" bestFit="1" customWidth="1"/>
    <col min="467" max="467" width="15.36328125" bestFit="1" customWidth="1"/>
    <col min="468" max="468" width="19.36328125" bestFit="1" customWidth="1"/>
    <col min="469" max="469" width="15.36328125" bestFit="1" customWidth="1"/>
    <col min="470" max="470" width="19.36328125" bestFit="1" customWidth="1"/>
    <col min="471" max="471" width="15.36328125" bestFit="1" customWidth="1"/>
    <col min="472" max="472" width="19.36328125" bestFit="1" customWidth="1"/>
    <col min="473" max="473" width="15.36328125" bestFit="1" customWidth="1"/>
    <col min="474" max="474" width="19.36328125" bestFit="1" customWidth="1"/>
    <col min="475" max="475" width="15.36328125" bestFit="1" customWidth="1"/>
    <col min="476" max="476" width="19.36328125" bestFit="1" customWidth="1"/>
    <col min="477" max="477" width="15.36328125" bestFit="1" customWidth="1"/>
    <col min="478" max="478" width="19.36328125" bestFit="1" customWidth="1"/>
    <col min="479" max="479" width="15.36328125" bestFit="1" customWidth="1"/>
    <col min="480" max="480" width="19.36328125" bestFit="1" customWidth="1"/>
    <col min="481" max="481" width="15.36328125" bestFit="1" customWidth="1"/>
    <col min="482" max="482" width="19.36328125" bestFit="1" customWidth="1"/>
    <col min="483" max="483" width="15.36328125" bestFit="1" customWidth="1"/>
    <col min="484" max="484" width="19.36328125" bestFit="1" customWidth="1"/>
    <col min="485" max="485" width="15.36328125" bestFit="1" customWidth="1"/>
    <col min="486" max="486" width="19.36328125" bestFit="1" customWidth="1"/>
    <col min="487" max="487" width="15.36328125" bestFit="1" customWidth="1"/>
    <col min="488" max="488" width="19.36328125" bestFit="1" customWidth="1"/>
    <col min="489" max="489" width="15.36328125" bestFit="1" customWidth="1"/>
    <col min="490" max="490" width="19.36328125" bestFit="1" customWidth="1"/>
    <col min="491" max="491" width="15.36328125" bestFit="1" customWidth="1"/>
    <col min="492" max="492" width="19.36328125" bestFit="1" customWidth="1"/>
    <col min="493" max="493" width="15.36328125" bestFit="1" customWidth="1"/>
    <col min="494" max="494" width="19.36328125" bestFit="1" customWidth="1"/>
    <col min="495" max="495" width="15.36328125" bestFit="1" customWidth="1"/>
    <col min="496" max="496" width="19.36328125" bestFit="1" customWidth="1"/>
    <col min="497" max="497" width="15.36328125" bestFit="1" customWidth="1"/>
    <col min="498" max="498" width="19.36328125" bestFit="1" customWidth="1"/>
    <col min="499" max="499" width="15.36328125" bestFit="1" customWidth="1"/>
    <col min="500" max="500" width="19.36328125" bestFit="1" customWidth="1"/>
    <col min="501" max="501" width="15.36328125" bestFit="1" customWidth="1"/>
    <col min="502" max="502" width="19.36328125" bestFit="1" customWidth="1"/>
    <col min="503" max="503" width="15.36328125" bestFit="1" customWidth="1"/>
    <col min="504" max="504" width="19.36328125" bestFit="1" customWidth="1"/>
    <col min="505" max="505" width="15.36328125" bestFit="1" customWidth="1"/>
    <col min="506" max="506" width="19.36328125" bestFit="1" customWidth="1"/>
    <col min="507" max="507" width="15.36328125" bestFit="1" customWidth="1"/>
    <col min="508" max="508" width="19.36328125" bestFit="1" customWidth="1"/>
    <col min="509" max="509" width="15.36328125" bestFit="1" customWidth="1"/>
    <col min="510" max="510" width="19.36328125" bestFit="1" customWidth="1"/>
    <col min="511" max="511" width="15.36328125" bestFit="1" customWidth="1"/>
    <col min="512" max="512" width="19.36328125" bestFit="1" customWidth="1"/>
    <col min="513" max="513" width="15.36328125" bestFit="1" customWidth="1"/>
    <col min="514" max="514" width="19.36328125" bestFit="1" customWidth="1"/>
    <col min="515" max="515" width="15.36328125" bestFit="1" customWidth="1"/>
    <col min="516" max="516" width="19.36328125" bestFit="1" customWidth="1"/>
    <col min="517" max="517" width="15.36328125" bestFit="1" customWidth="1"/>
    <col min="518" max="518" width="19.36328125" bestFit="1" customWidth="1"/>
    <col min="519" max="519" width="15.36328125" bestFit="1" customWidth="1"/>
    <col min="520" max="520" width="19.36328125" bestFit="1" customWidth="1"/>
    <col min="521" max="521" width="15.36328125" bestFit="1" customWidth="1"/>
    <col min="522" max="522" width="19.36328125" bestFit="1" customWidth="1"/>
    <col min="523" max="523" width="15.36328125" bestFit="1" customWidth="1"/>
    <col min="524" max="524" width="19.36328125" bestFit="1" customWidth="1"/>
    <col min="525" max="525" width="15.36328125" bestFit="1" customWidth="1"/>
    <col min="526" max="526" width="19.36328125" bestFit="1" customWidth="1"/>
    <col min="527" max="527" width="15.36328125" bestFit="1" customWidth="1"/>
    <col min="528" max="528" width="19.36328125" bestFit="1" customWidth="1"/>
    <col min="529" max="529" width="15.36328125" bestFit="1" customWidth="1"/>
    <col min="530" max="530" width="19.36328125" bestFit="1" customWidth="1"/>
    <col min="531" max="531" width="15.36328125" bestFit="1" customWidth="1"/>
    <col min="532" max="532" width="19.36328125" bestFit="1" customWidth="1"/>
    <col min="533" max="533" width="15.36328125" bestFit="1" customWidth="1"/>
    <col min="534" max="534" width="19.36328125" bestFit="1" customWidth="1"/>
    <col min="535" max="535" width="15.36328125" bestFit="1" customWidth="1"/>
    <col min="536" max="536" width="19.36328125" bestFit="1" customWidth="1"/>
    <col min="537" max="537" width="15.36328125" bestFit="1" customWidth="1"/>
    <col min="538" max="538" width="19.36328125" bestFit="1" customWidth="1"/>
    <col min="539" max="539" width="15.36328125" bestFit="1" customWidth="1"/>
    <col min="540" max="540" width="19.36328125" bestFit="1" customWidth="1"/>
    <col min="541" max="541" width="15.36328125" bestFit="1" customWidth="1"/>
    <col min="542" max="542" width="19.36328125" bestFit="1" customWidth="1"/>
    <col min="543" max="543" width="15.36328125" bestFit="1" customWidth="1"/>
    <col min="544" max="544" width="19.36328125" bestFit="1" customWidth="1"/>
    <col min="545" max="545" width="15.36328125" bestFit="1" customWidth="1"/>
    <col min="546" max="546" width="19.36328125" bestFit="1" customWidth="1"/>
    <col min="547" max="547" width="15.36328125" bestFit="1" customWidth="1"/>
    <col min="548" max="548" width="19.36328125" bestFit="1" customWidth="1"/>
    <col min="549" max="549" width="15.36328125" bestFit="1" customWidth="1"/>
    <col min="550" max="550" width="19.36328125" bestFit="1" customWidth="1"/>
    <col min="551" max="551" width="15.36328125" bestFit="1" customWidth="1"/>
    <col min="552" max="552" width="19.36328125" bestFit="1" customWidth="1"/>
    <col min="553" max="553" width="15.36328125" bestFit="1" customWidth="1"/>
    <col min="554" max="554" width="19.36328125" bestFit="1" customWidth="1"/>
    <col min="555" max="555" width="15.36328125" bestFit="1" customWidth="1"/>
    <col min="556" max="556" width="19.36328125" bestFit="1" customWidth="1"/>
    <col min="557" max="557" width="15.36328125" bestFit="1" customWidth="1"/>
    <col min="558" max="558" width="19.36328125" bestFit="1" customWidth="1"/>
    <col min="559" max="559" width="15.36328125" bestFit="1" customWidth="1"/>
    <col min="560" max="560" width="19.36328125" bestFit="1" customWidth="1"/>
    <col min="561" max="561" width="15.36328125" bestFit="1" customWidth="1"/>
    <col min="562" max="562" width="19.36328125" bestFit="1" customWidth="1"/>
    <col min="563" max="563" width="15.36328125" bestFit="1" customWidth="1"/>
    <col min="564" max="564" width="19.36328125" bestFit="1" customWidth="1"/>
    <col min="565" max="565" width="15.36328125" bestFit="1" customWidth="1"/>
    <col min="566" max="566" width="19.36328125" bestFit="1" customWidth="1"/>
    <col min="567" max="567" width="15.36328125" bestFit="1" customWidth="1"/>
    <col min="568" max="568" width="19.36328125" bestFit="1" customWidth="1"/>
    <col min="569" max="569" width="15.36328125" bestFit="1" customWidth="1"/>
    <col min="570" max="570" width="19.36328125" bestFit="1" customWidth="1"/>
    <col min="571" max="571" width="15.36328125" bestFit="1" customWidth="1"/>
    <col min="572" max="572" width="19.36328125" bestFit="1" customWidth="1"/>
    <col min="573" max="573" width="15.36328125" bestFit="1" customWidth="1"/>
    <col min="574" max="574" width="19.36328125" bestFit="1" customWidth="1"/>
    <col min="575" max="575" width="15.36328125" bestFit="1" customWidth="1"/>
    <col min="576" max="576" width="19.36328125" bestFit="1" customWidth="1"/>
    <col min="577" max="577" width="15.36328125" bestFit="1" customWidth="1"/>
    <col min="578" max="578" width="19.36328125" bestFit="1" customWidth="1"/>
    <col min="579" max="579" width="15.36328125" bestFit="1" customWidth="1"/>
    <col min="580" max="580" width="19.36328125" bestFit="1" customWidth="1"/>
    <col min="581" max="581" width="15.36328125" bestFit="1" customWidth="1"/>
    <col min="582" max="582" width="19.36328125" bestFit="1" customWidth="1"/>
    <col min="583" max="583" width="15.36328125" bestFit="1" customWidth="1"/>
    <col min="584" max="584" width="19.36328125" bestFit="1" customWidth="1"/>
    <col min="585" max="585" width="15.36328125" bestFit="1" customWidth="1"/>
    <col min="586" max="586" width="19.36328125" bestFit="1" customWidth="1"/>
    <col min="587" max="587" width="15.36328125" bestFit="1" customWidth="1"/>
    <col min="588" max="588" width="19.36328125" bestFit="1" customWidth="1"/>
    <col min="589" max="589" width="15.36328125" bestFit="1" customWidth="1"/>
    <col min="590" max="590" width="19.36328125" bestFit="1" customWidth="1"/>
    <col min="591" max="591" width="15.36328125" bestFit="1" customWidth="1"/>
    <col min="592" max="592" width="19.36328125" bestFit="1" customWidth="1"/>
    <col min="593" max="593" width="15.36328125" bestFit="1" customWidth="1"/>
    <col min="594" max="594" width="19.36328125" bestFit="1" customWidth="1"/>
    <col min="595" max="595" width="15.36328125" bestFit="1" customWidth="1"/>
    <col min="596" max="596" width="19.36328125" bestFit="1" customWidth="1"/>
    <col min="597" max="597" width="15.36328125" bestFit="1" customWidth="1"/>
    <col min="598" max="598" width="19.36328125" bestFit="1" customWidth="1"/>
    <col min="599" max="599" width="15.36328125" bestFit="1" customWidth="1"/>
    <col min="600" max="600" width="19.36328125" bestFit="1" customWidth="1"/>
    <col min="601" max="601" width="15.36328125" bestFit="1" customWidth="1"/>
    <col min="602" max="602" width="19.36328125" bestFit="1" customWidth="1"/>
    <col min="603" max="603" width="15.36328125" bestFit="1" customWidth="1"/>
    <col min="604" max="604" width="19.36328125" bestFit="1" customWidth="1"/>
    <col min="605" max="605" width="15.36328125" bestFit="1" customWidth="1"/>
    <col min="606" max="606" width="19.36328125" bestFit="1" customWidth="1"/>
    <col min="607" max="607" width="15.36328125" bestFit="1" customWidth="1"/>
    <col min="608" max="608" width="19.36328125" bestFit="1" customWidth="1"/>
    <col min="609" max="609" width="15.36328125" bestFit="1" customWidth="1"/>
    <col min="610" max="610" width="19.36328125" bestFit="1" customWidth="1"/>
    <col min="611" max="611" width="15.36328125" bestFit="1" customWidth="1"/>
    <col min="612" max="612" width="19.36328125" bestFit="1" customWidth="1"/>
    <col min="613" max="613" width="15.36328125" bestFit="1" customWidth="1"/>
    <col min="614" max="614" width="19.36328125" bestFit="1" customWidth="1"/>
    <col min="615" max="615" width="15.36328125" bestFit="1" customWidth="1"/>
    <col min="616" max="616" width="19.36328125" bestFit="1" customWidth="1"/>
    <col min="617" max="617" width="15.36328125" bestFit="1" customWidth="1"/>
    <col min="618" max="618" width="19.36328125" bestFit="1" customWidth="1"/>
    <col min="619" max="619" width="15.36328125" bestFit="1" customWidth="1"/>
    <col min="620" max="620" width="19.36328125" bestFit="1" customWidth="1"/>
    <col min="621" max="621" width="15.36328125" bestFit="1" customWidth="1"/>
    <col min="622" max="622" width="19.36328125" bestFit="1" customWidth="1"/>
    <col min="623" max="623" width="15.36328125" bestFit="1" customWidth="1"/>
    <col min="624" max="624" width="19.36328125" bestFit="1" customWidth="1"/>
    <col min="625" max="625" width="15.36328125" bestFit="1" customWidth="1"/>
    <col min="626" max="626" width="19.36328125" bestFit="1" customWidth="1"/>
    <col min="627" max="627" width="15.36328125" bestFit="1" customWidth="1"/>
    <col min="628" max="628" width="19.36328125" bestFit="1" customWidth="1"/>
    <col min="629" max="629" width="15.36328125" bestFit="1" customWidth="1"/>
    <col min="630" max="630" width="19.36328125" bestFit="1" customWidth="1"/>
    <col min="631" max="631" width="15.36328125" bestFit="1" customWidth="1"/>
    <col min="632" max="632" width="19.36328125" bestFit="1" customWidth="1"/>
    <col min="633" max="633" width="15.36328125" bestFit="1" customWidth="1"/>
    <col min="634" max="634" width="19.36328125" bestFit="1" customWidth="1"/>
    <col min="635" max="635" width="15.36328125" bestFit="1" customWidth="1"/>
    <col min="636" max="636" width="19.36328125" bestFit="1" customWidth="1"/>
    <col min="637" max="637" width="15.36328125" bestFit="1" customWidth="1"/>
    <col min="638" max="638" width="19.36328125" bestFit="1" customWidth="1"/>
    <col min="639" max="639" width="15.36328125" bestFit="1" customWidth="1"/>
    <col min="640" max="640" width="19.36328125" bestFit="1" customWidth="1"/>
    <col min="641" max="641" width="15.36328125" bestFit="1" customWidth="1"/>
    <col min="642" max="642" width="19.36328125" bestFit="1" customWidth="1"/>
    <col min="643" max="643" width="15.36328125" bestFit="1" customWidth="1"/>
    <col min="644" max="644" width="19.36328125" bestFit="1" customWidth="1"/>
    <col min="645" max="645" width="15.36328125" bestFit="1" customWidth="1"/>
    <col min="646" max="646" width="19.36328125" bestFit="1" customWidth="1"/>
    <col min="647" max="647" width="15.36328125" bestFit="1" customWidth="1"/>
    <col min="648" max="648" width="19.36328125" bestFit="1" customWidth="1"/>
    <col min="649" max="649" width="15.36328125" bestFit="1" customWidth="1"/>
    <col min="650" max="650" width="19.36328125" bestFit="1" customWidth="1"/>
    <col min="651" max="651" width="15.36328125" bestFit="1" customWidth="1"/>
    <col min="652" max="652" width="19.36328125" bestFit="1" customWidth="1"/>
    <col min="653" max="653" width="15.36328125" bestFit="1" customWidth="1"/>
    <col min="654" max="654" width="19.36328125" bestFit="1" customWidth="1"/>
    <col min="655" max="655" width="15.36328125" bestFit="1" customWidth="1"/>
    <col min="656" max="656" width="19.36328125" bestFit="1" customWidth="1"/>
    <col min="657" max="657" width="15.36328125" bestFit="1" customWidth="1"/>
    <col min="658" max="658" width="19.36328125" bestFit="1" customWidth="1"/>
    <col min="659" max="659" width="15.36328125" bestFit="1" customWidth="1"/>
    <col min="660" max="660" width="19.36328125" bestFit="1" customWidth="1"/>
    <col min="661" max="661" width="15.36328125" bestFit="1" customWidth="1"/>
    <col min="662" max="662" width="19.36328125" bestFit="1" customWidth="1"/>
    <col min="663" max="663" width="15.36328125" bestFit="1" customWidth="1"/>
    <col min="664" max="664" width="23.81640625" bestFit="1" customWidth="1"/>
    <col min="665" max="665" width="19.81640625" bestFit="1" customWidth="1"/>
    <col min="666" max="666" width="19.36328125" bestFit="1" customWidth="1"/>
    <col min="667" max="667" width="15.36328125" bestFit="1" customWidth="1"/>
    <col min="668" max="668" width="19.36328125" bestFit="1" customWidth="1"/>
    <col min="669" max="669" width="15.36328125" bestFit="1" customWidth="1"/>
    <col min="670" max="670" width="19.36328125" bestFit="1" customWidth="1"/>
    <col min="671" max="671" width="15.36328125" bestFit="1" customWidth="1"/>
    <col min="672" max="672" width="19.36328125" bestFit="1" customWidth="1"/>
    <col min="673" max="673" width="15.36328125" bestFit="1" customWidth="1"/>
    <col min="674" max="674" width="19.36328125" bestFit="1" customWidth="1"/>
    <col min="675" max="675" width="15.36328125" bestFit="1" customWidth="1"/>
    <col min="676" max="676" width="19.36328125" bestFit="1" customWidth="1"/>
    <col min="677" max="677" width="15.36328125" bestFit="1" customWidth="1"/>
    <col min="678" max="678" width="19.36328125" bestFit="1" customWidth="1"/>
    <col min="679" max="679" width="15.36328125" bestFit="1" customWidth="1"/>
    <col min="680" max="680" width="19.36328125" bestFit="1" customWidth="1"/>
    <col min="681" max="681" width="15.36328125" bestFit="1" customWidth="1"/>
    <col min="682" max="682" width="19.36328125" bestFit="1" customWidth="1"/>
    <col min="683" max="683" width="15.36328125" bestFit="1" customWidth="1"/>
    <col min="684" max="684" width="19.36328125" bestFit="1" customWidth="1"/>
    <col min="685" max="685" width="15.36328125" bestFit="1" customWidth="1"/>
    <col min="686" max="686" width="19.36328125" bestFit="1" customWidth="1"/>
    <col min="687" max="687" width="15.36328125" bestFit="1" customWidth="1"/>
    <col min="688" max="688" width="19.36328125" bestFit="1" customWidth="1"/>
    <col min="689" max="689" width="15.36328125" bestFit="1" customWidth="1"/>
    <col min="690" max="690" width="19.36328125" bestFit="1" customWidth="1"/>
    <col min="691" max="691" width="15.36328125" bestFit="1" customWidth="1"/>
    <col min="692" max="692" width="19.36328125" bestFit="1" customWidth="1"/>
    <col min="693" max="693" width="15.36328125" bestFit="1" customWidth="1"/>
    <col min="694" max="694" width="19.36328125" bestFit="1" customWidth="1"/>
    <col min="695" max="695" width="15.36328125" bestFit="1" customWidth="1"/>
    <col min="696" max="696" width="19.36328125" bestFit="1" customWidth="1"/>
    <col min="697" max="697" width="15.36328125" bestFit="1" customWidth="1"/>
    <col min="698" max="698" width="19.36328125" bestFit="1" customWidth="1"/>
    <col min="699" max="699" width="15.36328125" bestFit="1" customWidth="1"/>
    <col min="700" max="700" width="19.36328125" bestFit="1" customWidth="1"/>
    <col min="701" max="701" width="15.36328125" bestFit="1" customWidth="1"/>
    <col min="702" max="702" width="19.36328125" bestFit="1" customWidth="1"/>
    <col min="703" max="703" width="15.36328125" bestFit="1" customWidth="1"/>
    <col min="704" max="704" width="19.36328125" bestFit="1" customWidth="1"/>
    <col min="705" max="705" width="15.36328125" bestFit="1" customWidth="1"/>
    <col min="706" max="706" width="19.36328125" bestFit="1" customWidth="1"/>
    <col min="707" max="707" width="15.36328125" bestFit="1" customWidth="1"/>
    <col min="708" max="708" width="19.36328125" bestFit="1" customWidth="1"/>
    <col min="709" max="709" width="15.36328125" bestFit="1" customWidth="1"/>
    <col min="710" max="710" width="19.36328125" bestFit="1" customWidth="1"/>
    <col min="711" max="711" width="15.36328125" bestFit="1" customWidth="1"/>
    <col min="712" max="712" width="19.36328125" bestFit="1" customWidth="1"/>
    <col min="713" max="713" width="15.36328125" bestFit="1" customWidth="1"/>
    <col min="714" max="714" width="19.36328125" bestFit="1" customWidth="1"/>
    <col min="715" max="715" width="15.36328125" bestFit="1" customWidth="1"/>
    <col min="716" max="716" width="19.36328125" bestFit="1" customWidth="1"/>
    <col min="717" max="717" width="15.36328125" bestFit="1" customWidth="1"/>
    <col min="718" max="718" width="19.36328125" bestFit="1" customWidth="1"/>
    <col min="719" max="719" width="15.36328125" bestFit="1" customWidth="1"/>
    <col min="720" max="720" width="19.36328125" bestFit="1" customWidth="1"/>
    <col min="721" max="721" width="15.36328125" bestFit="1" customWidth="1"/>
    <col min="722" max="722" width="19.36328125" bestFit="1" customWidth="1"/>
    <col min="723" max="723" width="15.36328125" bestFit="1" customWidth="1"/>
    <col min="724" max="724" width="19.36328125" bestFit="1" customWidth="1"/>
    <col min="725" max="725" width="15.36328125" bestFit="1" customWidth="1"/>
    <col min="726" max="726" width="19.36328125" bestFit="1" customWidth="1"/>
    <col min="727" max="727" width="15.36328125" bestFit="1" customWidth="1"/>
    <col min="728" max="728" width="19.36328125" bestFit="1" customWidth="1"/>
    <col min="729" max="729" width="15.36328125" bestFit="1" customWidth="1"/>
    <col min="730" max="730" width="19.36328125" bestFit="1" customWidth="1"/>
    <col min="731" max="731" width="15.36328125" bestFit="1" customWidth="1"/>
    <col min="732" max="732" width="19.36328125" bestFit="1" customWidth="1"/>
    <col min="733" max="733" width="15.36328125" bestFit="1" customWidth="1"/>
    <col min="734" max="734" width="19.36328125" bestFit="1" customWidth="1"/>
    <col min="735" max="735" width="15.36328125" bestFit="1" customWidth="1"/>
    <col min="736" max="736" width="19.36328125" bestFit="1" customWidth="1"/>
    <col min="737" max="737" width="15.36328125" bestFit="1" customWidth="1"/>
    <col min="738" max="738" width="19.36328125" bestFit="1" customWidth="1"/>
    <col min="739" max="739" width="15.36328125" bestFit="1" customWidth="1"/>
    <col min="740" max="740" width="19.36328125" bestFit="1" customWidth="1"/>
    <col min="741" max="741" width="15.36328125" bestFit="1" customWidth="1"/>
    <col min="742" max="742" width="19.36328125" bestFit="1" customWidth="1"/>
    <col min="743" max="743" width="15.36328125" bestFit="1" customWidth="1"/>
    <col min="744" max="744" width="19.36328125" bestFit="1" customWidth="1"/>
    <col min="745" max="745" width="15.36328125" bestFit="1" customWidth="1"/>
    <col min="746" max="746" width="19.36328125" bestFit="1" customWidth="1"/>
    <col min="747" max="747" width="15.36328125" bestFit="1" customWidth="1"/>
    <col min="748" max="748" width="19.36328125" bestFit="1" customWidth="1"/>
    <col min="749" max="749" width="15.36328125" bestFit="1" customWidth="1"/>
    <col min="750" max="750" width="19.36328125" bestFit="1" customWidth="1"/>
    <col min="751" max="751" width="15.36328125" bestFit="1" customWidth="1"/>
    <col min="752" max="752" width="19.36328125" bestFit="1" customWidth="1"/>
    <col min="753" max="753" width="15.36328125" bestFit="1" customWidth="1"/>
    <col min="754" max="754" width="19.36328125" bestFit="1" customWidth="1"/>
    <col min="755" max="755" width="15.36328125" bestFit="1" customWidth="1"/>
    <col min="756" max="756" width="19.36328125" bestFit="1" customWidth="1"/>
    <col min="757" max="757" width="15.36328125" bestFit="1" customWidth="1"/>
    <col min="758" max="758" width="19.36328125" bestFit="1" customWidth="1"/>
    <col min="759" max="759" width="15.36328125" bestFit="1" customWidth="1"/>
    <col min="760" max="760" width="19.36328125" bestFit="1" customWidth="1"/>
    <col min="761" max="761" width="15.36328125" bestFit="1" customWidth="1"/>
    <col min="762" max="762" width="19.36328125" bestFit="1" customWidth="1"/>
    <col min="763" max="763" width="15.36328125" bestFit="1" customWidth="1"/>
    <col min="764" max="764" width="19.36328125" bestFit="1" customWidth="1"/>
    <col min="765" max="765" width="15.36328125" bestFit="1" customWidth="1"/>
    <col min="766" max="766" width="19.36328125" bestFit="1" customWidth="1"/>
    <col min="767" max="767" width="15.36328125" bestFit="1" customWidth="1"/>
    <col min="768" max="768" width="19.36328125" bestFit="1" customWidth="1"/>
    <col min="769" max="769" width="15.36328125" bestFit="1" customWidth="1"/>
    <col min="770" max="770" width="19.36328125" bestFit="1" customWidth="1"/>
    <col min="771" max="771" width="15.36328125" bestFit="1" customWidth="1"/>
    <col min="772" max="772" width="19.36328125" bestFit="1" customWidth="1"/>
    <col min="773" max="773" width="15.36328125" bestFit="1" customWidth="1"/>
    <col min="774" max="774" width="19.36328125" bestFit="1" customWidth="1"/>
    <col min="775" max="775" width="15.36328125" bestFit="1" customWidth="1"/>
    <col min="776" max="776" width="19.36328125" bestFit="1" customWidth="1"/>
    <col min="777" max="777" width="15.36328125" bestFit="1" customWidth="1"/>
    <col min="778" max="778" width="19.36328125" bestFit="1" customWidth="1"/>
    <col min="779" max="779" width="15.36328125" bestFit="1" customWidth="1"/>
    <col min="780" max="780" width="19.36328125" bestFit="1" customWidth="1"/>
    <col min="781" max="781" width="15.36328125" bestFit="1" customWidth="1"/>
    <col min="782" max="782" width="19.36328125" bestFit="1" customWidth="1"/>
    <col min="783" max="783" width="15.36328125" bestFit="1" customWidth="1"/>
    <col min="784" max="784" width="19.36328125" bestFit="1" customWidth="1"/>
    <col min="785" max="785" width="15.36328125" bestFit="1" customWidth="1"/>
    <col min="786" max="786" width="19.36328125" bestFit="1" customWidth="1"/>
    <col min="787" max="787" width="15.36328125" bestFit="1" customWidth="1"/>
    <col min="788" max="788" width="19.36328125" bestFit="1" customWidth="1"/>
    <col min="789" max="789" width="15.36328125" bestFit="1" customWidth="1"/>
    <col min="790" max="790" width="19.36328125" bestFit="1" customWidth="1"/>
    <col min="791" max="791" width="15.36328125" bestFit="1" customWidth="1"/>
    <col min="792" max="792" width="19.36328125" bestFit="1" customWidth="1"/>
    <col min="793" max="793" width="15.36328125" bestFit="1" customWidth="1"/>
    <col min="794" max="794" width="19.36328125" bestFit="1" customWidth="1"/>
    <col min="795" max="795" width="15.36328125" bestFit="1" customWidth="1"/>
    <col min="796" max="796" width="19.36328125" bestFit="1" customWidth="1"/>
    <col min="797" max="797" width="15.36328125" bestFit="1" customWidth="1"/>
    <col min="798" max="798" width="19.36328125" bestFit="1" customWidth="1"/>
    <col min="799" max="799" width="15.36328125" bestFit="1" customWidth="1"/>
    <col min="800" max="800" width="19.36328125" bestFit="1" customWidth="1"/>
    <col min="801" max="801" width="15.36328125" bestFit="1" customWidth="1"/>
    <col min="802" max="802" width="19.36328125" bestFit="1" customWidth="1"/>
    <col min="803" max="803" width="15.36328125" bestFit="1" customWidth="1"/>
    <col min="804" max="804" width="19.36328125" bestFit="1" customWidth="1"/>
    <col min="805" max="805" width="15.36328125" bestFit="1" customWidth="1"/>
    <col min="806" max="806" width="19.36328125" bestFit="1" customWidth="1"/>
    <col min="807" max="807" width="15.36328125" bestFit="1" customWidth="1"/>
    <col min="808" max="808" width="19.36328125" bestFit="1" customWidth="1"/>
    <col min="809" max="809" width="15.36328125" bestFit="1" customWidth="1"/>
    <col min="810" max="810" width="19.36328125" bestFit="1" customWidth="1"/>
    <col min="811" max="811" width="15.36328125" bestFit="1" customWidth="1"/>
    <col min="812" max="812" width="19.36328125" bestFit="1" customWidth="1"/>
    <col min="813" max="813" width="15.36328125" bestFit="1" customWidth="1"/>
    <col min="814" max="814" width="19.36328125" bestFit="1" customWidth="1"/>
    <col min="815" max="815" width="15.36328125" bestFit="1" customWidth="1"/>
    <col min="816" max="816" width="19.36328125" bestFit="1" customWidth="1"/>
    <col min="817" max="817" width="15.36328125" bestFit="1" customWidth="1"/>
    <col min="818" max="818" width="19.36328125" bestFit="1" customWidth="1"/>
    <col min="819" max="819" width="15.36328125" bestFit="1" customWidth="1"/>
    <col min="820" max="820" width="19.36328125" bestFit="1" customWidth="1"/>
    <col min="821" max="821" width="15.36328125" bestFit="1" customWidth="1"/>
    <col min="822" max="822" width="19.36328125" bestFit="1" customWidth="1"/>
    <col min="823" max="823" width="15.36328125" bestFit="1" customWidth="1"/>
    <col min="824" max="824" width="19.36328125" bestFit="1" customWidth="1"/>
    <col min="825" max="825" width="15.36328125" bestFit="1" customWidth="1"/>
    <col min="826" max="826" width="19.36328125" bestFit="1" customWidth="1"/>
    <col min="827" max="827" width="15.36328125" bestFit="1" customWidth="1"/>
    <col min="828" max="828" width="19.36328125" bestFit="1" customWidth="1"/>
    <col min="829" max="829" width="15.36328125" bestFit="1" customWidth="1"/>
    <col min="830" max="830" width="19.36328125" bestFit="1" customWidth="1"/>
    <col min="831" max="831" width="15.36328125" bestFit="1" customWidth="1"/>
    <col min="832" max="832" width="19.36328125" bestFit="1" customWidth="1"/>
    <col min="833" max="833" width="15.36328125" bestFit="1" customWidth="1"/>
    <col min="834" max="834" width="19.36328125" bestFit="1" customWidth="1"/>
    <col min="835" max="835" width="15.36328125" bestFit="1" customWidth="1"/>
    <col min="836" max="836" width="19.36328125" bestFit="1" customWidth="1"/>
    <col min="837" max="837" width="15.36328125" bestFit="1" customWidth="1"/>
    <col min="838" max="838" width="19.36328125" bestFit="1" customWidth="1"/>
    <col min="839" max="839" width="15.36328125" bestFit="1" customWidth="1"/>
    <col min="840" max="840" width="19.36328125" bestFit="1" customWidth="1"/>
    <col min="841" max="841" width="15.36328125" bestFit="1" customWidth="1"/>
    <col min="842" max="842" width="19.36328125" bestFit="1" customWidth="1"/>
    <col min="843" max="843" width="15.36328125" bestFit="1" customWidth="1"/>
    <col min="844" max="844" width="19.36328125" bestFit="1" customWidth="1"/>
    <col min="845" max="845" width="15.36328125" bestFit="1" customWidth="1"/>
    <col min="846" max="846" width="19.36328125" bestFit="1" customWidth="1"/>
    <col min="847" max="847" width="15.36328125" bestFit="1" customWidth="1"/>
    <col min="848" max="848" width="19.36328125" bestFit="1" customWidth="1"/>
    <col min="849" max="849" width="15.36328125" bestFit="1" customWidth="1"/>
    <col min="850" max="850" width="19.36328125" bestFit="1" customWidth="1"/>
    <col min="851" max="851" width="15.36328125" bestFit="1" customWidth="1"/>
    <col min="852" max="852" width="19.36328125" bestFit="1" customWidth="1"/>
    <col min="853" max="853" width="15.36328125" bestFit="1" customWidth="1"/>
    <col min="854" max="854" width="19.36328125" bestFit="1" customWidth="1"/>
    <col min="855" max="855" width="15.36328125" bestFit="1" customWidth="1"/>
    <col min="856" max="856" width="19.36328125" bestFit="1" customWidth="1"/>
    <col min="857" max="857" width="15.36328125" bestFit="1" customWidth="1"/>
    <col min="858" max="858" width="19.36328125" bestFit="1" customWidth="1"/>
    <col min="859" max="859" width="15.36328125" bestFit="1" customWidth="1"/>
    <col min="860" max="860" width="19.36328125" bestFit="1" customWidth="1"/>
    <col min="861" max="861" width="15.36328125" bestFit="1" customWidth="1"/>
    <col min="862" max="862" width="19.36328125" bestFit="1" customWidth="1"/>
    <col min="863" max="863" width="15.36328125" bestFit="1" customWidth="1"/>
    <col min="864" max="864" width="19.36328125" bestFit="1" customWidth="1"/>
    <col min="865" max="865" width="15.36328125" bestFit="1" customWidth="1"/>
    <col min="866" max="866" width="19.36328125" bestFit="1" customWidth="1"/>
    <col min="867" max="867" width="15.36328125" bestFit="1" customWidth="1"/>
    <col min="868" max="868" width="19.36328125" bestFit="1" customWidth="1"/>
    <col min="869" max="869" width="15.36328125" bestFit="1" customWidth="1"/>
    <col min="870" max="870" width="19.36328125" bestFit="1" customWidth="1"/>
    <col min="871" max="871" width="15.36328125" bestFit="1" customWidth="1"/>
    <col min="872" max="872" width="19.36328125" bestFit="1" customWidth="1"/>
    <col min="873" max="873" width="15.36328125" bestFit="1" customWidth="1"/>
    <col min="874" max="874" width="19.36328125" bestFit="1" customWidth="1"/>
    <col min="875" max="875" width="15.36328125" bestFit="1" customWidth="1"/>
    <col min="876" max="876" width="19.36328125" bestFit="1" customWidth="1"/>
    <col min="877" max="877" width="15.36328125" bestFit="1" customWidth="1"/>
    <col min="878" max="878" width="19.36328125" bestFit="1" customWidth="1"/>
    <col min="879" max="879" width="15.36328125" bestFit="1" customWidth="1"/>
    <col min="880" max="880" width="19.36328125" bestFit="1" customWidth="1"/>
    <col min="881" max="881" width="15.36328125" bestFit="1" customWidth="1"/>
    <col min="882" max="882" width="19.36328125" bestFit="1" customWidth="1"/>
    <col min="883" max="883" width="15.36328125" bestFit="1" customWidth="1"/>
    <col min="884" max="884" width="19.36328125" bestFit="1" customWidth="1"/>
    <col min="885" max="885" width="15.36328125" bestFit="1" customWidth="1"/>
    <col min="886" max="886" width="19.36328125" bestFit="1" customWidth="1"/>
    <col min="887" max="887" width="15.36328125" bestFit="1" customWidth="1"/>
    <col min="888" max="888" width="19.36328125" bestFit="1" customWidth="1"/>
    <col min="889" max="889" width="15.36328125" bestFit="1" customWidth="1"/>
    <col min="890" max="890" width="19.36328125" bestFit="1" customWidth="1"/>
    <col min="891" max="891" width="15.36328125" bestFit="1" customWidth="1"/>
    <col min="892" max="892" width="19.36328125" bestFit="1" customWidth="1"/>
    <col min="893" max="893" width="15.36328125" bestFit="1" customWidth="1"/>
    <col min="894" max="894" width="19.36328125" bestFit="1" customWidth="1"/>
    <col min="895" max="895" width="15.36328125" bestFit="1" customWidth="1"/>
    <col min="896" max="896" width="19.36328125" bestFit="1" customWidth="1"/>
    <col min="897" max="897" width="15.36328125" bestFit="1" customWidth="1"/>
    <col min="898" max="898" width="19.36328125" bestFit="1" customWidth="1"/>
    <col min="899" max="899" width="15.36328125" bestFit="1" customWidth="1"/>
    <col min="900" max="900" width="19.36328125" bestFit="1" customWidth="1"/>
    <col min="901" max="901" width="15.36328125" bestFit="1" customWidth="1"/>
    <col min="902" max="902" width="19.36328125" bestFit="1" customWidth="1"/>
    <col min="903" max="903" width="15.36328125" bestFit="1" customWidth="1"/>
    <col min="904" max="904" width="19.36328125" bestFit="1" customWidth="1"/>
    <col min="905" max="905" width="15.36328125" bestFit="1" customWidth="1"/>
    <col min="906" max="906" width="19.36328125" bestFit="1" customWidth="1"/>
    <col min="907" max="907" width="15.36328125" bestFit="1" customWidth="1"/>
    <col min="908" max="908" width="19.36328125" bestFit="1" customWidth="1"/>
    <col min="909" max="909" width="15.36328125" bestFit="1" customWidth="1"/>
    <col min="910" max="910" width="19.36328125" bestFit="1" customWidth="1"/>
    <col min="911" max="911" width="15.36328125" bestFit="1" customWidth="1"/>
    <col min="912" max="912" width="19.36328125" bestFit="1" customWidth="1"/>
    <col min="913" max="913" width="15.36328125" bestFit="1" customWidth="1"/>
    <col min="914" max="914" width="19.36328125" bestFit="1" customWidth="1"/>
    <col min="915" max="915" width="15.36328125" bestFit="1" customWidth="1"/>
    <col min="916" max="916" width="19.36328125" bestFit="1" customWidth="1"/>
    <col min="917" max="917" width="15.36328125" bestFit="1" customWidth="1"/>
    <col min="918" max="918" width="19.36328125" bestFit="1" customWidth="1"/>
    <col min="919" max="919" width="15.36328125" bestFit="1" customWidth="1"/>
    <col min="920" max="920" width="19.36328125" bestFit="1" customWidth="1"/>
    <col min="921" max="921" width="15.36328125" bestFit="1" customWidth="1"/>
    <col min="922" max="922" width="19.36328125" bestFit="1" customWidth="1"/>
    <col min="923" max="923" width="15.36328125" bestFit="1" customWidth="1"/>
    <col min="924" max="924" width="19.36328125" bestFit="1" customWidth="1"/>
    <col min="925" max="925" width="15.36328125" bestFit="1" customWidth="1"/>
    <col min="926" max="926" width="19.36328125" bestFit="1" customWidth="1"/>
    <col min="927" max="927" width="15.36328125" bestFit="1" customWidth="1"/>
    <col min="928" max="928" width="19.36328125" bestFit="1" customWidth="1"/>
    <col min="929" max="929" width="15.36328125" bestFit="1" customWidth="1"/>
    <col min="930" max="930" width="19.36328125" bestFit="1" customWidth="1"/>
    <col min="931" max="931" width="15.36328125" bestFit="1" customWidth="1"/>
    <col min="932" max="932" width="19.36328125" bestFit="1" customWidth="1"/>
    <col min="933" max="933" width="15.36328125" bestFit="1" customWidth="1"/>
    <col min="934" max="934" width="19.36328125" bestFit="1" customWidth="1"/>
    <col min="935" max="935" width="15.36328125" bestFit="1" customWidth="1"/>
    <col min="936" max="936" width="19.36328125" bestFit="1" customWidth="1"/>
    <col min="937" max="937" width="15.36328125" bestFit="1" customWidth="1"/>
    <col min="938" max="938" width="19.36328125" bestFit="1" customWidth="1"/>
    <col min="939" max="939" width="15.36328125" bestFit="1" customWidth="1"/>
    <col min="940" max="940" width="19.36328125" bestFit="1" customWidth="1"/>
    <col min="941" max="941" width="15.36328125" bestFit="1" customWidth="1"/>
    <col min="942" max="942" width="19.36328125" bestFit="1" customWidth="1"/>
    <col min="943" max="943" width="15.36328125" bestFit="1" customWidth="1"/>
    <col min="944" max="944" width="19.36328125" bestFit="1" customWidth="1"/>
    <col min="945" max="945" width="15.36328125" bestFit="1" customWidth="1"/>
    <col min="946" max="946" width="19.36328125" bestFit="1" customWidth="1"/>
    <col min="947" max="947" width="15.36328125" bestFit="1" customWidth="1"/>
    <col min="948" max="948" width="19.36328125" bestFit="1" customWidth="1"/>
    <col min="949" max="949" width="15.36328125" bestFit="1" customWidth="1"/>
    <col min="950" max="950" width="19.36328125" bestFit="1" customWidth="1"/>
    <col min="951" max="951" width="15.36328125" bestFit="1" customWidth="1"/>
    <col min="952" max="952" width="19.36328125" bestFit="1" customWidth="1"/>
    <col min="953" max="953" width="15.36328125" bestFit="1" customWidth="1"/>
    <col min="954" max="954" width="19.36328125" bestFit="1" customWidth="1"/>
    <col min="955" max="955" width="15.36328125" bestFit="1" customWidth="1"/>
    <col min="956" max="956" width="19.36328125" bestFit="1" customWidth="1"/>
    <col min="957" max="957" width="15.36328125" bestFit="1" customWidth="1"/>
    <col min="958" max="958" width="19.36328125" bestFit="1" customWidth="1"/>
    <col min="959" max="959" width="15.36328125" bestFit="1" customWidth="1"/>
    <col min="960" max="960" width="19.36328125" bestFit="1" customWidth="1"/>
    <col min="961" max="961" width="15.36328125" bestFit="1" customWidth="1"/>
    <col min="962" max="962" width="19.36328125" bestFit="1" customWidth="1"/>
    <col min="963" max="963" width="15.36328125" bestFit="1" customWidth="1"/>
    <col min="964" max="964" width="19.36328125" bestFit="1" customWidth="1"/>
    <col min="965" max="965" width="15.36328125" bestFit="1" customWidth="1"/>
    <col min="966" max="966" width="19.36328125" bestFit="1" customWidth="1"/>
    <col min="967" max="967" width="15.36328125" bestFit="1" customWidth="1"/>
    <col min="968" max="968" width="19.36328125" bestFit="1" customWidth="1"/>
    <col min="969" max="969" width="15.36328125" bestFit="1" customWidth="1"/>
    <col min="970" max="970" width="19.36328125" bestFit="1" customWidth="1"/>
    <col min="971" max="971" width="15.36328125" bestFit="1" customWidth="1"/>
    <col min="972" max="972" width="19.36328125" bestFit="1" customWidth="1"/>
    <col min="973" max="973" width="15.36328125" bestFit="1" customWidth="1"/>
    <col min="974" max="974" width="19.36328125" bestFit="1" customWidth="1"/>
    <col min="975" max="975" width="15.36328125" bestFit="1" customWidth="1"/>
    <col min="976" max="976" width="19.36328125" bestFit="1" customWidth="1"/>
    <col min="977" max="977" width="15.36328125" bestFit="1" customWidth="1"/>
    <col min="978" max="978" width="19.36328125" bestFit="1" customWidth="1"/>
    <col min="979" max="979" width="15.36328125" bestFit="1" customWidth="1"/>
    <col min="980" max="980" width="23.81640625" bestFit="1" customWidth="1"/>
    <col min="981" max="981" width="19.81640625" bestFit="1" customWidth="1"/>
    <col min="982" max="982" width="19.36328125" bestFit="1" customWidth="1"/>
    <col min="983" max="983" width="15.36328125" bestFit="1" customWidth="1"/>
    <col min="984" max="984" width="19.36328125" bestFit="1" customWidth="1"/>
    <col min="985" max="985" width="15.36328125" bestFit="1" customWidth="1"/>
    <col min="986" max="986" width="19.36328125" bestFit="1" customWidth="1"/>
    <col min="987" max="987" width="15.36328125" bestFit="1" customWidth="1"/>
    <col min="988" max="988" width="19.36328125" bestFit="1" customWidth="1"/>
    <col min="989" max="989" width="15.36328125" bestFit="1" customWidth="1"/>
    <col min="990" max="990" width="19.36328125" bestFit="1" customWidth="1"/>
    <col min="991" max="991" width="15.36328125" bestFit="1" customWidth="1"/>
    <col min="992" max="992" width="19.36328125" bestFit="1" customWidth="1"/>
    <col min="993" max="993" width="15.36328125" bestFit="1" customWidth="1"/>
    <col min="994" max="994" width="19.36328125" bestFit="1" customWidth="1"/>
    <col min="995" max="995" width="15.36328125" bestFit="1" customWidth="1"/>
    <col min="996" max="996" width="19.36328125" bestFit="1" customWidth="1"/>
    <col min="997" max="997" width="15.36328125" bestFit="1" customWidth="1"/>
    <col min="998" max="998" width="19.36328125" bestFit="1" customWidth="1"/>
    <col min="999" max="999" width="15.36328125" bestFit="1" customWidth="1"/>
    <col min="1000" max="1000" width="19.36328125" bestFit="1" customWidth="1"/>
    <col min="1001" max="1001" width="15.36328125" bestFit="1" customWidth="1"/>
    <col min="1002" max="1002" width="19.36328125" bestFit="1" customWidth="1"/>
    <col min="1003" max="1003" width="15.36328125" bestFit="1" customWidth="1"/>
    <col min="1004" max="1004" width="19.36328125" bestFit="1" customWidth="1"/>
    <col min="1005" max="1005" width="15.36328125" bestFit="1" customWidth="1"/>
    <col min="1006" max="1006" width="19.36328125" bestFit="1" customWidth="1"/>
    <col min="1007" max="1007" width="15.36328125" bestFit="1" customWidth="1"/>
    <col min="1008" max="1008" width="19.36328125" bestFit="1" customWidth="1"/>
    <col min="1009" max="1009" width="15.36328125" bestFit="1" customWidth="1"/>
    <col min="1010" max="1010" width="19.36328125" bestFit="1" customWidth="1"/>
    <col min="1011" max="1011" width="15.36328125" bestFit="1" customWidth="1"/>
    <col min="1012" max="1012" width="19.36328125" bestFit="1" customWidth="1"/>
    <col min="1013" max="1013" width="15.36328125" bestFit="1" customWidth="1"/>
    <col min="1014" max="1014" width="19.36328125" bestFit="1" customWidth="1"/>
    <col min="1015" max="1015" width="15.36328125" bestFit="1" customWidth="1"/>
    <col min="1016" max="1016" width="19.36328125" bestFit="1" customWidth="1"/>
    <col min="1017" max="1017" width="15.36328125" bestFit="1" customWidth="1"/>
    <col min="1018" max="1018" width="19.36328125" bestFit="1" customWidth="1"/>
    <col min="1019" max="1019" width="15.36328125" bestFit="1" customWidth="1"/>
    <col min="1020" max="1020" width="19.36328125" bestFit="1" customWidth="1"/>
    <col min="1021" max="1021" width="15.36328125" bestFit="1" customWidth="1"/>
    <col min="1022" max="1022" width="19.36328125" bestFit="1" customWidth="1"/>
    <col min="1023" max="1023" width="15.36328125" bestFit="1" customWidth="1"/>
    <col min="1024" max="1024" width="19.36328125" bestFit="1" customWidth="1"/>
    <col min="1025" max="1025" width="15.36328125" bestFit="1" customWidth="1"/>
    <col min="1026" max="1026" width="19.36328125" bestFit="1" customWidth="1"/>
    <col min="1027" max="1027" width="15.36328125" bestFit="1" customWidth="1"/>
    <col min="1028" max="1028" width="19.36328125" bestFit="1" customWidth="1"/>
    <col min="1029" max="1029" width="15.36328125" bestFit="1" customWidth="1"/>
    <col min="1030" max="1030" width="19.36328125" bestFit="1" customWidth="1"/>
    <col min="1031" max="1031" width="15.36328125" bestFit="1" customWidth="1"/>
    <col min="1032" max="1032" width="19.36328125" bestFit="1" customWidth="1"/>
    <col min="1033" max="1033" width="15.36328125" bestFit="1" customWidth="1"/>
    <col min="1034" max="1034" width="19.36328125" bestFit="1" customWidth="1"/>
    <col min="1035" max="1035" width="15.36328125" bestFit="1" customWidth="1"/>
    <col min="1036" max="1036" width="19.36328125" bestFit="1" customWidth="1"/>
    <col min="1037" max="1037" width="15.36328125" bestFit="1" customWidth="1"/>
    <col min="1038" max="1038" width="19.36328125" bestFit="1" customWidth="1"/>
    <col min="1039" max="1039" width="15.36328125" bestFit="1" customWidth="1"/>
    <col min="1040" max="1040" width="19.36328125" bestFit="1" customWidth="1"/>
    <col min="1041" max="1041" width="15.36328125" bestFit="1" customWidth="1"/>
    <col min="1042" max="1042" width="19.36328125" bestFit="1" customWidth="1"/>
    <col min="1043" max="1043" width="15.36328125" bestFit="1" customWidth="1"/>
    <col min="1044" max="1044" width="19.36328125" bestFit="1" customWidth="1"/>
    <col min="1045" max="1045" width="15.36328125" bestFit="1" customWidth="1"/>
    <col min="1046" max="1046" width="19.36328125" bestFit="1" customWidth="1"/>
    <col min="1047" max="1047" width="15.36328125" bestFit="1" customWidth="1"/>
    <col min="1048" max="1048" width="19.36328125" bestFit="1" customWidth="1"/>
    <col min="1049" max="1049" width="15.36328125" bestFit="1" customWidth="1"/>
    <col min="1050" max="1050" width="19.36328125" bestFit="1" customWidth="1"/>
    <col min="1051" max="1051" width="15.36328125" bestFit="1" customWidth="1"/>
    <col min="1052" max="1052" width="19.36328125" bestFit="1" customWidth="1"/>
    <col min="1053" max="1053" width="15.36328125" bestFit="1" customWidth="1"/>
    <col min="1054" max="1054" width="19.36328125" bestFit="1" customWidth="1"/>
    <col min="1055" max="1055" width="15.36328125" bestFit="1" customWidth="1"/>
    <col min="1056" max="1056" width="19.36328125" bestFit="1" customWidth="1"/>
    <col min="1057" max="1057" width="15.36328125" bestFit="1" customWidth="1"/>
    <col min="1058" max="1058" width="19.36328125" bestFit="1" customWidth="1"/>
    <col min="1059" max="1059" width="15.36328125" bestFit="1" customWidth="1"/>
    <col min="1060" max="1060" width="19.36328125" bestFit="1" customWidth="1"/>
    <col min="1061" max="1061" width="15.36328125" bestFit="1" customWidth="1"/>
    <col min="1062" max="1062" width="19.36328125" bestFit="1" customWidth="1"/>
    <col min="1063" max="1063" width="15.36328125" bestFit="1" customWidth="1"/>
    <col min="1064" max="1064" width="19.36328125" bestFit="1" customWidth="1"/>
    <col min="1065" max="1065" width="15.36328125" bestFit="1" customWidth="1"/>
    <col min="1066" max="1066" width="19.36328125" bestFit="1" customWidth="1"/>
    <col min="1067" max="1067" width="15.36328125" bestFit="1" customWidth="1"/>
    <col min="1068" max="1068" width="19.36328125" bestFit="1" customWidth="1"/>
    <col min="1069" max="1069" width="15.36328125" bestFit="1" customWidth="1"/>
    <col min="1070" max="1070" width="19.36328125" bestFit="1" customWidth="1"/>
    <col min="1071" max="1071" width="15.36328125" bestFit="1" customWidth="1"/>
    <col min="1072" max="1072" width="19.36328125" bestFit="1" customWidth="1"/>
    <col min="1073" max="1073" width="15.36328125" bestFit="1" customWidth="1"/>
    <col min="1074" max="1074" width="19.36328125" bestFit="1" customWidth="1"/>
    <col min="1075" max="1075" width="15.36328125" bestFit="1" customWidth="1"/>
    <col min="1076" max="1076" width="19.36328125" bestFit="1" customWidth="1"/>
    <col min="1077" max="1077" width="15.36328125" bestFit="1" customWidth="1"/>
    <col min="1078" max="1078" width="19.36328125" bestFit="1" customWidth="1"/>
    <col min="1079" max="1079" width="15.36328125" bestFit="1" customWidth="1"/>
    <col min="1080" max="1080" width="19.36328125" bestFit="1" customWidth="1"/>
    <col min="1081" max="1081" width="15.36328125" bestFit="1" customWidth="1"/>
    <col min="1082" max="1082" width="19.36328125" bestFit="1" customWidth="1"/>
    <col min="1083" max="1083" width="15.36328125" bestFit="1" customWidth="1"/>
    <col min="1084" max="1084" width="19.36328125" bestFit="1" customWidth="1"/>
    <col min="1085" max="1085" width="15.36328125" bestFit="1" customWidth="1"/>
    <col min="1086" max="1086" width="19.36328125" bestFit="1" customWidth="1"/>
    <col min="1087" max="1087" width="15.36328125" bestFit="1" customWidth="1"/>
    <col min="1088" max="1088" width="19.36328125" bestFit="1" customWidth="1"/>
    <col min="1089" max="1089" width="15.36328125" bestFit="1" customWidth="1"/>
    <col min="1090" max="1090" width="19.36328125" bestFit="1" customWidth="1"/>
    <col min="1091" max="1091" width="15.36328125" bestFit="1" customWidth="1"/>
    <col min="1092" max="1092" width="19.36328125" bestFit="1" customWidth="1"/>
    <col min="1093" max="1093" width="15.36328125" bestFit="1" customWidth="1"/>
    <col min="1094" max="1094" width="19.36328125" bestFit="1" customWidth="1"/>
    <col min="1095" max="1095" width="15.36328125" bestFit="1" customWidth="1"/>
    <col min="1096" max="1096" width="19.36328125" bestFit="1" customWidth="1"/>
    <col min="1097" max="1097" width="15.36328125" bestFit="1" customWidth="1"/>
    <col min="1098" max="1098" width="19.36328125" bestFit="1" customWidth="1"/>
    <col min="1099" max="1099" width="15.36328125" bestFit="1" customWidth="1"/>
    <col min="1100" max="1100" width="19.36328125" bestFit="1" customWidth="1"/>
    <col min="1101" max="1101" width="15.36328125" bestFit="1" customWidth="1"/>
    <col min="1102" max="1102" width="19.36328125" bestFit="1" customWidth="1"/>
    <col min="1103" max="1103" width="15.36328125" bestFit="1" customWidth="1"/>
    <col min="1104" max="1104" width="19.36328125" bestFit="1" customWidth="1"/>
    <col min="1105" max="1105" width="15.36328125" bestFit="1" customWidth="1"/>
    <col min="1106" max="1106" width="19.36328125" bestFit="1" customWidth="1"/>
    <col min="1107" max="1107" width="15.36328125" bestFit="1" customWidth="1"/>
    <col min="1108" max="1108" width="19.36328125" bestFit="1" customWidth="1"/>
    <col min="1109" max="1109" width="15.36328125" bestFit="1" customWidth="1"/>
    <col min="1110" max="1110" width="19.36328125" bestFit="1" customWidth="1"/>
    <col min="1111" max="1111" width="15.36328125" bestFit="1" customWidth="1"/>
    <col min="1112" max="1112" width="19.36328125" bestFit="1" customWidth="1"/>
    <col min="1113" max="1113" width="15.36328125" bestFit="1" customWidth="1"/>
    <col min="1114" max="1114" width="19.36328125" bestFit="1" customWidth="1"/>
    <col min="1115" max="1115" width="15.36328125" bestFit="1" customWidth="1"/>
    <col min="1116" max="1116" width="19.36328125" bestFit="1" customWidth="1"/>
    <col min="1117" max="1117" width="15.36328125" bestFit="1" customWidth="1"/>
    <col min="1118" max="1118" width="19.36328125" bestFit="1" customWidth="1"/>
    <col min="1119" max="1119" width="15.36328125" bestFit="1" customWidth="1"/>
    <col min="1120" max="1120" width="19.36328125" bestFit="1" customWidth="1"/>
    <col min="1121" max="1121" width="15.36328125" bestFit="1" customWidth="1"/>
    <col min="1122" max="1122" width="19.36328125" bestFit="1" customWidth="1"/>
    <col min="1123" max="1123" width="15.36328125" bestFit="1" customWidth="1"/>
    <col min="1124" max="1124" width="19.36328125" bestFit="1" customWidth="1"/>
    <col min="1125" max="1125" width="15.36328125" bestFit="1" customWidth="1"/>
    <col min="1126" max="1126" width="19.36328125" bestFit="1" customWidth="1"/>
    <col min="1127" max="1127" width="15.36328125" bestFit="1" customWidth="1"/>
    <col min="1128" max="1128" width="19.36328125" bestFit="1" customWidth="1"/>
    <col min="1129" max="1129" width="15.36328125" bestFit="1" customWidth="1"/>
    <col min="1130" max="1130" width="19.36328125" bestFit="1" customWidth="1"/>
    <col min="1131" max="1131" width="15.36328125" bestFit="1" customWidth="1"/>
    <col min="1132" max="1132" width="19.36328125" bestFit="1" customWidth="1"/>
    <col min="1133" max="1133" width="15.36328125" bestFit="1" customWidth="1"/>
    <col min="1134" max="1134" width="19.36328125" bestFit="1" customWidth="1"/>
    <col min="1135" max="1135" width="15.36328125" bestFit="1" customWidth="1"/>
    <col min="1136" max="1136" width="19.36328125" bestFit="1" customWidth="1"/>
    <col min="1137" max="1137" width="15.36328125" bestFit="1" customWidth="1"/>
    <col min="1138" max="1138" width="19.36328125" bestFit="1" customWidth="1"/>
    <col min="1139" max="1139" width="15.36328125" bestFit="1" customWidth="1"/>
    <col min="1140" max="1140" width="19.36328125" bestFit="1" customWidth="1"/>
    <col min="1141" max="1141" width="15.36328125" bestFit="1" customWidth="1"/>
    <col min="1142" max="1142" width="19.36328125" bestFit="1" customWidth="1"/>
    <col min="1143" max="1143" width="15.36328125" bestFit="1" customWidth="1"/>
    <col min="1144" max="1144" width="19.36328125" bestFit="1" customWidth="1"/>
    <col min="1145" max="1145" width="15.36328125" bestFit="1" customWidth="1"/>
    <col min="1146" max="1146" width="19.36328125" bestFit="1" customWidth="1"/>
    <col min="1147" max="1147" width="15.36328125" bestFit="1" customWidth="1"/>
    <col min="1148" max="1148" width="19.36328125" bestFit="1" customWidth="1"/>
    <col min="1149" max="1149" width="15.36328125" bestFit="1" customWidth="1"/>
    <col min="1150" max="1150" width="19.36328125" bestFit="1" customWidth="1"/>
    <col min="1151" max="1151" width="15.36328125" bestFit="1" customWidth="1"/>
    <col min="1152" max="1152" width="19.36328125" bestFit="1" customWidth="1"/>
    <col min="1153" max="1153" width="15.36328125" bestFit="1" customWidth="1"/>
    <col min="1154" max="1154" width="19.36328125" bestFit="1" customWidth="1"/>
    <col min="1155" max="1155" width="15.36328125" bestFit="1" customWidth="1"/>
    <col min="1156" max="1156" width="19.36328125" bestFit="1" customWidth="1"/>
    <col min="1157" max="1157" width="15.36328125" bestFit="1" customWidth="1"/>
    <col min="1158" max="1158" width="19.36328125" bestFit="1" customWidth="1"/>
    <col min="1159" max="1159" width="15.36328125" bestFit="1" customWidth="1"/>
    <col min="1160" max="1160" width="19.36328125" bestFit="1" customWidth="1"/>
    <col min="1161" max="1161" width="15.36328125" bestFit="1" customWidth="1"/>
    <col min="1162" max="1162" width="19.36328125" bestFit="1" customWidth="1"/>
    <col min="1163" max="1163" width="15.36328125" bestFit="1" customWidth="1"/>
    <col min="1164" max="1164" width="19.36328125" bestFit="1" customWidth="1"/>
    <col min="1165" max="1165" width="15.36328125" bestFit="1" customWidth="1"/>
    <col min="1166" max="1166" width="19.36328125" bestFit="1" customWidth="1"/>
    <col min="1167" max="1167" width="15.36328125" bestFit="1" customWidth="1"/>
    <col min="1168" max="1168" width="19.36328125" bestFit="1" customWidth="1"/>
    <col min="1169" max="1169" width="15.36328125" bestFit="1" customWidth="1"/>
    <col min="1170" max="1170" width="19.36328125" bestFit="1" customWidth="1"/>
    <col min="1171" max="1171" width="15.36328125" bestFit="1" customWidth="1"/>
    <col min="1172" max="1172" width="19.36328125" bestFit="1" customWidth="1"/>
    <col min="1173" max="1173" width="15.36328125" bestFit="1" customWidth="1"/>
    <col min="1174" max="1174" width="19.36328125" bestFit="1" customWidth="1"/>
    <col min="1175" max="1175" width="15.36328125" bestFit="1" customWidth="1"/>
    <col min="1176" max="1176" width="19.36328125" bestFit="1" customWidth="1"/>
    <col min="1177" max="1177" width="15.36328125" bestFit="1" customWidth="1"/>
    <col min="1178" max="1178" width="19.36328125" bestFit="1" customWidth="1"/>
    <col min="1179" max="1179" width="15.36328125" bestFit="1" customWidth="1"/>
    <col min="1180" max="1180" width="19.36328125" bestFit="1" customWidth="1"/>
    <col min="1181" max="1181" width="15.36328125" bestFit="1" customWidth="1"/>
    <col min="1182" max="1182" width="19.36328125" bestFit="1" customWidth="1"/>
    <col min="1183" max="1183" width="15.36328125" bestFit="1" customWidth="1"/>
    <col min="1184" max="1184" width="19.36328125" bestFit="1" customWidth="1"/>
    <col min="1185" max="1185" width="15.36328125" bestFit="1" customWidth="1"/>
    <col min="1186" max="1186" width="19.36328125" bestFit="1" customWidth="1"/>
    <col min="1187" max="1187" width="15.36328125" bestFit="1" customWidth="1"/>
    <col min="1188" max="1188" width="19.36328125" bestFit="1" customWidth="1"/>
    <col min="1189" max="1189" width="15.36328125" bestFit="1" customWidth="1"/>
    <col min="1190" max="1190" width="19.36328125" bestFit="1" customWidth="1"/>
    <col min="1191" max="1191" width="15.36328125" bestFit="1" customWidth="1"/>
    <col min="1192" max="1192" width="19.36328125" bestFit="1" customWidth="1"/>
    <col min="1193" max="1193" width="15.36328125" bestFit="1" customWidth="1"/>
    <col min="1194" max="1194" width="19.36328125" bestFit="1" customWidth="1"/>
    <col min="1195" max="1195" width="15.36328125" bestFit="1" customWidth="1"/>
    <col min="1196" max="1196" width="19.36328125" bestFit="1" customWidth="1"/>
    <col min="1197" max="1197" width="15.36328125" bestFit="1" customWidth="1"/>
    <col min="1198" max="1198" width="19.36328125" bestFit="1" customWidth="1"/>
    <col min="1199" max="1199" width="15.36328125" bestFit="1" customWidth="1"/>
    <col min="1200" max="1200" width="19.36328125" bestFit="1" customWidth="1"/>
    <col min="1201" max="1201" width="15.36328125" bestFit="1" customWidth="1"/>
    <col min="1202" max="1202" width="19.36328125" bestFit="1" customWidth="1"/>
    <col min="1203" max="1203" width="15.36328125" bestFit="1" customWidth="1"/>
    <col min="1204" max="1204" width="19.36328125" bestFit="1" customWidth="1"/>
    <col min="1205" max="1205" width="15.36328125" bestFit="1" customWidth="1"/>
    <col min="1206" max="1206" width="19.36328125" bestFit="1" customWidth="1"/>
    <col min="1207" max="1207" width="15.36328125" bestFit="1" customWidth="1"/>
    <col min="1208" max="1208" width="19.36328125" bestFit="1" customWidth="1"/>
    <col min="1209" max="1209" width="15.36328125" bestFit="1" customWidth="1"/>
    <col min="1210" max="1210" width="19.36328125" bestFit="1" customWidth="1"/>
    <col min="1211" max="1211" width="15.36328125" bestFit="1" customWidth="1"/>
    <col min="1212" max="1212" width="19.36328125" bestFit="1" customWidth="1"/>
    <col min="1213" max="1213" width="15.36328125" bestFit="1" customWidth="1"/>
    <col min="1214" max="1214" width="19.36328125" bestFit="1" customWidth="1"/>
    <col min="1215" max="1215" width="15.36328125" bestFit="1" customWidth="1"/>
    <col min="1216" max="1216" width="19.36328125" bestFit="1" customWidth="1"/>
    <col min="1217" max="1217" width="15.36328125" bestFit="1" customWidth="1"/>
    <col min="1218" max="1218" width="19.36328125" bestFit="1" customWidth="1"/>
    <col min="1219" max="1219" width="15.36328125" bestFit="1" customWidth="1"/>
    <col min="1220" max="1220" width="19.36328125" bestFit="1" customWidth="1"/>
    <col min="1221" max="1221" width="15.36328125" bestFit="1" customWidth="1"/>
    <col min="1222" max="1222" width="19.36328125" bestFit="1" customWidth="1"/>
    <col min="1223" max="1223" width="15.36328125" bestFit="1" customWidth="1"/>
    <col min="1224" max="1224" width="19.36328125" bestFit="1" customWidth="1"/>
    <col min="1225" max="1225" width="15.36328125" bestFit="1" customWidth="1"/>
    <col min="1226" max="1226" width="19.36328125" bestFit="1" customWidth="1"/>
    <col min="1227" max="1227" width="15.36328125" bestFit="1" customWidth="1"/>
    <col min="1228" max="1228" width="19.36328125" bestFit="1" customWidth="1"/>
    <col min="1229" max="1229" width="15.36328125" bestFit="1" customWidth="1"/>
    <col min="1230" max="1230" width="19.36328125" bestFit="1" customWidth="1"/>
    <col min="1231" max="1231" width="15.36328125" bestFit="1" customWidth="1"/>
    <col min="1232" max="1232" width="19.36328125" bestFit="1" customWidth="1"/>
    <col min="1233" max="1233" width="15.36328125" bestFit="1" customWidth="1"/>
    <col min="1234" max="1234" width="19.36328125" bestFit="1" customWidth="1"/>
    <col min="1235" max="1235" width="15.36328125" bestFit="1" customWidth="1"/>
    <col min="1236" max="1236" width="19.36328125" bestFit="1" customWidth="1"/>
    <col min="1237" max="1237" width="15.36328125" bestFit="1" customWidth="1"/>
    <col min="1238" max="1238" width="19.36328125" bestFit="1" customWidth="1"/>
    <col min="1239" max="1239" width="15.36328125" bestFit="1" customWidth="1"/>
    <col min="1240" max="1240" width="19.36328125" bestFit="1" customWidth="1"/>
    <col min="1241" max="1241" width="15.36328125" bestFit="1" customWidth="1"/>
    <col min="1242" max="1242" width="19.36328125" bestFit="1" customWidth="1"/>
    <col min="1243" max="1243" width="15.36328125" bestFit="1" customWidth="1"/>
    <col min="1244" max="1244" width="19.36328125" bestFit="1" customWidth="1"/>
    <col min="1245" max="1245" width="15.36328125" bestFit="1" customWidth="1"/>
    <col min="1246" max="1246" width="19.36328125" bestFit="1" customWidth="1"/>
    <col min="1247" max="1247" width="15.36328125" bestFit="1" customWidth="1"/>
    <col min="1248" max="1248" width="19.36328125" bestFit="1" customWidth="1"/>
    <col min="1249" max="1249" width="15.36328125" bestFit="1" customWidth="1"/>
    <col min="1250" max="1250" width="19.36328125" bestFit="1" customWidth="1"/>
    <col min="1251" max="1251" width="15.36328125" bestFit="1" customWidth="1"/>
    <col min="1252" max="1252" width="19.36328125" bestFit="1" customWidth="1"/>
    <col min="1253" max="1253" width="15.36328125" bestFit="1" customWidth="1"/>
    <col min="1254" max="1254" width="19.36328125" bestFit="1" customWidth="1"/>
    <col min="1255" max="1255" width="15.36328125" bestFit="1" customWidth="1"/>
    <col min="1256" max="1256" width="19.36328125" bestFit="1" customWidth="1"/>
    <col min="1257" max="1257" width="15.36328125" bestFit="1" customWidth="1"/>
    <col min="1258" max="1258" width="19.36328125" bestFit="1" customWidth="1"/>
    <col min="1259" max="1259" width="15.36328125" bestFit="1" customWidth="1"/>
    <col min="1260" max="1260" width="19.36328125" bestFit="1" customWidth="1"/>
    <col min="1261" max="1261" width="15.36328125" bestFit="1" customWidth="1"/>
    <col min="1262" max="1262" width="19.36328125" bestFit="1" customWidth="1"/>
    <col min="1263" max="1263" width="15.36328125" bestFit="1" customWidth="1"/>
    <col min="1264" max="1264" width="19.36328125" bestFit="1" customWidth="1"/>
    <col min="1265" max="1265" width="15.36328125" bestFit="1" customWidth="1"/>
    <col min="1266" max="1266" width="19.36328125" bestFit="1" customWidth="1"/>
    <col min="1267" max="1267" width="15.36328125" bestFit="1" customWidth="1"/>
    <col min="1268" max="1268" width="19.36328125" bestFit="1" customWidth="1"/>
    <col min="1269" max="1269" width="15.36328125" bestFit="1" customWidth="1"/>
    <col min="1270" max="1270" width="19.36328125" bestFit="1" customWidth="1"/>
    <col min="1271" max="1271" width="15.36328125" bestFit="1" customWidth="1"/>
    <col min="1272" max="1272" width="19.36328125" bestFit="1" customWidth="1"/>
    <col min="1273" max="1273" width="15.36328125" bestFit="1" customWidth="1"/>
    <col min="1274" max="1274" width="19.36328125" bestFit="1" customWidth="1"/>
    <col min="1275" max="1275" width="15.36328125" bestFit="1" customWidth="1"/>
    <col min="1276" max="1276" width="19.36328125" bestFit="1" customWidth="1"/>
    <col min="1277" max="1277" width="15.36328125" bestFit="1" customWidth="1"/>
    <col min="1278" max="1278" width="19.36328125" bestFit="1" customWidth="1"/>
    <col min="1279" max="1279" width="15.36328125" bestFit="1" customWidth="1"/>
    <col min="1280" max="1280" width="19.36328125" bestFit="1" customWidth="1"/>
    <col min="1281" max="1281" width="15.36328125" bestFit="1" customWidth="1"/>
    <col min="1282" max="1282" width="19.36328125" bestFit="1" customWidth="1"/>
    <col min="1283" max="1283" width="15.36328125" bestFit="1" customWidth="1"/>
    <col min="1284" max="1284" width="19.36328125" bestFit="1" customWidth="1"/>
    <col min="1285" max="1285" width="15.36328125" bestFit="1" customWidth="1"/>
    <col min="1286" max="1286" width="19.36328125" bestFit="1" customWidth="1"/>
    <col min="1287" max="1287" width="15.36328125" bestFit="1" customWidth="1"/>
    <col min="1288" max="1288" width="19.36328125" bestFit="1" customWidth="1"/>
    <col min="1289" max="1289" width="15.36328125" bestFit="1" customWidth="1"/>
    <col min="1290" max="1290" width="23.81640625" bestFit="1" customWidth="1"/>
    <col min="1291" max="1291" width="19.81640625" bestFit="1" customWidth="1"/>
    <col min="1292" max="1292" width="19.36328125" bestFit="1" customWidth="1"/>
    <col min="1293" max="1293" width="15.36328125" bestFit="1" customWidth="1"/>
    <col min="1294" max="1294" width="19.36328125" bestFit="1" customWidth="1"/>
    <col min="1295" max="1295" width="15.36328125" bestFit="1" customWidth="1"/>
    <col min="1296" max="1296" width="19.36328125" bestFit="1" customWidth="1"/>
    <col min="1297" max="1297" width="15.36328125" bestFit="1" customWidth="1"/>
    <col min="1298" max="1298" width="19.36328125" bestFit="1" customWidth="1"/>
    <col min="1299" max="1299" width="15.36328125" bestFit="1" customWidth="1"/>
    <col min="1300" max="1300" width="19.36328125" bestFit="1" customWidth="1"/>
    <col min="1301" max="1301" width="15.36328125" bestFit="1" customWidth="1"/>
    <col min="1302" max="1302" width="19.36328125" bestFit="1" customWidth="1"/>
    <col min="1303" max="1303" width="15.36328125" bestFit="1" customWidth="1"/>
    <col min="1304" max="1304" width="19.36328125" bestFit="1" customWidth="1"/>
    <col min="1305" max="1305" width="15.36328125" bestFit="1" customWidth="1"/>
    <col min="1306" max="1306" width="19.36328125" bestFit="1" customWidth="1"/>
    <col min="1307" max="1307" width="15.36328125" bestFit="1" customWidth="1"/>
    <col min="1308" max="1308" width="19.36328125" bestFit="1" customWidth="1"/>
    <col min="1309" max="1309" width="15.36328125" bestFit="1" customWidth="1"/>
    <col min="1310" max="1310" width="19.36328125" bestFit="1" customWidth="1"/>
    <col min="1311" max="1311" width="15.36328125" bestFit="1" customWidth="1"/>
    <col min="1312" max="1312" width="19.36328125" bestFit="1" customWidth="1"/>
    <col min="1313" max="1313" width="15.36328125" bestFit="1" customWidth="1"/>
    <col min="1314" max="1314" width="19.36328125" bestFit="1" customWidth="1"/>
    <col min="1315" max="1315" width="15.36328125" bestFit="1" customWidth="1"/>
    <col min="1316" max="1316" width="19.36328125" bestFit="1" customWidth="1"/>
    <col min="1317" max="1317" width="15.36328125" bestFit="1" customWidth="1"/>
    <col min="1318" max="1318" width="19.36328125" bestFit="1" customWidth="1"/>
    <col min="1319" max="1319" width="15.36328125" bestFit="1" customWidth="1"/>
    <col min="1320" max="1320" width="19.36328125" bestFit="1" customWidth="1"/>
    <col min="1321" max="1321" width="15.36328125" bestFit="1" customWidth="1"/>
    <col min="1322" max="1322" width="19.36328125" bestFit="1" customWidth="1"/>
    <col min="1323" max="1323" width="15.36328125" bestFit="1" customWidth="1"/>
    <col min="1324" max="1324" width="19.36328125" bestFit="1" customWidth="1"/>
    <col min="1325" max="1325" width="15.36328125" bestFit="1" customWidth="1"/>
    <col min="1326" max="1326" width="19.36328125" bestFit="1" customWidth="1"/>
    <col min="1327" max="1327" width="15.36328125" bestFit="1" customWidth="1"/>
    <col min="1328" max="1328" width="19.36328125" bestFit="1" customWidth="1"/>
    <col min="1329" max="1329" width="15.36328125" bestFit="1" customWidth="1"/>
    <col min="1330" max="1330" width="19.36328125" bestFit="1" customWidth="1"/>
    <col min="1331" max="1331" width="15.36328125" bestFit="1" customWidth="1"/>
    <col min="1332" max="1332" width="19.36328125" bestFit="1" customWidth="1"/>
    <col min="1333" max="1333" width="15.36328125" bestFit="1" customWidth="1"/>
    <col min="1334" max="1334" width="19.36328125" bestFit="1" customWidth="1"/>
    <col min="1335" max="1335" width="15.36328125" bestFit="1" customWidth="1"/>
    <col min="1336" max="1336" width="19.36328125" bestFit="1" customWidth="1"/>
    <col min="1337" max="1337" width="15.36328125" bestFit="1" customWidth="1"/>
    <col min="1338" max="1338" width="19.36328125" bestFit="1" customWidth="1"/>
    <col min="1339" max="1339" width="15.36328125" bestFit="1" customWidth="1"/>
    <col min="1340" max="1340" width="19.36328125" bestFit="1" customWidth="1"/>
    <col min="1341" max="1341" width="15.36328125" bestFit="1" customWidth="1"/>
    <col min="1342" max="1342" width="19.36328125" bestFit="1" customWidth="1"/>
    <col min="1343" max="1343" width="15.36328125" bestFit="1" customWidth="1"/>
    <col min="1344" max="1344" width="19.36328125" bestFit="1" customWidth="1"/>
    <col min="1345" max="1345" width="15.36328125" bestFit="1" customWidth="1"/>
    <col min="1346" max="1346" width="19.36328125" bestFit="1" customWidth="1"/>
    <col min="1347" max="1347" width="15.36328125" bestFit="1" customWidth="1"/>
    <col min="1348" max="1348" width="19.36328125" bestFit="1" customWidth="1"/>
    <col min="1349" max="1349" width="15.36328125" bestFit="1" customWidth="1"/>
    <col min="1350" max="1350" width="19.36328125" bestFit="1" customWidth="1"/>
    <col min="1351" max="1351" width="15.36328125" bestFit="1" customWidth="1"/>
    <col min="1352" max="1352" width="19.36328125" bestFit="1" customWidth="1"/>
    <col min="1353" max="1353" width="15.36328125" bestFit="1" customWidth="1"/>
    <col min="1354" max="1354" width="19.36328125" bestFit="1" customWidth="1"/>
    <col min="1355" max="1355" width="15.36328125" bestFit="1" customWidth="1"/>
    <col min="1356" max="1356" width="19.36328125" bestFit="1" customWidth="1"/>
    <col min="1357" max="1357" width="15.36328125" bestFit="1" customWidth="1"/>
    <col min="1358" max="1358" width="19.36328125" bestFit="1" customWidth="1"/>
    <col min="1359" max="1359" width="15.36328125" bestFit="1" customWidth="1"/>
    <col min="1360" max="1360" width="19.36328125" bestFit="1" customWidth="1"/>
    <col min="1361" max="1361" width="15.36328125" bestFit="1" customWidth="1"/>
    <col min="1362" max="1362" width="19.36328125" bestFit="1" customWidth="1"/>
    <col min="1363" max="1363" width="15.36328125" bestFit="1" customWidth="1"/>
    <col min="1364" max="1364" width="19.36328125" bestFit="1" customWidth="1"/>
    <col min="1365" max="1365" width="15.36328125" bestFit="1" customWidth="1"/>
    <col min="1366" max="1366" width="19.36328125" bestFit="1" customWidth="1"/>
    <col min="1367" max="1367" width="15.36328125" bestFit="1" customWidth="1"/>
    <col min="1368" max="1368" width="19.36328125" bestFit="1" customWidth="1"/>
    <col min="1369" max="1369" width="15.36328125" bestFit="1" customWidth="1"/>
    <col min="1370" max="1370" width="19.36328125" bestFit="1" customWidth="1"/>
    <col min="1371" max="1371" width="15.36328125" bestFit="1" customWidth="1"/>
    <col min="1372" max="1372" width="19.36328125" bestFit="1" customWidth="1"/>
    <col min="1373" max="1373" width="15.36328125" bestFit="1" customWidth="1"/>
    <col min="1374" max="1374" width="19.36328125" bestFit="1" customWidth="1"/>
    <col min="1375" max="1375" width="15.36328125" bestFit="1" customWidth="1"/>
    <col min="1376" max="1376" width="19.36328125" bestFit="1" customWidth="1"/>
    <col min="1377" max="1377" width="15.36328125" bestFit="1" customWidth="1"/>
    <col min="1378" max="1378" width="19.36328125" bestFit="1" customWidth="1"/>
    <col min="1379" max="1379" width="15.36328125" bestFit="1" customWidth="1"/>
    <col min="1380" max="1380" width="19.36328125" bestFit="1" customWidth="1"/>
    <col min="1381" max="1381" width="15.36328125" bestFit="1" customWidth="1"/>
    <col min="1382" max="1382" width="19.36328125" bestFit="1" customWidth="1"/>
    <col min="1383" max="1383" width="15.36328125" bestFit="1" customWidth="1"/>
    <col min="1384" max="1384" width="19.36328125" bestFit="1" customWidth="1"/>
    <col min="1385" max="1385" width="15.36328125" bestFit="1" customWidth="1"/>
    <col min="1386" max="1386" width="19.36328125" bestFit="1" customWidth="1"/>
    <col min="1387" max="1387" width="15.36328125" bestFit="1" customWidth="1"/>
    <col min="1388" max="1388" width="19.36328125" bestFit="1" customWidth="1"/>
    <col min="1389" max="1389" width="15.36328125" bestFit="1" customWidth="1"/>
    <col min="1390" max="1390" width="19.36328125" bestFit="1" customWidth="1"/>
    <col min="1391" max="1391" width="15.36328125" bestFit="1" customWidth="1"/>
    <col min="1392" max="1392" width="19.36328125" bestFit="1" customWidth="1"/>
    <col min="1393" max="1393" width="15.36328125" bestFit="1" customWidth="1"/>
    <col min="1394" max="1394" width="19.36328125" bestFit="1" customWidth="1"/>
    <col min="1395" max="1395" width="15.36328125" bestFit="1" customWidth="1"/>
    <col min="1396" max="1396" width="19.36328125" bestFit="1" customWidth="1"/>
    <col min="1397" max="1397" width="15.36328125" bestFit="1" customWidth="1"/>
    <col min="1398" max="1398" width="19.36328125" bestFit="1" customWidth="1"/>
    <col min="1399" max="1399" width="15.36328125" bestFit="1" customWidth="1"/>
    <col min="1400" max="1400" width="19.36328125" bestFit="1" customWidth="1"/>
    <col min="1401" max="1401" width="15.36328125" bestFit="1" customWidth="1"/>
    <col min="1402" max="1402" width="19.36328125" bestFit="1" customWidth="1"/>
    <col min="1403" max="1403" width="15.36328125" bestFit="1" customWidth="1"/>
    <col min="1404" max="1404" width="19.36328125" bestFit="1" customWidth="1"/>
    <col min="1405" max="1405" width="15.36328125" bestFit="1" customWidth="1"/>
    <col min="1406" max="1406" width="19.36328125" bestFit="1" customWidth="1"/>
    <col min="1407" max="1407" width="15.36328125" bestFit="1" customWidth="1"/>
    <col min="1408" max="1408" width="19.36328125" bestFit="1" customWidth="1"/>
    <col min="1409" max="1409" width="15.36328125" bestFit="1" customWidth="1"/>
    <col min="1410" max="1410" width="19.36328125" bestFit="1" customWidth="1"/>
    <col min="1411" max="1411" width="15.36328125" bestFit="1" customWidth="1"/>
    <col min="1412" max="1412" width="19.36328125" bestFit="1" customWidth="1"/>
    <col min="1413" max="1413" width="15.36328125" bestFit="1" customWidth="1"/>
    <col min="1414" max="1414" width="19.36328125" bestFit="1" customWidth="1"/>
    <col min="1415" max="1415" width="15.36328125" bestFit="1" customWidth="1"/>
    <col min="1416" max="1416" width="19.36328125" bestFit="1" customWidth="1"/>
    <col min="1417" max="1417" width="15.36328125" bestFit="1" customWidth="1"/>
    <col min="1418" max="1418" width="19.36328125" bestFit="1" customWidth="1"/>
    <col min="1419" max="1419" width="15.36328125" bestFit="1" customWidth="1"/>
    <col min="1420" max="1420" width="19.36328125" bestFit="1" customWidth="1"/>
    <col min="1421" max="1421" width="15.36328125" bestFit="1" customWidth="1"/>
    <col min="1422" max="1422" width="19.36328125" bestFit="1" customWidth="1"/>
    <col min="1423" max="1423" width="15.36328125" bestFit="1" customWidth="1"/>
    <col min="1424" max="1424" width="19.36328125" bestFit="1" customWidth="1"/>
    <col min="1425" max="1425" width="15.36328125" bestFit="1" customWidth="1"/>
    <col min="1426" max="1426" width="19.36328125" bestFit="1" customWidth="1"/>
    <col min="1427" max="1427" width="15.36328125" bestFit="1" customWidth="1"/>
    <col min="1428" max="1428" width="19.36328125" bestFit="1" customWidth="1"/>
    <col min="1429" max="1429" width="15.36328125" bestFit="1" customWidth="1"/>
    <col min="1430" max="1430" width="19.36328125" bestFit="1" customWidth="1"/>
    <col min="1431" max="1431" width="15.36328125" bestFit="1" customWidth="1"/>
    <col min="1432" max="1432" width="19.36328125" bestFit="1" customWidth="1"/>
    <col min="1433" max="1433" width="15.36328125" bestFit="1" customWidth="1"/>
    <col min="1434" max="1434" width="19.36328125" bestFit="1" customWidth="1"/>
    <col min="1435" max="1435" width="15.36328125" bestFit="1" customWidth="1"/>
    <col min="1436" max="1436" width="19.36328125" bestFit="1" customWidth="1"/>
    <col min="1437" max="1437" width="15.36328125" bestFit="1" customWidth="1"/>
    <col min="1438" max="1438" width="19.36328125" bestFit="1" customWidth="1"/>
    <col min="1439" max="1439" width="15.36328125" bestFit="1" customWidth="1"/>
    <col min="1440" max="1440" width="19.36328125" bestFit="1" customWidth="1"/>
    <col min="1441" max="1441" width="15.36328125" bestFit="1" customWidth="1"/>
    <col min="1442" max="1442" width="19.36328125" bestFit="1" customWidth="1"/>
    <col min="1443" max="1443" width="15.36328125" bestFit="1" customWidth="1"/>
    <col min="1444" max="1444" width="19.36328125" bestFit="1" customWidth="1"/>
    <col min="1445" max="1445" width="15.36328125" bestFit="1" customWidth="1"/>
    <col min="1446" max="1446" width="19.36328125" bestFit="1" customWidth="1"/>
    <col min="1447" max="1447" width="15.36328125" bestFit="1" customWidth="1"/>
    <col min="1448" max="1448" width="19.36328125" bestFit="1" customWidth="1"/>
    <col min="1449" max="1449" width="15.36328125" bestFit="1" customWidth="1"/>
    <col min="1450" max="1450" width="19.36328125" bestFit="1" customWidth="1"/>
    <col min="1451" max="1451" width="15.36328125" bestFit="1" customWidth="1"/>
    <col min="1452" max="1452" width="19.36328125" bestFit="1" customWidth="1"/>
    <col min="1453" max="1453" width="15.36328125" bestFit="1" customWidth="1"/>
    <col min="1454" max="1454" width="19.36328125" bestFit="1" customWidth="1"/>
    <col min="1455" max="1455" width="15.36328125" bestFit="1" customWidth="1"/>
    <col min="1456" max="1456" width="19.36328125" bestFit="1" customWidth="1"/>
    <col min="1457" max="1457" width="15.36328125" bestFit="1" customWidth="1"/>
    <col min="1458" max="1458" width="19.36328125" bestFit="1" customWidth="1"/>
    <col min="1459" max="1459" width="15.36328125" bestFit="1" customWidth="1"/>
    <col min="1460" max="1460" width="19.36328125" bestFit="1" customWidth="1"/>
    <col min="1461" max="1461" width="15.36328125" bestFit="1" customWidth="1"/>
    <col min="1462" max="1462" width="19.36328125" bestFit="1" customWidth="1"/>
    <col min="1463" max="1463" width="15.36328125" bestFit="1" customWidth="1"/>
    <col min="1464" max="1464" width="19.36328125" bestFit="1" customWidth="1"/>
    <col min="1465" max="1465" width="15.36328125" bestFit="1" customWidth="1"/>
    <col min="1466" max="1466" width="19.36328125" bestFit="1" customWidth="1"/>
    <col min="1467" max="1467" width="15.36328125" bestFit="1" customWidth="1"/>
    <col min="1468" max="1468" width="19.36328125" bestFit="1" customWidth="1"/>
    <col min="1469" max="1469" width="15.36328125" bestFit="1" customWidth="1"/>
    <col min="1470" max="1470" width="19.36328125" bestFit="1" customWidth="1"/>
    <col min="1471" max="1471" width="15.36328125" bestFit="1" customWidth="1"/>
    <col min="1472" max="1472" width="19.36328125" bestFit="1" customWidth="1"/>
    <col min="1473" max="1473" width="15.36328125" bestFit="1" customWidth="1"/>
    <col min="1474" max="1474" width="19.36328125" bestFit="1" customWidth="1"/>
    <col min="1475" max="1475" width="15.36328125" bestFit="1" customWidth="1"/>
    <col min="1476" max="1476" width="19.36328125" bestFit="1" customWidth="1"/>
    <col min="1477" max="1477" width="15.36328125" bestFit="1" customWidth="1"/>
    <col min="1478" max="1478" width="19.36328125" bestFit="1" customWidth="1"/>
    <col min="1479" max="1479" width="15.36328125" bestFit="1" customWidth="1"/>
    <col min="1480" max="1480" width="19.36328125" bestFit="1" customWidth="1"/>
    <col min="1481" max="1481" width="15.36328125" bestFit="1" customWidth="1"/>
    <col min="1482" max="1482" width="19.36328125" bestFit="1" customWidth="1"/>
    <col min="1483" max="1483" width="15.36328125" bestFit="1" customWidth="1"/>
    <col min="1484" max="1484" width="19.36328125" bestFit="1" customWidth="1"/>
    <col min="1485" max="1485" width="15.36328125" bestFit="1" customWidth="1"/>
    <col min="1486" max="1486" width="19.36328125" bestFit="1" customWidth="1"/>
    <col min="1487" max="1487" width="15.36328125" bestFit="1" customWidth="1"/>
    <col min="1488" max="1488" width="19.36328125" bestFit="1" customWidth="1"/>
    <col min="1489" max="1489" width="15.36328125" bestFit="1" customWidth="1"/>
    <col min="1490" max="1490" width="19.36328125" bestFit="1" customWidth="1"/>
    <col min="1491" max="1491" width="15.36328125" bestFit="1" customWidth="1"/>
    <col min="1492" max="1492" width="19.36328125" bestFit="1" customWidth="1"/>
    <col min="1493" max="1493" width="15.36328125" bestFit="1" customWidth="1"/>
    <col min="1494" max="1494" width="19.36328125" bestFit="1" customWidth="1"/>
    <col min="1495" max="1495" width="15.36328125" bestFit="1" customWidth="1"/>
    <col min="1496" max="1496" width="19.36328125" bestFit="1" customWidth="1"/>
    <col min="1497" max="1497" width="15.36328125" bestFit="1" customWidth="1"/>
    <col min="1498" max="1498" width="19.36328125" bestFit="1" customWidth="1"/>
    <col min="1499" max="1499" width="15.36328125" bestFit="1" customWidth="1"/>
    <col min="1500" max="1500" width="19.36328125" bestFit="1" customWidth="1"/>
    <col min="1501" max="1501" width="15.36328125" bestFit="1" customWidth="1"/>
    <col min="1502" max="1502" width="19.36328125" bestFit="1" customWidth="1"/>
    <col min="1503" max="1503" width="15.36328125" bestFit="1" customWidth="1"/>
    <col min="1504" max="1504" width="19.36328125" bestFit="1" customWidth="1"/>
    <col min="1505" max="1505" width="15.36328125" bestFit="1" customWidth="1"/>
    <col min="1506" max="1506" width="19.36328125" bestFit="1" customWidth="1"/>
    <col min="1507" max="1507" width="15.36328125" bestFit="1" customWidth="1"/>
    <col min="1508" max="1508" width="19.36328125" bestFit="1" customWidth="1"/>
    <col min="1509" max="1509" width="15.36328125" bestFit="1" customWidth="1"/>
    <col min="1510" max="1510" width="19.36328125" bestFit="1" customWidth="1"/>
    <col min="1511" max="1511" width="15.36328125" bestFit="1" customWidth="1"/>
    <col min="1512" max="1512" width="19.36328125" bestFit="1" customWidth="1"/>
    <col min="1513" max="1513" width="15.36328125" bestFit="1" customWidth="1"/>
    <col min="1514" max="1514" width="19.36328125" bestFit="1" customWidth="1"/>
    <col min="1515" max="1515" width="15.36328125" bestFit="1" customWidth="1"/>
    <col min="1516" max="1516" width="19.36328125" bestFit="1" customWidth="1"/>
    <col min="1517" max="1517" width="15.36328125" bestFit="1" customWidth="1"/>
    <col min="1518" max="1518" width="19.36328125" bestFit="1" customWidth="1"/>
    <col min="1519" max="1519" width="15.36328125" bestFit="1" customWidth="1"/>
    <col min="1520" max="1520" width="19.36328125" bestFit="1" customWidth="1"/>
    <col min="1521" max="1521" width="15.36328125" bestFit="1" customWidth="1"/>
    <col min="1522" max="1522" width="19.36328125" bestFit="1" customWidth="1"/>
    <col min="1523" max="1523" width="15.36328125" bestFit="1" customWidth="1"/>
    <col min="1524" max="1524" width="19.36328125" bestFit="1" customWidth="1"/>
    <col min="1525" max="1525" width="15.36328125" bestFit="1" customWidth="1"/>
    <col min="1526" max="1526" width="19.36328125" bestFit="1" customWidth="1"/>
    <col min="1527" max="1527" width="15.36328125" bestFit="1" customWidth="1"/>
    <col min="1528" max="1528" width="19.36328125" bestFit="1" customWidth="1"/>
    <col min="1529" max="1529" width="15.36328125" bestFit="1" customWidth="1"/>
    <col min="1530" max="1530" width="19.36328125" bestFit="1" customWidth="1"/>
    <col min="1531" max="1531" width="15.36328125" bestFit="1" customWidth="1"/>
    <col min="1532" max="1532" width="19.36328125" bestFit="1" customWidth="1"/>
    <col min="1533" max="1533" width="15.36328125" bestFit="1" customWidth="1"/>
    <col min="1534" max="1534" width="23.81640625" bestFit="1" customWidth="1"/>
    <col min="1535" max="1535" width="19.81640625" bestFit="1" customWidth="1"/>
    <col min="1536" max="1536" width="23.81640625" bestFit="1" customWidth="1"/>
    <col min="1537" max="1537" width="19.81640625" bestFit="1" customWidth="1"/>
    <col min="1538" max="1538" width="19.36328125" bestFit="1" customWidth="1"/>
    <col min="1539" max="1539" width="15.36328125" bestFit="1" customWidth="1"/>
    <col min="1540" max="1540" width="19.36328125" bestFit="1" customWidth="1"/>
    <col min="1541" max="1541" width="15.36328125" bestFit="1" customWidth="1"/>
    <col min="1542" max="1542" width="19.36328125" bestFit="1" customWidth="1"/>
    <col min="1543" max="1543" width="15.36328125" bestFit="1" customWidth="1"/>
    <col min="1544" max="1544" width="19.36328125" bestFit="1" customWidth="1"/>
    <col min="1545" max="1545" width="15.36328125" bestFit="1" customWidth="1"/>
    <col min="1546" max="1546" width="19.36328125" bestFit="1" customWidth="1"/>
    <col min="1547" max="1547" width="15.36328125" bestFit="1" customWidth="1"/>
    <col min="1548" max="1548" width="19.36328125" bestFit="1" customWidth="1"/>
    <col min="1549" max="1549" width="15.36328125" bestFit="1" customWidth="1"/>
    <col min="1550" max="1550" width="19.36328125" bestFit="1" customWidth="1"/>
    <col min="1551" max="1551" width="15.36328125" bestFit="1" customWidth="1"/>
    <col min="1552" max="1552" width="19.36328125" bestFit="1" customWidth="1"/>
    <col min="1553" max="1553" width="15.36328125" bestFit="1" customWidth="1"/>
    <col min="1554" max="1554" width="19.36328125" bestFit="1" customWidth="1"/>
    <col min="1555" max="1555" width="15.36328125" bestFit="1" customWidth="1"/>
    <col min="1556" max="1556" width="23.36328125" bestFit="1" customWidth="1"/>
    <col min="1557" max="1558" width="19.36328125" bestFit="1" customWidth="1"/>
    <col min="1559" max="1559" width="15.36328125" bestFit="1" customWidth="1"/>
    <col min="1560" max="1560" width="19.36328125" bestFit="1" customWidth="1"/>
    <col min="1561" max="1561" width="15.36328125" bestFit="1" customWidth="1"/>
    <col min="1562" max="1562" width="19.36328125" bestFit="1" customWidth="1"/>
    <col min="1563" max="1563" width="15.36328125" bestFit="1" customWidth="1"/>
    <col min="1564" max="1564" width="19.36328125" bestFit="1" customWidth="1"/>
    <col min="1565" max="1565" width="15.36328125" bestFit="1" customWidth="1"/>
    <col min="1566" max="1566" width="19.36328125" bestFit="1" customWidth="1"/>
    <col min="1567" max="1567" width="15.36328125" bestFit="1" customWidth="1"/>
    <col min="1568" max="1568" width="19.36328125" bestFit="1" customWidth="1"/>
    <col min="1569" max="1569" width="15.36328125" bestFit="1" customWidth="1"/>
    <col min="1570" max="1570" width="19.36328125" bestFit="1" customWidth="1"/>
    <col min="1571" max="1571" width="15.36328125" bestFit="1" customWidth="1"/>
    <col min="1572" max="1572" width="19.36328125" bestFit="1" customWidth="1"/>
    <col min="1573" max="1573" width="15.36328125" bestFit="1" customWidth="1"/>
    <col min="1574" max="1574" width="19.36328125" bestFit="1" customWidth="1"/>
    <col min="1575" max="1575" width="15.36328125" bestFit="1" customWidth="1"/>
    <col min="1576" max="1576" width="23.36328125" bestFit="1" customWidth="1"/>
    <col min="1577" max="1577" width="19.36328125" bestFit="1" customWidth="1"/>
    <col min="1578" max="1578" width="23.81640625" bestFit="1" customWidth="1"/>
    <col min="1579" max="1579" width="19.81640625" bestFit="1" customWidth="1"/>
    <col min="1580" max="1580" width="23.81640625" bestFit="1" customWidth="1"/>
    <col min="1581" max="1581" width="19.81640625" bestFit="1" customWidth="1"/>
    <col min="1582" max="1582" width="22.6328125" bestFit="1" customWidth="1"/>
    <col min="1583" max="1583" width="18.6328125" bestFit="1" customWidth="1"/>
    <col min="1584" max="1584" width="23.36328125" bestFit="1" customWidth="1"/>
    <col min="1585" max="1586" width="19.36328125" bestFit="1" customWidth="1"/>
    <col min="1587" max="1587" width="15.36328125" bestFit="1" customWidth="1"/>
    <col min="1588" max="1588" width="19.36328125" bestFit="1" customWidth="1"/>
    <col min="1589" max="1589" width="15.36328125" bestFit="1" customWidth="1"/>
    <col min="1590" max="1590" width="19.36328125" bestFit="1" customWidth="1"/>
    <col min="1591" max="1591" width="15.36328125" bestFit="1" customWidth="1"/>
    <col min="1592" max="1592" width="19.36328125" bestFit="1" customWidth="1"/>
    <col min="1593" max="1593" width="15.36328125" bestFit="1" customWidth="1"/>
    <col min="1594" max="1594" width="19.36328125" bestFit="1" customWidth="1"/>
    <col min="1595" max="1595" width="15.36328125" bestFit="1" customWidth="1"/>
    <col min="1596" max="1596" width="19.36328125" bestFit="1" customWidth="1"/>
    <col min="1597" max="1597" width="15.36328125" bestFit="1" customWidth="1"/>
    <col min="1598" max="1598" width="19.36328125" bestFit="1" customWidth="1"/>
    <col min="1599" max="1599" width="15.36328125" bestFit="1" customWidth="1"/>
    <col min="1600" max="1600" width="19.36328125" bestFit="1" customWidth="1"/>
    <col min="1601" max="1601" width="15.36328125" bestFit="1" customWidth="1"/>
    <col min="1602" max="1602" width="19.36328125" bestFit="1" customWidth="1"/>
    <col min="1603" max="1603" width="15.36328125" bestFit="1" customWidth="1"/>
    <col min="1604" max="1604" width="19.36328125" bestFit="1" customWidth="1"/>
    <col min="1605" max="1605" width="15.36328125" bestFit="1" customWidth="1"/>
    <col min="1606" max="1606" width="19.36328125" bestFit="1" customWidth="1"/>
    <col min="1607" max="1607" width="15.36328125" bestFit="1" customWidth="1"/>
    <col min="1608" max="1608" width="19.36328125" bestFit="1" customWidth="1"/>
    <col min="1609" max="1609" width="15.36328125" bestFit="1" customWidth="1"/>
    <col min="1610" max="1610" width="19.36328125" bestFit="1" customWidth="1"/>
    <col min="1611" max="1611" width="15.36328125" bestFit="1" customWidth="1"/>
    <col min="1612" max="1612" width="19.36328125" bestFit="1" customWidth="1"/>
    <col min="1613" max="1613" width="15.36328125" bestFit="1" customWidth="1"/>
    <col min="1614" max="1614" width="19.36328125" bestFit="1" customWidth="1"/>
    <col min="1615" max="1615" width="15.36328125" bestFit="1" customWidth="1"/>
    <col min="1616" max="1616" width="22.1796875" bestFit="1" customWidth="1"/>
    <col min="1617" max="1617" width="18.1796875" bestFit="1" customWidth="1"/>
    <col min="1618" max="1618" width="19.36328125" bestFit="1" customWidth="1"/>
    <col min="1619" max="1619" width="15.36328125" bestFit="1" customWidth="1"/>
    <col min="1620" max="1620" width="19.36328125" bestFit="1" customWidth="1"/>
    <col min="1621" max="1621" width="15.36328125" bestFit="1" customWidth="1"/>
    <col min="1622" max="1622" width="19.36328125" bestFit="1" customWidth="1"/>
    <col min="1623" max="1623" width="15.36328125" bestFit="1" customWidth="1"/>
    <col min="1624" max="1624" width="19.36328125" bestFit="1" customWidth="1"/>
    <col min="1625" max="1625" width="15.36328125" bestFit="1" customWidth="1"/>
    <col min="1626" max="1626" width="19.36328125" bestFit="1" customWidth="1"/>
    <col min="1627" max="1627" width="15.36328125" bestFit="1" customWidth="1"/>
    <col min="1628" max="1628" width="19.36328125" bestFit="1" customWidth="1"/>
    <col min="1629" max="1629" width="15.36328125" bestFit="1" customWidth="1"/>
    <col min="1630" max="1630" width="19.36328125" bestFit="1" customWidth="1"/>
    <col min="1631" max="1631" width="15.36328125" bestFit="1" customWidth="1"/>
    <col min="1632" max="1632" width="19.36328125" bestFit="1" customWidth="1"/>
    <col min="1633" max="1633" width="15.36328125" bestFit="1" customWidth="1"/>
    <col min="1634" max="1634" width="19.36328125" bestFit="1" customWidth="1"/>
    <col min="1635" max="1635" width="15.36328125" bestFit="1" customWidth="1"/>
    <col min="1636" max="1636" width="19.36328125" bestFit="1" customWidth="1"/>
    <col min="1637" max="1637" width="15.36328125" bestFit="1" customWidth="1"/>
    <col min="1638" max="1638" width="19.36328125" bestFit="1" customWidth="1"/>
    <col min="1639" max="1639" width="15.36328125" bestFit="1" customWidth="1"/>
    <col min="1640" max="1640" width="19.36328125" bestFit="1" customWidth="1"/>
    <col min="1641" max="1641" width="15.36328125" bestFit="1" customWidth="1"/>
    <col min="1642" max="1642" width="19.36328125" bestFit="1" customWidth="1"/>
    <col min="1643" max="1643" width="15.36328125" bestFit="1" customWidth="1"/>
    <col min="1644" max="1644" width="22.81640625" bestFit="1" customWidth="1"/>
    <col min="1645" max="1645" width="18.81640625" bestFit="1" customWidth="1"/>
    <col min="1646" max="1646" width="19.36328125" bestFit="1" customWidth="1"/>
    <col min="1647" max="1647" width="15.36328125" bestFit="1" customWidth="1"/>
    <col min="1648" max="1648" width="19.36328125" bestFit="1" customWidth="1"/>
    <col min="1649" max="1649" width="15.36328125" bestFit="1" customWidth="1"/>
    <col min="1650" max="1650" width="19.36328125" bestFit="1" customWidth="1"/>
    <col min="1651" max="1651" width="15.36328125" bestFit="1" customWidth="1"/>
    <col min="1652" max="1652" width="19.36328125" bestFit="1" customWidth="1"/>
    <col min="1653" max="1653" width="15.36328125" bestFit="1" customWidth="1"/>
    <col min="1654" max="1654" width="19.36328125" bestFit="1" customWidth="1"/>
    <col min="1655" max="1655" width="15.36328125" bestFit="1" customWidth="1"/>
    <col min="1656" max="1656" width="19.36328125" bestFit="1" customWidth="1"/>
    <col min="1657" max="1657" width="15.36328125" bestFit="1" customWidth="1"/>
    <col min="1658" max="1658" width="19.36328125" bestFit="1" customWidth="1"/>
    <col min="1659" max="1659" width="15.36328125" bestFit="1" customWidth="1"/>
    <col min="1660" max="1660" width="19.36328125" bestFit="1" customWidth="1"/>
    <col min="1661" max="1661" width="15.36328125" bestFit="1" customWidth="1"/>
    <col min="1662" max="1662" width="19.36328125" bestFit="1" customWidth="1"/>
    <col min="1663" max="1663" width="15.36328125" bestFit="1" customWidth="1"/>
    <col min="1664" max="1664" width="19.36328125" bestFit="1" customWidth="1"/>
    <col min="1665" max="1665" width="15.36328125" bestFit="1" customWidth="1"/>
    <col min="1666" max="1666" width="19.36328125" bestFit="1" customWidth="1"/>
    <col min="1667" max="1667" width="15.36328125" bestFit="1" customWidth="1"/>
    <col min="1668" max="1668" width="19.36328125" bestFit="1" customWidth="1"/>
    <col min="1669" max="1669" width="15.36328125" bestFit="1" customWidth="1"/>
    <col min="1670" max="1670" width="19.36328125" bestFit="1" customWidth="1"/>
    <col min="1671" max="1671" width="15.36328125" bestFit="1" customWidth="1"/>
    <col min="1672" max="1672" width="19.36328125" bestFit="1" customWidth="1"/>
    <col min="1673" max="1673" width="15.36328125" bestFit="1" customWidth="1"/>
    <col min="1674" max="1674" width="23" bestFit="1" customWidth="1"/>
    <col min="1675" max="1675" width="19" bestFit="1" customWidth="1"/>
    <col min="1676" max="1676" width="23.36328125" bestFit="1" customWidth="1"/>
    <col min="1677" max="1678" width="19.36328125" bestFit="1" customWidth="1"/>
    <col min="1679" max="1679" width="15.36328125" bestFit="1" customWidth="1"/>
    <col min="1680" max="1680" width="19.36328125" bestFit="1" customWidth="1"/>
    <col min="1681" max="1681" width="15.36328125" bestFit="1" customWidth="1"/>
    <col min="1682" max="1682" width="19.36328125" bestFit="1" customWidth="1"/>
    <col min="1683" max="1683" width="15.36328125" bestFit="1" customWidth="1"/>
    <col min="1684" max="1684" width="19.36328125" bestFit="1" customWidth="1"/>
    <col min="1685" max="1685" width="15.36328125" bestFit="1" customWidth="1"/>
    <col min="1686" max="1686" width="19.36328125" bestFit="1" customWidth="1"/>
    <col min="1687" max="1687" width="15.36328125" bestFit="1" customWidth="1"/>
    <col min="1688" max="1688" width="19.36328125" bestFit="1" customWidth="1"/>
    <col min="1689" max="1689" width="15.36328125" bestFit="1" customWidth="1"/>
    <col min="1690" max="1690" width="19.36328125" bestFit="1" customWidth="1"/>
    <col min="1691" max="1691" width="15.36328125" bestFit="1" customWidth="1"/>
    <col min="1692" max="1692" width="19.36328125" bestFit="1" customWidth="1"/>
    <col min="1693" max="1693" width="15.36328125" bestFit="1" customWidth="1"/>
    <col min="1694" max="1694" width="19.36328125" bestFit="1" customWidth="1"/>
    <col min="1695" max="1695" width="15.36328125" bestFit="1" customWidth="1"/>
    <col min="1696" max="1696" width="22.6328125" bestFit="1" customWidth="1"/>
    <col min="1697" max="1697" width="18.6328125" bestFit="1" customWidth="1"/>
    <col min="1698" max="1698" width="23.36328125" bestFit="1" customWidth="1"/>
    <col min="1699" max="1699" width="19.36328125" bestFit="1" customWidth="1"/>
    <col min="1700" max="1700" width="23.81640625" bestFit="1" customWidth="1"/>
    <col min="1701" max="1701" width="19.81640625" bestFit="1" customWidth="1"/>
    <col min="1702" max="1702" width="23.81640625" bestFit="1" customWidth="1"/>
    <col min="1703" max="1703" width="19.81640625" bestFit="1" customWidth="1"/>
  </cols>
  <sheetData>
    <row r="1" spans="1:8" x14ac:dyDescent="0.35">
      <c r="B1" s="6" t="s">
        <v>47</v>
      </c>
      <c r="C1" s="6" t="s">
        <v>28</v>
      </c>
      <c r="D1" s="6" t="s">
        <v>72</v>
      </c>
      <c r="E1" s="6" t="s">
        <v>18</v>
      </c>
      <c r="F1" s="6" t="s">
        <v>56</v>
      </c>
      <c r="G1" s="6" t="s">
        <v>37</v>
      </c>
    </row>
    <row r="2" spans="1:8" x14ac:dyDescent="0.35">
      <c r="A2" t="s">
        <v>2990</v>
      </c>
      <c r="B2" s="6" t="s">
        <v>3009</v>
      </c>
    </row>
    <row r="3" spans="1:8" x14ac:dyDescent="0.35">
      <c r="A3" t="s">
        <v>2991</v>
      </c>
      <c r="B3" s="6"/>
    </row>
    <row r="4" spans="1:8" x14ac:dyDescent="0.35">
      <c r="A4" t="s">
        <v>2992</v>
      </c>
      <c r="B4" s="6"/>
    </row>
    <row r="5" spans="1:8" x14ac:dyDescent="0.35">
      <c r="A5" t="s">
        <v>2993</v>
      </c>
      <c r="B5" s="6"/>
    </row>
    <row r="6" spans="1:8" x14ac:dyDescent="0.35">
      <c r="A6" t="s">
        <v>2995</v>
      </c>
      <c r="B6" s="6"/>
    </row>
    <row r="7" spans="1:8" x14ac:dyDescent="0.35">
      <c r="A7" t="s">
        <v>2996</v>
      </c>
    </row>
    <row r="8" spans="1:8" x14ac:dyDescent="0.35">
      <c r="A8" t="s">
        <v>2994</v>
      </c>
    </row>
    <row r="10" spans="1:8" x14ac:dyDescent="0.35">
      <c r="B10" s="4" t="s">
        <v>3001</v>
      </c>
    </row>
    <row r="11" spans="1:8" x14ac:dyDescent="0.35">
      <c r="B11" t="s">
        <v>47</v>
      </c>
      <c r="C11" t="s">
        <v>28</v>
      </c>
      <c r="D11" t="s">
        <v>72</v>
      </c>
      <c r="E11" t="s">
        <v>18</v>
      </c>
      <c r="F11" t="s">
        <v>56</v>
      </c>
      <c r="G11" t="s">
        <v>37</v>
      </c>
      <c r="H11" t="s">
        <v>3000</v>
      </c>
    </row>
    <row r="12" spans="1:8" x14ac:dyDescent="0.35">
      <c r="A12" t="s">
        <v>3012</v>
      </c>
      <c r="B12">
        <v>2642</v>
      </c>
      <c r="C12">
        <v>2520</v>
      </c>
      <c r="D12">
        <v>2568</v>
      </c>
      <c r="E12">
        <v>2582</v>
      </c>
      <c r="F12">
        <v>2820</v>
      </c>
      <c r="G12">
        <v>2593</v>
      </c>
      <c r="H12">
        <v>15725</v>
      </c>
    </row>
    <row r="17" spans="1:2" x14ac:dyDescent="0.35">
      <c r="A17" s="4" t="s">
        <v>8</v>
      </c>
      <c r="B17" t="s">
        <v>3013</v>
      </c>
    </row>
    <row r="18" spans="1:2" x14ac:dyDescent="0.35">
      <c r="A18" t="s">
        <v>54</v>
      </c>
      <c r="B18">
        <v>190</v>
      </c>
    </row>
    <row r="19" spans="1:2" x14ac:dyDescent="0.35">
      <c r="A19" t="s">
        <v>63</v>
      </c>
      <c r="B19">
        <v>203</v>
      </c>
    </row>
    <row r="20" spans="1:2" x14ac:dyDescent="0.35">
      <c r="A20" t="s">
        <v>59</v>
      </c>
      <c r="B20">
        <v>234</v>
      </c>
    </row>
    <row r="21" spans="1:2" x14ac:dyDescent="0.35">
      <c r="A21" t="s">
        <v>21</v>
      </c>
      <c r="B21">
        <v>193</v>
      </c>
    </row>
    <row r="22" spans="1:2" x14ac:dyDescent="0.35">
      <c r="A22" t="s">
        <v>31</v>
      </c>
      <c r="B22">
        <v>179</v>
      </c>
    </row>
    <row r="42" spans="1:9" x14ac:dyDescent="0.35">
      <c r="A42" s="4" t="s">
        <v>3004</v>
      </c>
      <c r="B42" s="4" t="s">
        <v>3001</v>
      </c>
    </row>
    <row r="43" spans="1:9" x14ac:dyDescent="0.35">
      <c r="A43" s="4" t="s">
        <v>2999</v>
      </c>
      <c r="B43" t="s">
        <v>3028</v>
      </c>
      <c r="C43" t="s">
        <v>3029</v>
      </c>
      <c r="D43" t="s">
        <v>3030</v>
      </c>
      <c r="E43" t="s">
        <v>3031</v>
      </c>
      <c r="F43" t="s">
        <v>3032</v>
      </c>
      <c r="G43" t="s">
        <v>3033</v>
      </c>
      <c r="H43" t="s">
        <v>3034</v>
      </c>
      <c r="I43" t="s">
        <v>3000</v>
      </c>
    </row>
    <row r="44" spans="1:9" x14ac:dyDescent="0.35">
      <c r="A44" s="5" t="s">
        <v>47</v>
      </c>
      <c r="C44">
        <v>7</v>
      </c>
      <c r="D44">
        <v>38</v>
      </c>
      <c r="E44">
        <v>30</v>
      </c>
      <c r="F44">
        <v>41</v>
      </c>
      <c r="G44">
        <v>25</v>
      </c>
      <c r="H44">
        <v>20</v>
      </c>
      <c r="I44">
        <v>161</v>
      </c>
    </row>
    <row r="45" spans="1:9" x14ac:dyDescent="0.35">
      <c r="A45" s="5" t="s">
        <v>28</v>
      </c>
      <c r="C45">
        <v>6</v>
      </c>
      <c r="D45">
        <v>31</v>
      </c>
      <c r="E45">
        <v>28</v>
      </c>
      <c r="F45">
        <v>35</v>
      </c>
      <c r="G45">
        <v>41</v>
      </c>
      <c r="H45">
        <v>33</v>
      </c>
      <c r="I45">
        <v>174</v>
      </c>
    </row>
    <row r="46" spans="1:9" x14ac:dyDescent="0.35">
      <c r="A46" s="5" t="s">
        <v>72</v>
      </c>
      <c r="C46">
        <v>7</v>
      </c>
      <c r="D46">
        <v>38</v>
      </c>
      <c r="E46">
        <v>38</v>
      </c>
      <c r="F46">
        <v>34</v>
      </c>
      <c r="G46">
        <v>25</v>
      </c>
      <c r="H46">
        <v>29</v>
      </c>
      <c r="I46">
        <v>171</v>
      </c>
    </row>
    <row r="47" spans="1:9" x14ac:dyDescent="0.35">
      <c r="A47" s="5" t="s">
        <v>18</v>
      </c>
      <c r="C47">
        <v>4</v>
      </c>
      <c r="D47">
        <v>20</v>
      </c>
      <c r="E47">
        <v>31</v>
      </c>
      <c r="F47">
        <v>44</v>
      </c>
      <c r="G47">
        <v>38</v>
      </c>
      <c r="H47">
        <v>24</v>
      </c>
      <c r="I47">
        <v>161</v>
      </c>
    </row>
    <row r="48" spans="1:9" x14ac:dyDescent="0.35">
      <c r="A48" s="5" t="s">
        <v>56</v>
      </c>
      <c r="C48">
        <v>4</v>
      </c>
      <c r="D48">
        <v>42</v>
      </c>
      <c r="E48">
        <v>42</v>
      </c>
      <c r="F48">
        <v>37</v>
      </c>
      <c r="G48">
        <v>33</v>
      </c>
      <c r="H48">
        <v>20</v>
      </c>
      <c r="I48">
        <v>178</v>
      </c>
    </row>
    <row r="49" spans="1:9" x14ac:dyDescent="0.35">
      <c r="A49" s="5" t="s">
        <v>37</v>
      </c>
      <c r="C49">
        <v>6</v>
      </c>
      <c r="D49">
        <v>26</v>
      </c>
      <c r="E49">
        <v>27</v>
      </c>
      <c r="F49">
        <v>30</v>
      </c>
      <c r="G49">
        <v>33</v>
      </c>
      <c r="H49">
        <v>32</v>
      </c>
      <c r="I49">
        <v>154</v>
      </c>
    </row>
    <row r="50" spans="1:9" x14ac:dyDescent="0.35">
      <c r="A50" s="5" t="s">
        <v>3008</v>
      </c>
    </row>
    <row r="51" spans="1:9" x14ac:dyDescent="0.35">
      <c r="A51" s="5" t="s">
        <v>3000</v>
      </c>
      <c r="C51">
        <v>34</v>
      </c>
      <c r="D51">
        <v>195</v>
      </c>
      <c r="E51">
        <v>196</v>
      </c>
      <c r="F51">
        <v>221</v>
      </c>
      <c r="G51">
        <v>195</v>
      </c>
      <c r="H51">
        <v>158</v>
      </c>
      <c r="I51">
        <v>999</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82365-077E-44FA-B857-5DD9ADF849C5}">
  <dimension ref="B2:H30"/>
  <sheetViews>
    <sheetView workbookViewId="0">
      <selection activeCell="H33" sqref="H33"/>
    </sheetView>
  </sheetViews>
  <sheetFormatPr defaultColWidth="8.81640625" defaultRowHeight="14.5" x14ac:dyDescent="0.35"/>
  <cols>
    <col min="2" max="2" width="18" customWidth="1"/>
    <col min="3" max="3" width="18.6328125" customWidth="1"/>
    <col min="4" max="4" width="13.1796875" customWidth="1"/>
    <col min="5" max="5" width="18.6328125" customWidth="1"/>
    <col min="6" max="6" width="15.6328125" customWidth="1"/>
    <col min="7" max="7" width="17.36328125" customWidth="1"/>
    <col min="8" max="8" width="12" customWidth="1"/>
  </cols>
  <sheetData>
    <row r="2" spans="2:8" x14ac:dyDescent="0.35">
      <c r="B2" t="s">
        <v>4</v>
      </c>
      <c r="C2" t="s">
        <v>3027</v>
      </c>
      <c r="D2" t="s">
        <v>3014</v>
      </c>
    </row>
    <row r="3" spans="2:8" x14ac:dyDescent="0.35">
      <c r="B3" s="5" t="s">
        <v>47</v>
      </c>
      <c r="C3" s="9">
        <v>3989892.4596479642</v>
      </c>
      <c r="D3">
        <v>161</v>
      </c>
    </row>
    <row r="4" spans="2:8" x14ac:dyDescent="0.35">
      <c r="B4" s="5" t="s">
        <v>28</v>
      </c>
      <c r="C4" s="9">
        <v>8334164.797765879</v>
      </c>
      <c r="D4">
        <v>174</v>
      </c>
    </row>
    <row r="5" spans="2:8" x14ac:dyDescent="0.35">
      <c r="B5" s="5" t="s">
        <v>72</v>
      </c>
      <c r="C5" s="9">
        <v>12502990.404713593</v>
      </c>
      <c r="D5">
        <v>171</v>
      </c>
    </row>
    <row r="6" spans="2:8" x14ac:dyDescent="0.35">
      <c r="B6" s="5" t="s">
        <v>18</v>
      </c>
      <c r="C6" s="9">
        <v>16628331.007812388</v>
      </c>
      <c r="D6">
        <v>161</v>
      </c>
    </row>
    <row r="7" spans="2:8" x14ac:dyDescent="0.35">
      <c r="B7" s="5" t="s">
        <v>56</v>
      </c>
      <c r="C7" s="9">
        <v>21177974.785896655</v>
      </c>
      <c r="D7">
        <v>178</v>
      </c>
    </row>
    <row r="8" spans="2:8" x14ac:dyDescent="0.35">
      <c r="B8" s="5" t="s">
        <v>37</v>
      </c>
      <c r="C8" s="9">
        <v>25415712.952453252</v>
      </c>
      <c r="D8">
        <v>154</v>
      </c>
    </row>
    <row r="11" spans="2:8" x14ac:dyDescent="0.35">
      <c r="B11" s="5" t="s">
        <v>3035</v>
      </c>
      <c r="C11" s="29" t="s">
        <v>3029</v>
      </c>
      <c r="D11" s="29" t="s">
        <v>3030</v>
      </c>
      <c r="E11" s="29" t="s">
        <v>3031</v>
      </c>
      <c r="F11" s="29" t="s">
        <v>3032</v>
      </c>
      <c r="G11" s="29" t="s">
        <v>3033</v>
      </c>
      <c r="H11" s="29" t="s">
        <v>3034</v>
      </c>
    </row>
    <row r="12" spans="2:8" x14ac:dyDescent="0.35">
      <c r="B12" s="5" t="s">
        <v>47</v>
      </c>
      <c r="C12">
        <v>7</v>
      </c>
      <c r="D12">
        <v>38</v>
      </c>
      <c r="E12">
        <v>30</v>
      </c>
      <c r="F12">
        <v>41</v>
      </c>
      <c r="G12">
        <v>25</v>
      </c>
      <c r="H12">
        <v>20</v>
      </c>
    </row>
    <row r="13" spans="2:8" x14ac:dyDescent="0.35">
      <c r="B13" s="5" t="s">
        <v>28</v>
      </c>
      <c r="C13">
        <v>6</v>
      </c>
      <c r="D13">
        <v>31</v>
      </c>
      <c r="E13">
        <v>28</v>
      </c>
      <c r="F13">
        <v>35</v>
      </c>
      <c r="G13">
        <v>41</v>
      </c>
      <c r="H13">
        <v>33</v>
      </c>
    </row>
    <row r="14" spans="2:8" x14ac:dyDescent="0.35">
      <c r="B14" s="5" t="s">
        <v>72</v>
      </c>
      <c r="C14">
        <v>7</v>
      </c>
      <c r="D14">
        <v>38</v>
      </c>
      <c r="E14">
        <v>38</v>
      </c>
      <c r="F14">
        <v>34</v>
      </c>
      <c r="G14">
        <v>25</v>
      </c>
      <c r="H14">
        <v>29</v>
      </c>
    </row>
    <row r="15" spans="2:8" x14ac:dyDescent="0.35">
      <c r="B15" s="5" t="s">
        <v>18</v>
      </c>
      <c r="C15">
        <v>4</v>
      </c>
      <c r="D15">
        <v>20</v>
      </c>
      <c r="E15">
        <v>31</v>
      </c>
      <c r="F15">
        <v>44</v>
      </c>
      <c r="G15">
        <v>38</v>
      </c>
      <c r="H15">
        <v>24</v>
      </c>
    </row>
    <row r="16" spans="2:8" x14ac:dyDescent="0.35">
      <c r="B16" s="5" t="s">
        <v>56</v>
      </c>
      <c r="C16">
        <v>4</v>
      </c>
      <c r="D16">
        <v>42</v>
      </c>
      <c r="E16">
        <v>42</v>
      </c>
      <c r="F16">
        <v>37</v>
      </c>
      <c r="G16">
        <v>33</v>
      </c>
      <c r="H16">
        <v>20</v>
      </c>
    </row>
    <row r="17" spans="2:8" x14ac:dyDescent="0.35">
      <c r="B17" s="5" t="s">
        <v>37</v>
      </c>
      <c r="C17">
        <v>6</v>
      </c>
      <c r="D17">
        <v>26</v>
      </c>
      <c r="E17">
        <v>27</v>
      </c>
      <c r="F17">
        <v>30</v>
      </c>
      <c r="G17">
        <v>33</v>
      </c>
      <c r="H17">
        <v>32</v>
      </c>
    </row>
    <row r="18" spans="2:8" x14ac:dyDescent="0.35">
      <c r="B18" s="5" t="s">
        <v>3008</v>
      </c>
    </row>
    <row r="21" spans="2:8" x14ac:dyDescent="0.35">
      <c r="B21" s="5" t="s">
        <v>3035</v>
      </c>
      <c r="C21" s="5" t="s">
        <v>47</v>
      </c>
      <c r="D21" s="5" t="s">
        <v>28</v>
      </c>
      <c r="E21" s="5" t="s">
        <v>72</v>
      </c>
      <c r="F21" s="5" t="s">
        <v>18</v>
      </c>
      <c r="G21" s="5" t="s">
        <v>56</v>
      </c>
      <c r="H21" s="5" t="s">
        <v>37</v>
      </c>
    </row>
    <row r="22" spans="2:8" x14ac:dyDescent="0.35">
      <c r="B22" s="29" t="s">
        <v>3032</v>
      </c>
      <c r="C22">
        <v>41</v>
      </c>
      <c r="D22">
        <v>35</v>
      </c>
      <c r="E22">
        <v>34</v>
      </c>
      <c r="F22">
        <v>44</v>
      </c>
      <c r="G22">
        <v>37</v>
      </c>
      <c r="H22">
        <v>30</v>
      </c>
    </row>
    <row r="23" spans="2:8" x14ac:dyDescent="0.35">
      <c r="B23" s="29" t="s">
        <v>3030</v>
      </c>
      <c r="C23">
        <v>38</v>
      </c>
      <c r="D23">
        <v>31</v>
      </c>
      <c r="E23">
        <v>38</v>
      </c>
      <c r="F23">
        <v>20</v>
      </c>
      <c r="G23">
        <v>42</v>
      </c>
      <c r="H23">
        <v>26</v>
      </c>
    </row>
    <row r="24" spans="2:8" x14ac:dyDescent="0.35">
      <c r="B24" s="29" t="s">
        <v>3031</v>
      </c>
      <c r="C24">
        <v>30</v>
      </c>
      <c r="D24">
        <v>28</v>
      </c>
      <c r="E24">
        <v>38</v>
      </c>
      <c r="F24">
        <v>31</v>
      </c>
      <c r="G24">
        <v>42</v>
      </c>
      <c r="H24">
        <v>27</v>
      </c>
    </row>
    <row r="25" spans="2:8" x14ac:dyDescent="0.35">
      <c r="B25" s="29" t="s">
        <v>3029</v>
      </c>
      <c r="C25">
        <v>7</v>
      </c>
      <c r="D25">
        <v>6</v>
      </c>
      <c r="E25">
        <v>7</v>
      </c>
      <c r="F25">
        <v>4</v>
      </c>
      <c r="G25">
        <v>4</v>
      </c>
      <c r="H25">
        <v>6</v>
      </c>
    </row>
    <row r="26" spans="2:8" x14ac:dyDescent="0.35">
      <c r="B26" s="29" t="s">
        <v>3033</v>
      </c>
      <c r="C26">
        <v>25</v>
      </c>
      <c r="D26">
        <v>41</v>
      </c>
      <c r="E26">
        <v>25</v>
      </c>
      <c r="F26">
        <v>38</v>
      </c>
      <c r="G26">
        <v>33</v>
      </c>
      <c r="H26">
        <v>33</v>
      </c>
    </row>
    <row r="27" spans="2:8" x14ac:dyDescent="0.35">
      <c r="B27" s="29" t="s">
        <v>3034</v>
      </c>
      <c r="C27">
        <v>20</v>
      </c>
      <c r="D27">
        <v>33</v>
      </c>
      <c r="E27">
        <v>29</v>
      </c>
      <c r="F27">
        <v>24</v>
      </c>
      <c r="G27">
        <v>20</v>
      </c>
      <c r="H27">
        <v>32</v>
      </c>
    </row>
    <row r="29" spans="2:8" x14ac:dyDescent="0.35">
      <c r="B29" s="29"/>
    </row>
    <row r="30" spans="2:8" x14ac:dyDescent="0.35">
      <c r="B30" s="2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healthcare_dataset</vt:lpstr>
      <vt:lpstr>Dashboard</vt:lpstr>
      <vt:lpstr>Sheet8</vt:lpstr>
      <vt:lpstr>Sheet5</vt:lpstr>
      <vt:lpstr>Sheet1</vt:lpstr>
      <vt:lpstr>Sheet4</vt:lpstr>
      <vt:lpstr>Sheet3</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PRISHA</dc:creator>
  <cp:lastModifiedBy>Prisha Verma</cp:lastModifiedBy>
  <dcterms:created xsi:type="dcterms:W3CDTF">2024-04-06T15:46:10Z</dcterms:created>
  <dcterms:modified xsi:type="dcterms:W3CDTF">2024-04-15T14:39:36Z</dcterms:modified>
</cp:coreProperties>
</file>